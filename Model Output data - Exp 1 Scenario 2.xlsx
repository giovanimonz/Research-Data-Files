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iovani Monzambe\Dropbox\My Dropbox Move\Documents\PhD RESEARCH\Dissertation and Notes\"/>
    </mc:Choice>
  </mc:AlternateContent>
  <bookViews>
    <workbookView xWindow="0" yWindow="0" windowWidth="23040" windowHeight="8556" activeTab="1"/>
  </bookViews>
  <sheets>
    <sheet name="clusterResultSummary - CS" sheetId="1" r:id="rId1"/>
    <sheet name="truckResultSummary - CS" sheetId="2" r:id="rId2"/>
    <sheet name="clusterResultSummary" sheetId="3" r:id="rId3"/>
    <sheet name="truckResultSummary - SS" sheetId="4" r:id="rId4"/>
  </sheets>
  <calcPr calcId="162913"/>
</workbook>
</file>

<file path=xl/calcChain.xml><?xml version="1.0" encoding="utf-8"?>
<calcChain xmlns="http://schemas.openxmlformats.org/spreadsheetml/2006/main">
  <c r="F16" i="1" l="1"/>
  <c r="E15" i="1"/>
  <c r="K11" i="2" l="1"/>
  <c r="J11" i="2"/>
  <c r="E11" i="2"/>
  <c r="K9" i="4"/>
  <c r="J9" i="4"/>
  <c r="J11" i="4" s="1"/>
  <c r="J13" i="4" s="1"/>
  <c r="I9" i="4"/>
  <c r="H9" i="4"/>
  <c r="G9" i="4"/>
  <c r="K11" i="4" s="1"/>
  <c r="E9" i="4"/>
  <c r="E11" i="4" s="1"/>
  <c r="K8" i="4"/>
  <c r="J8" i="4"/>
  <c r="I8" i="4"/>
  <c r="H8" i="4"/>
  <c r="G8" i="4"/>
  <c r="F8" i="4"/>
  <c r="E8" i="4"/>
  <c r="E16" i="3"/>
  <c r="F15" i="3"/>
  <c r="D15" i="3"/>
  <c r="D14" i="1"/>
  <c r="K9" i="2"/>
  <c r="K8" i="2"/>
  <c r="J9" i="2"/>
  <c r="J8" i="2"/>
  <c r="I9" i="2"/>
  <c r="I8" i="2"/>
  <c r="H9" i="2"/>
  <c r="H8" i="2"/>
  <c r="G9" i="2"/>
  <c r="G8" i="2"/>
  <c r="F8" i="2"/>
  <c r="E9" i="2"/>
  <c r="E8" i="2"/>
</calcChain>
</file>

<file path=xl/sharedStrings.xml><?xml version="1.0" encoding="utf-8"?>
<sst xmlns="http://schemas.openxmlformats.org/spreadsheetml/2006/main" count="81" uniqueCount="39">
  <si>
    <t>Cluster name</t>
  </si>
  <si>
    <t>No of signals 1 sent</t>
  </si>
  <si>
    <t>No of signals 2 sent</t>
  </si>
  <si>
    <t>Avg waste filling level in PUP (m3)</t>
  </si>
  <si>
    <t>Cumulative waste qty (m3)</t>
  </si>
  <si>
    <t>Avg cycle time(days)</t>
  </si>
  <si>
    <t>Uniepark</t>
  </si>
  <si>
    <t>Simonswyk</t>
  </si>
  <si>
    <t>Brandwacht</t>
  </si>
  <si>
    <t>Paradyskloof</t>
  </si>
  <si>
    <t>Jamestown</t>
  </si>
  <si>
    <t>Welgevonden</t>
  </si>
  <si>
    <t>Die Boord</t>
  </si>
  <si>
    <t>Idas Valley</t>
  </si>
  <si>
    <t>Cloetesville</t>
  </si>
  <si>
    <t>Kayamandi1</t>
  </si>
  <si>
    <t>Kayamandi2</t>
  </si>
  <si>
    <t>Truck ID</t>
  </si>
  <si>
    <t>Cum collection requests received</t>
  </si>
  <si>
    <t>Completed collection requests</t>
  </si>
  <si>
    <t>Avg collection requests queue length</t>
  </si>
  <si>
    <t>Total travel time (hrs)</t>
  </si>
  <si>
    <t>Avg filling level at disposal (m3)</t>
  </si>
  <si>
    <t>Total Waste Disposed</t>
  </si>
  <si>
    <t>Number of breakdowns</t>
  </si>
  <si>
    <t>Number of Maintenance</t>
  </si>
  <si>
    <t>Total Distance Travelled</t>
  </si>
  <si>
    <t>CO2 emission</t>
  </si>
  <si>
    <t>Truck 0</t>
  </si>
  <si>
    <t>Truck 1</t>
  </si>
  <si>
    <t>Truck 2</t>
  </si>
  <si>
    <t>Truck 3</t>
  </si>
  <si>
    <t>Truck 4</t>
  </si>
  <si>
    <t>AVG</t>
  </si>
  <si>
    <t>TOTAL</t>
  </si>
  <si>
    <t>KPI/m3</t>
  </si>
  <si>
    <t>Decrease</t>
  </si>
  <si>
    <t>Max waste filling level in PUP (m3)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</si>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</sst>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42" applyFont="1"/>
    <xf numFmtId="0" fontId="16" fillId="0" borderId="0" xfId="0" applyFont="1"/>
    <xf numFmtId="43" fontId="16" fillId="0" borderId="0" xfId="42" applyFont="1"/>
    <xf numFmtId="2" fontId="16" fillId="0" borderId="0" xfId="0" applyNumberFormat="1" applyFont="1"/>
    <xf numFmtId="164" fontId="0" fillId="0" borderId="0" xfId="43" applyNumberFormat="1" applyFont="1"/>
    <xf numFmtId="2" fontId="0" fillId="0" borderId="0" xfId="0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E15" sqref="E15"/>
    </sheetView>
  </sheetViews>
  <sheetFormatPr defaultRowHeight="14.4" x14ac:dyDescent="0.3"/>
  <cols>
    <col min="1" max="1" width="12.109375" bestFit="1" customWidth="1"/>
    <col min="2" max="3" width="16.88671875" bestFit="1" customWidth="1"/>
    <col min="4" max="4" width="28.44140625" bestFit="1" customWidth="1"/>
    <col min="5" max="5" width="22.88671875" bestFit="1" customWidth="1"/>
    <col min="6" max="7" width="17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37</v>
      </c>
      <c r="F1" t="s">
        <v>4</v>
      </c>
      <c r="G1" t="s">
        <v>5</v>
      </c>
    </row>
    <row r="2" spans="1:7" x14ac:dyDescent="0.3">
      <c r="A2" t="s">
        <v>6</v>
      </c>
      <c r="B2">
        <v>0</v>
      </c>
      <c r="C2">
        <v>0</v>
      </c>
      <c r="D2">
        <v>0.48772652490893598</v>
      </c>
      <c r="E2">
        <v>0.61397005054394604</v>
      </c>
      <c r="F2">
        <v>91.710165848236997</v>
      </c>
      <c r="G2">
        <v>5.6923076923076898</v>
      </c>
    </row>
    <row r="3" spans="1:7" x14ac:dyDescent="0.3">
      <c r="A3" t="s">
        <v>7</v>
      </c>
      <c r="B3">
        <v>0</v>
      </c>
      <c r="C3">
        <v>0</v>
      </c>
      <c r="D3">
        <v>0.48278276839022899</v>
      </c>
      <c r="E3">
        <v>0.98402153302219397</v>
      </c>
      <c r="F3">
        <v>91.991748061007996</v>
      </c>
      <c r="G3">
        <v>5.6153846153846096</v>
      </c>
    </row>
    <row r="4" spans="1:7" x14ac:dyDescent="0.3">
      <c r="A4" t="s">
        <v>8</v>
      </c>
      <c r="B4">
        <v>0</v>
      </c>
      <c r="C4">
        <v>0</v>
      </c>
      <c r="D4">
        <v>0.502489380610325</v>
      </c>
      <c r="E4">
        <v>0.65153045064854498</v>
      </c>
      <c r="F4">
        <v>119.43125044663201</v>
      </c>
      <c r="G4">
        <v>5.8333333333333304</v>
      </c>
    </row>
    <row r="5" spans="1:7" x14ac:dyDescent="0.3">
      <c r="A5" t="s">
        <v>9</v>
      </c>
      <c r="B5">
        <v>0</v>
      </c>
      <c r="C5">
        <v>0</v>
      </c>
      <c r="D5">
        <v>0.481044787603152</v>
      </c>
      <c r="E5">
        <v>0.91361954127062805</v>
      </c>
      <c r="F5">
        <v>387.013651842603</v>
      </c>
      <c r="G5">
        <v>5.5997392438070399</v>
      </c>
    </row>
    <row r="6" spans="1:7" x14ac:dyDescent="0.3">
      <c r="A6" t="s">
        <v>10</v>
      </c>
      <c r="B6">
        <v>0</v>
      </c>
      <c r="C6">
        <v>0</v>
      </c>
      <c r="D6">
        <v>0.48611167459286098</v>
      </c>
      <c r="E6">
        <v>0.87719200136006004</v>
      </c>
      <c r="F6">
        <v>394.90880712846399</v>
      </c>
      <c r="G6">
        <v>5.6435897435897404</v>
      </c>
    </row>
    <row r="7" spans="1:7" x14ac:dyDescent="0.3">
      <c r="A7" t="s">
        <v>11</v>
      </c>
      <c r="B7">
        <v>0</v>
      </c>
      <c r="C7">
        <v>0</v>
      </c>
      <c r="D7">
        <v>0.489644041233327</v>
      </c>
      <c r="E7">
        <v>0.63669100087666197</v>
      </c>
      <c r="F7">
        <v>474.01843316418302</v>
      </c>
      <c r="G7">
        <v>5.6923076923076898</v>
      </c>
    </row>
    <row r="8" spans="1:7" x14ac:dyDescent="0.3">
      <c r="A8" t="s">
        <v>12</v>
      </c>
      <c r="B8">
        <v>0</v>
      </c>
      <c r="C8">
        <v>0</v>
      </c>
      <c r="D8">
        <v>0.48239991032197799</v>
      </c>
      <c r="E8">
        <v>0.62155969287188495</v>
      </c>
      <c r="F8">
        <v>485.794706530361</v>
      </c>
      <c r="G8">
        <v>5.6153846153846096</v>
      </c>
    </row>
    <row r="9" spans="1:7" x14ac:dyDescent="0.3">
      <c r="A9" t="s">
        <v>13</v>
      </c>
      <c r="B9">
        <v>0</v>
      </c>
      <c r="C9">
        <v>0</v>
      </c>
      <c r="D9">
        <v>0.19676696882391201</v>
      </c>
      <c r="E9">
        <v>0.58253201829750101</v>
      </c>
      <c r="F9">
        <v>701.96139104585302</v>
      </c>
      <c r="G9">
        <v>1.70008448324415</v>
      </c>
    </row>
    <row r="10" spans="1:7" x14ac:dyDescent="0.3">
      <c r="A10" t="s">
        <v>14</v>
      </c>
      <c r="B10">
        <v>0</v>
      </c>
      <c r="C10">
        <v>0</v>
      </c>
      <c r="D10">
        <v>0.71818447458779999</v>
      </c>
      <c r="E10">
        <v>1.6209968931076999</v>
      </c>
      <c r="F10">
        <v>1645.8064982179501</v>
      </c>
      <c r="G10">
        <v>5.5563770794824396</v>
      </c>
    </row>
    <row r="11" spans="1:7" x14ac:dyDescent="0.3">
      <c r="A11" t="s">
        <v>15</v>
      </c>
      <c r="B11">
        <v>0</v>
      </c>
      <c r="C11">
        <v>0</v>
      </c>
      <c r="D11">
        <v>0.74209297039218503</v>
      </c>
      <c r="E11">
        <v>1.60361632544161</v>
      </c>
      <c r="F11">
        <v>2118.1555955655499</v>
      </c>
      <c r="G11">
        <v>5.7805405405405397</v>
      </c>
    </row>
    <row r="12" spans="1:7" x14ac:dyDescent="0.3">
      <c r="A12" t="s">
        <v>16</v>
      </c>
      <c r="B12">
        <v>0</v>
      </c>
      <c r="C12">
        <v>0</v>
      </c>
      <c r="D12">
        <v>0.33647695336264399</v>
      </c>
      <c r="E12">
        <v>1.39054919089757</v>
      </c>
      <c r="F12">
        <v>2116.1460040576098</v>
      </c>
      <c r="G12">
        <v>2.0771319067390599</v>
      </c>
    </row>
    <row r="13" spans="1:7" x14ac:dyDescent="0.3">
      <c r="D13" s="1"/>
      <c r="E13" s="1"/>
      <c r="F13" s="1"/>
    </row>
    <row r="14" spans="1:7" s="2" customFormat="1" x14ac:dyDescent="0.3">
      <c r="A14" s="2" t="s">
        <v>33</v>
      </c>
      <c r="D14" s="3">
        <f>AVERAGE(D2:D12)</f>
        <v>0.49142913225703172</v>
      </c>
      <c r="E14" s="3"/>
      <c r="F14" s="3"/>
    </row>
    <row r="15" spans="1:7" s="2" customFormat="1" x14ac:dyDescent="0.3">
      <c r="A15" s="2" t="s">
        <v>38</v>
      </c>
      <c r="D15" s="3"/>
      <c r="E15" s="3">
        <f>MAX(E2:E12)</f>
        <v>1.6209968931076999</v>
      </c>
      <c r="F15" s="3"/>
    </row>
    <row r="16" spans="1:7" s="2" customFormat="1" x14ac:dyDescent="0.3">
      <c r="A16" s="2" t="s">
        <v>34</v>
      </c>
      <c r="D16" s="3"/>
      <c r="E16" s="3"/>
      <c r="F16" s="3">
        <f>SUM(F2:F12)</f>
        <v>8626.9382519084502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L9" sqref="L9"/>
    </sheetView>
  </sheetViews>
  <sheetFormatPr defaultRowHeight="14.4" x14ac:dyDescent="0.3"/>
  <cols>
    <col min="2" max="2" width="16.88671875" customWidth="1"/>
    <col min="3" max="3" width="16.44140625" customWidth="1"/>
    <col min="4" max="4" width="14.6640625" customWidth="1"/>
    <col min="5" max="5" width="18.77734375" bestFit="1" customWidth="1"/>
    <col min="6" max="6" width="15" customWidth="1"/>
    <col min="7" max="7" width="19" bestFit="1" customWidth="1"/>
    <col min="8" max="8" width="15.77734375" customWidth="1"/>
    <col min="9" max="9" width="13.21875" customWidth="1"/>
    <col min="10" max="10" width="20.88671875" bestFit="1" customWidth="1"/>
    <col min="11" max="11" width="13.6640625" bestFit="1" customWidth="1"/>
  </cols>
  <sheetData>
    <row r="1" spans="1:11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</row>
    <row r="2" spans="1:11" x14ac:dyDescent="0.3">
      <c r="A2" t="s">
        <v>28</v>
      </c>
      <c r="B2" s="1">
        <v>6309</v>
      </c>
      <c r="C2" s="1">
        <v>6275</v>
      </c>
      <c r="D2" s="1">
        <v>72.296084957996499</v>
      </c>
      <c r="E2" s="1">
        <v>1077.30452942341</v>
      </c>
      <c r="F2" s="1">
        <v>7.0258991411806804</v>
      </c>
      <c r="G2" s="1">
        <v>2919.0604986941698</v>
      </c>
      <c r="H2" s="1">
        <v>2</v>
      </c>
      <c r="I2" s="1">
        <v>1</v>
      </c>
      <c r="J2" s="1">
        <v>15164.0469289998</v>
      </c>
      <c r="K2" s="1">
        <v>13220.140365597999</v>
      </c>
    </row>
    <row r="3" spans="1:11" x14ac:dyDescent="0.3">
      <c r="A3" t="s">
        <v>29</v>
      </c>
      <c r="B3" s="1">
        <v>5923</v>
      </c>
      <c r="C3" s="1">
        <v>5903</v>
      </c>
      <c r="D3" s="1">
        <v>66.717879452979901</v>
      </c>
      <c r="E3" s="1">
        <v>1080.2487848344499</v>
      </c>
      <c r="F3" s="1">
        <v>7.0258991411806804</v>
      </c>
      <c r="G3" s="1">
        <v>2573.7908972333098</v>
      </c>
      <c r="H3" s="1">
        <v>2</v>
      </c>
      <c r="I3" s="1">
        <v>0</v>
      </c>
      <c r="J3" s="1">
        <v>14687.9331649998</v>
      </c>
      <c r="K3" s="1">
        <v>12633.087353134</v>
      </c>
    </row>
    <row r="4" spans="1:11" x14ac:dyDescent="0.3">
      <c r="A4" t="s">
        <v>30</v>
      </c>
      <c r="B4" s="1">
        <v>3963</v>
      </c>
      <c r="C4" s="1">
        <v>3963</v>
      </c>
      <c r="D4" s="1">
        <v>77.6896290688872</v>
      </c>
      <c r="E4" s="1">
        <v>667.32469039115495</v>
      </c>
      <c r="F4" s="1">
        <v>7.0258991411806804</v>
      </c>
      <c r="G4" s="1">
        <v>1336.0032690636101</v>
      </c>
      <c r="H4" s="1">
        <v>1</v>
      </c>
      <c r="I4" s="1">
        <v>0</v>
      </c>
      <c r="J4" s="1">
        <v>8144.0669930000104</v>
      </c>
      <c r="K4" s="1">
        <v>6994.0007541129899</v>
      </c>
    </row>
    <row r="5" spans="1:11" x14ac:dyDescent="0.3">
      <c r="A5" t="s">
        <v>31</v>
      </c>
      <c r="B5" s="1">
        <v>3769</v>
      </c>
      <c r="C5" s="1">
        <v>3769</v>
      </c>
      <c r="D5" s="1">
        <v>76.726983284690903</v>
      </c>
      <c r="E5" s="1">
        <v>618.06626103688995</v>
      </c>
      <c r="F5" s="1">
        <v>7.0258991411806804</v>
      </c>
      <c r="G5" s="1">
        <v>1054.68173177991</v>
      </c>
      <c r="H5" s="1">
        <v>1</v>
      </c>
      <c r="I5" s="1">
        <v>0</v>
      </c>
      <c r="J5" s="1">
        <v>7129.3439689999996</v>
      </c>
      <c r="K5" s="1">
        <v>6039.1495885249897</v>
      </c>
    </row>
    <row r="6" spans="1:11" x14ac:dyDescent="0.3">
      <c r="A6" t="s">
        <v>32</v>
      </c>
      <c r="B6" s="1">
        <v>1971</v>
      </c>
      <c r="C6" s="1">
        <v>1944</v>
      </c>
      <c r="D6" s="1">
        <v>44.751902587518998</v>
      </c>
      <c r="E6" s="1">
        <v>254.66567760268299</v>
      </c>
      <c r="F6" s="1">
        <v>7.0258991411806804</v>
      </c>
      <c r="G6" s="1">
        <v>491.33537951634997</v>
      </c>
      <c r="H6" s="1">
        <v>0</v>
      </c>
      <c r="I6" s="1">
        <v>0</v>
      </c>
      <c r="J6" s="1">
        <v>2371.8391550000001</v>
      </c>
      <c r="K6" s="1">
        <v>2034.94299806</v>
      </c>
    </row>
    <row r="7" spans="1:11" x14ac:dyDescent="0.3"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s="2" customFormat="1" x14ac:dyDescent="0.3">
      <c r="A8" s="2" t="s">
        <v>33</v>
      </c>
      <c r="B8" s="3"/>
      <c r="C8" s="3"/>
      <c r="D8" s="3"/>
      <c r="E8" s="3">
        <f t="shared" ref="E8:K8" si="0">AVERAGE(E2:E6)</f>
        <v>739.52198865771754</v>
      </c>
      <c r="F8" s="3">
        <f t="shared" si="0"/>
        <v>7.0258991411806804</v>
      </c>
      <c r="G8" s="3">
        <f t="shared" si="0"/>
        <v>1674.9743552574698</v>
      </c>
      <c r="H8" s="3">
        <f t="shared" si="0"/>
        <v>1.2</v>
      </c>
      <c r="I8" s="3">
        <f t="shared" si="0"/>
        <v>0.2</v>
      </c>
      <c r="J8" s="3">
        <f t="shared" si="0"/>
        <v>9499.4460421999211</v>
      </c>
      <c r="K8" s="3">
        <f t="shared" si="0"/>
        <v>8184.2642118859967</v>
      </c>
    </row>
    <row r="9" spans="1:11" s="2" customFormat="1" x14ac:dyDescent="0.3">
      <c r="A9" s="2" t="s">
        <v>34</v>
      </c>
      <c r="B9" s="3"/>
      <c r="C9" s="3"/>
      <c r="D9" s="3"/>
      <c r="E9" s="3">
        <f>SUM(E2:E6)</f>
        <v>3697.6099432885876</v>
      </c>
      <c r="F9" s="3"/>
      <c r="G9" s="3">
        <f>SUM(G2:G6)</f>
        <v>8374.8717762873493</v>
      </c>
      <c r="H9" s="3">
        <f>SUM(H2:H6)</f>
        <v>6</v>
      </c>
      <c r="I9" s="3">
        <f>SUM(I2:I6)</f>
        <v>1</v>
      </c>
      <c r="J9" s="3">
        <f>SUM(J2:J6)</f>
        <v>47497.230210999609</v>
      </c>
      <c r="K9" s="3">
        <f>SUM(K2:K6)</f>
        <v>40921.321059429982</v>
      </c>
    </row>
    <row r="11" spans="1:11" s="2" customFormat="1" x14ac:dyDescent="0.3">
      <c r="A11" s="2" t="s">
        <v>35</v>
      </c>
      <c r="E11" s="4">
        <f>E9/$G$9</f>
        <v>0.44151242455532486</v>
      </c>
      <c r="J11" s="4">
        <f>J9/$G$9</f>
        <v>5.6713979007396249</v>
      </c>
      <c r="K11" s="4">
        <f>K9/$G$9</f>
        <v>4.8862026968931991</v>
      </c>
    </row>
    <row r="13" spans="1:11" x14ac:dyDescent="0.3">
      <c r="A13" s="2" t="s">
        <v>36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H18" sqref="H18"/>
    </sheetView>
  </sheetViews>
  <sheetFormatPr defaultRowHeight="14.4" x14ac:dyDescent="0.3"/>
  <cols>
    <col min="1" max="1" width="12.109375" bestFit="1" customWidth="1"/>
    <col min="2" max="3" width="16.88671875" bestFit="1" customWidth="1"/>
    <col min="4" max="4" width="28.44140625" bestFit="1" customWidth="1"/>
    <col min="5" max="5" width="22.88671875" bestFit="1" customWidth="1"/>
    <col min="6" max="7" width="17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37</v>
      </c>
      <c r="F1" t="s">
        <v>4</v>
      </c>
      <c r="G1" t="s">
        <v>5</v>
      </c>
    </row>
    <row r="2" spans="1:7" x14ac:dyDescent="0.3">
      <c r="A2" t="s">
        <v>6</v>
      </c>
      <c r="B2">
        <v>0</v>
      </c>
      <c r="C2">
        <v>0</v>
      </c>
      <c r="D2" s="6">
        <v>1.0194215961759201</v>
      </c>
      <c r="E2" s="6">
        <v>1.14776670288255</v>
      </c>
      <c r="F2" s="6">
        <v>91.825239726705902</v>
      </c>
      <c r="G2" s="6">
        <v>13</v>
      </c>
    </row>
    <row r="3" spans="1:7" x14ac:dyDescent="0.3">
      <c r="A3" t="s">
        <v>7</v>
      </c>
      <c r="B3">
        <v>0</v>
      </c>
      <c r="C3">
        <v>0</v>
      </c>
      <c r="D3" s="6">
        <v>1.0226339968321301</v>
      </c>
      <c r="E3" s="6">
        <v>1.15619202906954</v>
      </c>
      <c r="F3" s="6">
        <v>91.763282429274199</v>
      </c>
      <c r="G3" s="6">
        <v>13</v>
      </c>
    </row>
    <row r="4" spans="1:7" x14ac:dyDescent="0.3">
      <c r="A4" t="s">
        <v>8</v>
      </c>
      <c r="B4">
        <v>0</v>
      </c>
      <c r="C4">
        <v>0</v>
      </c>
      <c r="D4" s="6">
        <v>1.02488890789007</v>
      </c>
      <c r="E4" s="6">
        <v>1.13343164504323</v>
      </c>
      <c r="F4" s="6">
        <v>118.743174019984</v>
      </c>
      <c r="G4" s="6">
        <v>13</v>
      </c>
    </row>
    <row r="5" spans="1:7" x14ac:dyDescent="0.3">
      <c r="A5" t="s">
        <v>9</v>
      </c>
      <c r="B5">
        <v>0</v>
      </c>
      <c r="C5">
        <v>0</v>
      </c>
      <c r="D5" s="6">
        <v>1.0228904437663999</v>
      </c>
      <c r="E5" s="6">
        <v>1.18727704947669</v>
      </c>
      <c r="F5" s="6">
        <v>388.04434617670898</v>
      </c>
      <c r="G5" s="6">
        <v>13</v>
      </c>
    </row>
    <row r="6" spans="1:7" x14ac:dyDescent="0.3">
      <c r="A6" t="s">
        <v>10</v>
      </c>
      <c r="B6">
        <v>0</v>
      </c>
      <c r="C6">
        <v>0</v>
      </c>
      <c r="D6" s="6">
        <v>1.02278958855534</v>
      </c>
      <c r="E6" s="6">
        <v>1.1683084252977101</v>
      </c>
      <c r="F6" s="6">
        <v>394.64372655083298</v>
      </c>
      <c r="G6" s="6">
        <v>13</v>
      </c>
    </row>
    <row r="7" spans="1:7" x14ac:dyDescent="0.3">
      <c r="A7" t="s">
        <v>11</v>
      </c>
      <c r="B7">
        <v>0</v>
      </c>
      <c r="C7">
        <v>0</v>
      </c>
      <c r="D7" s="6">
        <v>0.99583855791157705</v>
      </c>
      <c r="E7" s="6">
        <v>1.2507847388322599</v>
      </c>
      <c r="F7" s="6">
        <v>471.58337689323503</v>
      </c>
      <c r="G7" s="6">
        <v>12.6876404494382</v>
      </c>
    </row>
    <row r="8" spans="1:7" x14ac:dyDescent="0.3">
      <c r="A8" t="s">
        <v>12</v>
      </c>
      <c r="B8">
        <v>0</v>
      </c>
      <c r="C8">
        <v>0</v>
      </c>
      <c r="D8" s="6">
        <v>1.0068650603998499</v>
      </c>
      <c r="E8" s="6">
        <v>1.18074180993577</v>
      </c>
      <c r="F8" s="6">
        <v>486.15850902970197</v>
      </c>
      <c r="G8" s="6">
        <v>12.7912087912087</v>
      </c>
    </row>
    <row r="9" spans="1:7" x14ac:dyDescent="0.3">
      <c r="A9" t="s">
        <v>13</v>
      </c>
      <c r="B9">
        <v>0</v>
      </c>
      <c r="C9">
        <v>0</v>
      </c>
      <c r="D9" s="6">
        <v>1.0292231648136201</v>
      </c>
      <c r="E9" s="6">
        <v>1.2537499000136201</v>
      </c>
      <c r="F9" s="6">
        <v>701.21686970889095</v>
      </c>
      <c r="G9" s="6">
        <v>13.1490683229813</v>
      </c>
    </row>
    <row r="10" spans="1:7" x14ac:dyDescent="0.3">
      <c r="A10" t="s">
        <v>14</v>
      </c>
      <c r="B10">
        <v>0</v>
      </c>
      <c r="C10">
        <v>0</v>
      </c>
      <c r="D10" s="6">
        <v>1.5674713288208799</v>
      </c>
      <c r="E10" s="6">
        <v>1.92021004984118</v>
      </c>
      <c r="F10" s="6">
        <v>1643.57430349784</v>
      </c>
      <c r="G10" s="6">
        <v>13.331337325349301</v>
      </c>
    </row>
    <row r="11" spans="1:7" x14ac:dyDescent="0.3">
      <c r="A11" t="s">
        <v>15</v>
      </c>
      <c r="B11">
        <v>0</v>
      </c>
      <c r="C11">
        <v>0</v>
      </c>
      <c r="D11" s="6">
        <v>1.54582097320598</v>
      </c>
      <c r="E11" s="6">
        <v>2.0235561684638999</v>
      </c>
      <c r="F11" s="6">
        <v>2120.6216555290098</v>
      </c>
      <c r="G11" s="6">
        <v>13.101503759398399</v>
      </c>
    </row>
    <row r="12" spans="1:7" x14ac:dyDescent="0.3">
      <c r="A12" t="s">
        <v>16</v>
      </c>
      <c r="B12">
        <v>0</v>
      </c>
      <c r="C12">
        <v>0</v>
      </c>
      <c r="D12" s="6">
        <v>1.5985824300274201</v>
      </c>
      <c r="E12" s="6">
        <v>2.2749475413801501</v>
      </c>
      <c r="F12" s="6">
        <v>2119.2767728844301</v>
      </c>
      <c r="G12" s="6">
        <v>13.594615384615301</v>
      </c>
    </row>
    <row r="15" spans="1:7" x14ac:dyDescent="0.3">
      <c r="A15" s="2" t="s">
        <v>33</v>
      </c>
      <c r="B15" s="2"/>
      <c r="C15" s="2"/>
      <c r="D15" s="3">
        <f>AVERAGE(D3:D13)</f>
        <v>1.1837004452223268</v>
      </c>
      <c r="E15" s="3"/>
      <c r="F15" s="3">
        <f t="shared" ref="F15" si="0">AVERAGE(F3:F13)</f>
        <v>853.56260167199093</v>
      </c>
    </row>
    <row r="16" spans="1:7" x14ac:dyDescent="0.3">
      <c r="A16" s="2" t="s">
        <v>34</v>
      </c>
      <c r="B16" s="2"/>
      <c r="C16" s="2"/>
      <c r="D16" s="3"/>
      <c r="E16" s="3">
        <f t="shared" ref="E16" si="1">SUM(E3:E13)</f>
        <v>14.54919935735405</v>
      </c>
      <c r="F1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opLeftCell="C1" workbookViewId="0">
      <selection activeCell="J11" sqref="J11"/>
    </sheetView>
  </sheetViews>
  <sheetFormatPr defaultRowHeight="14.4" x14ac:dyDescent="0.3"/>
  <cols>
    <col min="1" max="1" width="7.6640625" bestFit="1" customWidth="1"/>
    <col min="2" max="2" width="28.21875" bestFit="1" customWidth="1"/>
    <col min="3" max="3" width="26.109375" bestFit="1" customWidth="1"/>
    <col min="4" max="4" width="31.109375" bestFit="1" customWidth="1"/>
    <col min="5" max="5" width="18.6640625" bestFit="1" customWidth="1"/>
    <col min="6" max="6" width="26.5546875" bestFit="1" customWidth="1"/>
    <col min="7" max="7" width="18.88671875" bestFit="1" customWidth="1"/>
    <col min="8" max="8" width="20.33203125" bestFit="1" customWidth="1"/>
    <col min="9" max="9" width="21.109375" bestFit="1" customWidth="1"/>
    <col min="10" max="10" width="20.77734375" bestFit="1" customWidth="1"/>
    <col min="11" max="11" width="12" bestFit="1" customWidth="1"/>
  </cols>
  <sheetData>
    <row r="1" spans="1:11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</row>
    <row r="2" spans="1:11" x14ac:dyDescent="0.3">
      <c r="A2" t="s">
        <v>28</v>
      </c>
      <c r="B2">
        <v>1477</v>
      </c>
      <c r="C2">
        <v>1477</v>
      </c>
      <c r="D2">
        <v>8.4942450914014902</v>
      </c>
      <c r="E2">
        <v>327.26980407590901</v>
      </c>
      <c r="F2">
        <v>17.957044726386101</v>
      </c>
      <c r="G2">
        <v>1981.77954411064</v>
      </c>
      <c r="H2">
        <v>0</v>
      </c>
      <c r="I2">
        <v>0</v>
      </c>
      <c r="J2">
        <v>4077.9524999999899</v>
      </c>
      <c r="K2">
        <v>3760.6041914989801</v>
      </c>
    </row>
    <row r="3" spans="1:11" x14ac:dyDescent="0.3">
      <c r="A3" t="s">
        <v>29</v>
      </c>
      <c r="B3">
        <v>1372</v>
      </c>
      <c r="C3">
        <v>1372</v>
      </c>
      <c r="D3">
        <v>8.3724489795918302</v>
      </c>
      <c r="E3">
        <v>303.08439785714802</v>
      </c>
      <c r="F3">
        <v>17.957044726386101</v>
      </c>
      <c r="G3">
        <v>1841.9586655678299</v>
      </c>
      <c r="H3">
        <v>0</v>
      </c>
      <c r="I3">
        <v>0</v>
      </c>
      <c r="J3">
        <v>3761.669582</v>
      </c>
      <c r="K3">
        <v>3472.4589047879799</v>
      </c>
    </row>
    <row r="4" spans="1:11" x14ac:dyDescent="0.3">
      <c r="A4" t="s">
        <v>30</v>
      </c>
      <c r="B4">
        <v>1273</v>
      </c>
      <c r="C4">
        <v>1273</v>
      </c>
      <c r="D4">
        <v>8.4485467399842893</v>
      </c>
      <c r="E4">
        <v>276.64775514714802</v>
      </c>
      <c r="F4">
        <v>17.957044726386101</v>
      </c>
      <c r="G4">
        <v>1708.9323372347201</v>
      </c>
      <c r="H4">
        <v>0</v>
      </c>
      <c r="I4">
        <v>0</v>
      </c>
      <c r="J4">
        <v>3472.43176699999</v>
      </c>
      <c r="K4">
        <v>3242.45740647599</v>
      </c>
    </row>
    <row r="5" spans="1:11" x14ac:dyDescent="0.3">
      <c r="A5" t="s">
        <v>31</v>
      </c>
      <c r="B5">
        <v>1229</v>
      </c>
      <c r="C5">
        <v>1229</v>
      </c>
      <c r="D5">
        <v>8.8177379983726603</v>
      </c>
      <c r="E5">
        <v>260.74714219405899</v>
      </c>
      <c r="F5">
        <v>17.957044726386101</v>
      </c>
      <c r="G5">
        <v>1667.99003443165</v>
      </c>
      <c r="H5">
        <v>0</v>
      </c>
      <c r="I5">
        <v>0</v>
      </c>
      <c r="J5">
        <v>3167.1411719999901</v>
      </c>
      <c r="K5">
        <v>2955.8727858679899</v>
      </c>
    </row>
    <row r="6" spans="1:11" x14ac:dyDescent="0.3">
      <c r="A6" t="s">
        <v>32</v>
      </c>
      <c r="B6">
        <v>1114</v>
      </c>
      <c r="C6">
        <v>1114</v>
      </c>
      <c r="D6">
        <v>8.35188509874326</v>
      </c>
      <c r="E6">
        <v>247.15475360532201</v>
      </c>
      <c r="F6">
        <v>17.957044726386101</v>
      </c>
      <c r="G6">
        <v>1508.5061109523999</v>
      </c>
      <c r="H6">
        <v>0</v>
      </c>
      <c r="I6">
        <v>0</v>
      </c>
      <c r="J6">
        <v>3129.3223029999899</v>
      </c>
      <c r="K6">
        <v>2910.7390539159901</v>
      </c>
    </row>
    <row r="8" spans="1:11" x14ac:dyDescent="0.3">
      <c r="A8" s="2" t="s">
        <v>33</v>
      </c>
      <c r="B8" s="3"/>
      <c r="C8" s="3"/>
      <c r="D8" s="3"/>
      <c r="E8" s="3">
        <f t="shared" ref="E8:K8" si="0">AVERAGE(E2:E6)</f>
        <v>282.98077057591723</v>
      </c>
      <c r="F8" s="3">
        <f t="shared" si="0"/>
        <v>17.957044726386101</v>
      </c>
      <c r="G8" s="3">
        <f t="shared" si="0"/>
        <v>1741.833338459448</v>
      </c>
      <c r="H8" s="3">
        <f t="shared" si="0"/>
        <v>0</v>
      </c>
      <c r="I8" s="3">
        <f t="shared" si="0"/>
        <v>0</v>
      </c>
      <c r="J8" s="3">
        <f t="shared" si="0"/>
        <v>3521.7034647999922</v>
      </c>
      <c r="K8" s="3">
        <f t="shared" si="0"/>
        <v>3268.4264685093858</v>
      </c>
    </row>
    <row r="9" spans="1:11" x14ac:dyDescent="0.3">
      <c r="A9" s="2" t="s">
        <v>34</v>
      </c>
      <c r="B9" s="3"/>
      <c r="C9" s="3"/>
      <c r="D9" s="3"/>
      <c r="E9" s="3">
        <f>SUM(E2:E6)</f>
        <v>1414.9038528795861</v>
      </c>
      <c r="F9" s="3"/>
      <c r="G9" s="3">
        <f>SUM(G2:G6)</f>
        <v>8709.1666922972399</v>
      </c>
      <c r="H9" s="3">
        <f>SUM(H2:H6)</f>
        <v>0</v>
      </c>
      <c r="I9" s="3">
        <f>SUM(I2:I6)</f>
        <v>0</v>
      </c>
      <c r="J9" s="3">
        <f>SUM(J2:J6)</f>
        <v>17608.51732399996</v>
      </c>
      <c r="K9" s="3">
        <f>SUM(K2:K6)</f>
        <v>16342.132342546929</v>
      </c>
    </row>
    <row r="11" spans="1:11" s="2" customFormat="1" x14ac:dyDescent="0.3">
      <c r="A11" s="2" t="s">
        <v>35</v>
      </c>
      <c r="E11" s="4">
        <f>E9/$G$9</f>
        <v>0.16246145043141585</v>
      </c>
      <c r="J11" s="4">
        <f>J9/$G$9</f>
        <v>2.021837214296712</v>
      </c>
      <c r="K11" s="4">
        <f>K9/$G$9</f>
        <v>1.8764289305658384</v>
      </c>
    </row>
    <row r="13" spans="1:11" x14ac:dyDescent="0.3">
      <c r="A13" s="2" t="s">
        <v>36</v>
      </c>
      <c r="J13" s="5">
        <f>(J11-'truckResultSummary - CS'!J11)/'truckResultSummary - CS'!J11</f>
        <v>-0.643502845386137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clusterResultSummary - CS</vt:lpstr>
      <vt:lpstr>truckResultSummary - CS</vt:lpstr>
      <vt:lpstr>clusterResultSummary</vt:lpstr>
      <vt:lpstr>truckResultSummary - 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Giovani Monzambe</dc:creator>
  <cp:lastModifiedBy>Giovani Monzambe</cp:lastModifiedBy>
  <dcterms:created xsi:type="dcterms:W3CDTF">2026-01-07T09:51:03Z</dcterms:created>
  <dcterms:modified xsi:type="dcterms:W3CDTF">2026-01-08T20:45:01Z</dcterms:modified>
</cp:coreProperties>
</file>