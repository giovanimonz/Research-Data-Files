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utacza-my.sharepoint.com/personal/monzambem_cput_ac_za/Documents/Documents/PhD RESEARCH/Dissertation and Notes/"/>
    </mc:Choice>
  </mc:AlternateContent>
  <xr:revisionPtr revIDLastSave="1008" documentId="8_{68E76A73-A43D-44A6-9AF7-F8FF8FD66800}" xr6:coauthVersionLast="47" xr6:coauthVersionMax="47" xr10:uidLastSave="{798C70B1-9F65-44E0-8CF7-D90D557AFE1A}"/>
  <bookViews>
    <workbookView xWindow="-108" yWindow="-108" windowWidth="23256" windowHeight="12456" tabRatio="780" firstSheet="3" activeTab="9" xr2:uid="{85863CAE-898E-461B-AD8C-57AD3A803FE3}"/>
  </bookViews>
  <sheets>
    <sheet name="Scenario 1 (12 trucks) - Base" sheetId="6" r:id="rId1"/>
    <sheet name="Scenario 2 (2 trucks)" sheetId="15" r:id="rId2"/>
    <sheet name="Scenario 3 (3 trucks)" sheetId="17" r:id="rId3"/>
    <sheet name="Scenario 4 (4 trucks)" sheetId="8" r:id="rId4"/>
    <sheet name="Scenario 5(5 trucks)" sheetId="2" r:id="rId5"/>
    <sheet name="Scenario 6 (6 trucks)" sheetId="10" r:id="rId6"/>
    <sheet name="Scenario 7 (8 trucks)" sheetId="12" r:id="rId7"/>
    <sheet name="6 trucks with 2.4 pup cap" sheetId="19" r:id="rId8"/>
    <sheet name="Sheet1" sheetId="18" r:id="rId9"/>
    <sheet name="Analysis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6" l="1"/>
  <c r="D31" i="6"/>
  <c r="C31" i="6"/>
  <c r="B31" i="6"/>
  <c r="E15" i="6"/>
  <c r="D15" i="6"/>
  <c r="C15" i="6"/>
  <c r="B15" i="6"/>
  <c r="E32" i="15"/>
  <c r="D32" i="15"/>
  <c r="C32" i="15"/>
  <c r="B32" i="15"/>
  <c r="E15" i="15"/>
  <c r="D15" i="15"/>
  <c r="C15" i="15"/>
  <c r="B15" i="15"/>
  <c r="E31" i="17"/>
  <c r="D31" i="17"/>
  <c r="C31" i="17"/>
  <c r="B31" i="17"/>
  <c r="E15" i="17"/>
  <c r="D15" i="17"/>
  <c r="C15" i="17"/>
  <c r="B15" i="17"/>
  <c r="E31" i="8"/>
  <c r="D31" i="8"/>
  <c r="C31" i="8"/>
  <c r="B31" i="8"/>
  <c r="E15" i="8"/>
  <c r="D15" i="8"/>
  <c r="C15" i="8"/>
  <c r="B15" i="8"/>
  <c r="E31" i="2"/>
  <c r="D31" i="2"/>
  <c r="C31" i="2"/>
  <c r="B31" i="2"/>
  <c r="E15" i="2"/>
  <c r="D15" i="2"/>
  <c r="C15" i="2"/>
  <c r="B15" i="2"/>
  <c r="E31" i="10"/>
  <c r="D31" i="10"/>
  <c r="C31" i="10"/>
  <c r="B31" i="10"/>
  <c r="E15" i="10"/>
  <c r="D15" i="10"/>
  <c r="C15" i="10"/>
  <c r="B15" i="10"/>
  <c r="E32" i="12"/>
  <c r="D32" i="12"/>
  <c r="C32" i="12"/>
  <c r="B32" i="12"/>
  <c r="E15" i="12"/>
  <c r="D15" i="12"/>
  <c r="C15" i="12"/>
  <c r="B15" i="12"/>
  <c r="P12" i="19"/>
  <c r="Q12" i="19"/>
  <c r="O12" i="19"/>
  <c r="N12" i="19"/>
  <c r="M12" i="19"/>
  <c r="K12" i="19"/>
  <c r="Q10" i="19"/>
  <c r="P10" i="19"/>
  <c r="M10" i="19"/>
  <c r="L10" i="19"/>
  <c r="K10" i="19"/>
  <c r="E15" i="19"/>
  <c r="D15" i="19"/>
  <c r="C15" i="19"/>
  <c r="B15" i="19"/>
  <c r="Q27" i="19"/>
  <c r="P27" i="19"/>
  <c r="O27" i="19"/>
  <c r="N27" i="19"/>
  <c r="M27" i="19"/>
  <c r="K27" i="19"/>
  <c r="K28" i="19" s="1"/>
  <c r="Q25" i="19"/>
  <c r="P25" i="19"/>
  <c r="M25" i="19"/>
  <c r="L25" i="19"/>
  <c r="K25" i="19"/>
  <c r="E30" i="19"/>
  <c r="D30" i="19"/>
  <c r="C30" i="19"/>
  <c r="B30" i="19"/>
  <c r="C7" i="18"/>
  <c r="D7" i="18"/>
  <c r="D11" i="18" s="1"/>
  <c r="G7" i="18"/>
  <c r="H7" i="18"/>
  <c r="K7" i="18"/>
  <c r="L7" i="18"/>
  <c r="C8" i="18"/>
  <c r="G8" i="18"/>
  <c r="K8" i="18"/>
  <c r="C10" i="18"/>
  <c r="C13" i="18" s="1"/>
  <c r="C18" i="18" s="1"/>
  <c r="G10" i="18"/>
  <c r="G13" i="18" s="1"/>
  <c r="G18" i="18" s="1"/>
  <c r="K10" i="18"/>
  <c r="K13" i="18" s="1"/>
  <c r="K18" i="18" s="1"/>
  <c r="C11" i="18"/>
  <c r="G11" i="18"/>
  <c r="H11" i="18"/>
  <c r="K11" i="18"/>
  <c r="L11" i="18"/>
  <c r="Q20" i="17"/>
  <c r="P20" i="17"/>
  <c r="O20" i="17"/>
  <c r="N20" i="17"/>
  <c r="M20" i="17"/>
  <c r="K20" i="17"/>
  <c r="K21" i="17" s="1"/>
  <c r="Q19" i="17"/>
  <c r="P19" i="17"/>
  <c r="M19" i="17"/>
  <c r="K19" i="17"/>
  <c r="Q18" i="17"/>
  <c r="P18" i="17"/>
  <c r="M18" i="17"/>
  <c r="L18" i="17"/>
  <c r="K18" i="17"/>
  <c r="O9" i="17"/>
  <c r="N9" i="17"/>
  <c r="Q9" i="17"/>
  <c r="Q8" i="17"/>
  <c r="Q7" i="17"/>
  <c r="P9" i="17"/>
  <c r="P8" i="17"/>
  <c r="P7" i="17"/>
  <c r="M9" i="17"/>
  <c r="M8" i="17"/>
  <c r="M7" i="17"/>
  <c r="L7" i="17"/>
  <c r="K9" i="17"/>
  <c r="K8" i="17"/>
  <c r="K7" i="17"/>
  <c r="Q18" i="15"/>
  <c r="P18" i="15"/>
  <c r="O18" i="15"/>
  <c r="N18" i="15"/>
  <c r="M18" i="15"/>
  <c r="K18" i="15"/>
  <c r="Q17" i="15"/>
  <c r="P17" i="15"/>
  <c r="M17" i="15"/>
  <c r="K17" i="15"/>
  <c r="Q16" i="15"/>
  <c r="P16" i="15"/>
  <c r="M16" i="15"/>
  <c r="L16" i="15"/>
  <c r="K16" i="15"/>
  <c r="O8" i="15"/>
  <c r="N8" i="15"/>
  <c r="Q8" i="15"/>
  <c r="P8" i="15"/>
  <c r="Q7" i="15"/>
  <c r="P7" i="15"/>
  <c r="Q6" i="15"/>
  <c r="P6" i="15"/>
  <c r="M8" i="15"/>
  <c r="M7" i="15"/>
  <c r="M6" i="15"/>
  <c r="L6" i="15"/>
  <c r="K7" i="15"/>
  <c r="K8" i="15"/>
  <c r="K6" i="15"/>
  <c r="L10" i="6"/>
  <c r="K10" i="6"/>
  <c r="P28" i="19" l="1"/>
  <c r="P31" i="19" s="1"/>
  <c r="P32" i="19" s="1"/>
  <c r="P13" i="19"/>
  <c r="Q28" i="19"/>
  <c r="Q31" i="19" s="1"/>
  <c r="Q32" i="19" s="1"/>
  <c r="Q13" i="19"/>
  <c r="P21" i="17"/>
  <c r="Q21" i="17"/>
  <c r="K13" i="19"/>
  <c r="K31" i="19" s="1"/>
  <c r="K32" i="19" s="1"/>
  <c r="K19" i="15"/>
  <c r="Q19" i="15"/>
  <c r="P19" i="15"/>
  <c r="P10" i="17"/>
  <c r="Q10" i="17"/>
  <c r="K10" i="17"/>
  <c r="K9" i="15"/>
  <c r="Q9" i="15"/>
  <c r="P9" i="15"/>
  <c r="Q29" i="12"/>
  <c r="P29" i="12"/>
  <c r="P30" i="12" s="1"/>
  <c r="P33" i="12" s="1"/>
  <c r="P34" i="12" s="1"/>
  <c r="O29" i="12"/>
  <c r="N29" i="12"/>
  <c r="M29" i="12"/>
  <c r="Q27" i="12"/>
  <c r="P27" i="12"/>
  <c r="M27" i="12"/>
  <c r="L27" i="12"/>
  <c r="K29" i="12"/>
  <c r="K30" i="12" s="1"/>
  <c r="K33" i="12" s="1"/>
  <c r="K34" i="12" s="1"/>
  <c r="K27" i="12"/>
  <c r="Q12" i="12"/>
  <c r="Q13" i="12" s="1"/>
  <c r="P12" i="12"/>
  <c r="P13" i="12" s="1"/>
  <c r="O12" i="12"/>
  <c r="N12" i="12"/>
  <c r="M12" i="12"/>
  <c r="K12" i="12"/>
  <c r="K13" i="12" s="1"/>
  <c r="Q10" i="12"/>
  <c r="P10" i="12"/>
  <c r="M10" i="12"/>
  <c r="L10" i="12"/>
  <c r="K10" i="12"/>
  <c r="Q26" i="10"/>
  <c r="K24" i="10"/>
  <c r="P26" i="10"/>
  <c r="O26" i="10"/>
  <c r="N26" i="10"/>
  <c r="M26" i="10"/>
  <c r="K26" i="10"/>
  <c r="Q24" i="10"/>
  <c r="P24" i="10"/>
  <c r="M24" i="10"/>
  <c r="L24" i="10"/>
  <c r="Q12" i="10"/>
  <c r="P12" i="10"/>
  <c r="O12" i="10"/>
  <c r="N12" i="10"/>
  <c r="M12" i="10"/>
  <c r="Q10" i="10"/>
  <c r="P10" i="10"/>
  <c r="M10" i="10"/>
  <c r="L10" i="10"/>
  <c r="K12" i="10"/>
  <c r="K10" i="10"/>
  <c r="K20" i="8"/>
  <c r="Q22" i="8"/>
  <c r="P22" i="8"/>
  <c r="O22" i="8"/>
  <c r="N22" i="8"/>
  <c r="M22" i="8"/>
  <c r="K22" i="8"/>
  <c r="Q20" i="8"/>
  <c r="P20" i="8"/>
  <c r="M20" i="8"/>
  <c r="L20" i="8"/>
  <c r="K8" i="8"/>
  <c r="Q10" i="8"/>
  <c r="P10" i="8"/>
  <c r="O10" i="8"/>
  <c r="N10" i="8"/>
  <c r="M10" i="8"/>
  <c r="K10" i="8"/>
  <c r="Q8" i="8"/>
  <c r="P8" i="8"/>
  <c r="M8" i="8"/>
  <c r="L8" i="8"/>
  <c r="P11" i="6"/>
  <c r="M10" i="6"/>
  <c r="Q12" i="6"/>
  <c r="P12" i="6"/>
  <c r="O12" i="6"/>
  <c r="N12" i="6"/>
  <c r="M12" i="6"/>
  <c r="K12" i="6"/>
  <c r="Q11" i="6"/>
  <c r="M11" i="6"/>
  <c r="K11" i="6"/>
  <c r="Q10" i="6"/>
  <c r="P10" i="6"/>
  <c r="N10" i="6"/>
  <c r="O33" i="6"/>
  <c r="N33" i="6"/>
  <c r="Q33" i="6"/>
  <c r="Q32" i="6"/>
  <c r="Q31" i="6"/>
  <c r="P33" i="6"/>
  <c r="P32" i="6"/>
  <c r="P31" i="6"/>
  <c r="M33" i="6"/>
  <c r="M32" i="6"/>
  <c r="M31" i="6"/>
  <c r="K33" i="6"/>
  <c r="K32" i="6"/>
  <c r="K31" i="6"/>
  <c r="O31" i="6"/>
  <c r="L31" i="6"/>
  <c r="Q24" i="2"/>
  <c r="P24" i="2"/>
  <c r="O24" i="2"/>
  <c r="N24" i="2"/>
  <c r="M24" i="2"/>
  <c r="K24" i="2"/>
  <c r="Q22" i="2"/>
  <c r="P22" i="2"/>
  <c r="O22" i="2"/>
  <c r="N22" i="2"/>
  <c r="M22" i="2"/>
  <c r="L22" i="2"/>
  <c r="K22" i="2"/>
  <c r="Q9" i="2"/>
  <c r="P9" i="2"/>
  <c r="M9" i="2"/>
  <c r="K9" i="2"/>
  <c r="Q38" i="6" l="1"/>
  <c r="K34" i="6"/>
  <c r="P38" i="6"/>
  <c r="K23" i="8"/>
  <c r="K25" i="2"/>
  <c r="Q13" i="10"/>
  <c r="K27" i="10"/>
  <c r="K13" i="10"/>
  <c r="Q27" i="10"/>
  <c r="Q30" i="10"/>
  <c r="Q31" i="10" s="1"/>
  <c r="P27" i="10"/>
  <c r="P13" i="10"/>
  <c r="Q30" i="12"/>
  <c r="Q33" i="12" s="1"/>
  <c r="Q34" i="12" s="1"/>
  <c r="P23" i="8"/>
  <c r="Q23" i="8"/>
  <c r="K11" i="8"/>
  <c r="K26" i="8" s="1"/>
  <c r="K27" i="8" s="1"/>
  <c r="P11" i="8"/>
  <c r="Q11" i="8"/>
  <c r="P13" i="6"/>
  <c r="Q13" i="6"/>
  <c r="P34" i="6"/>
  <c r="P36" i="6" s="1"/>
  <c r="P37" i="6" s="1"/>
  <c r="K13" i="6"/>
  <c r="K36" i="6" s="1"/>
  <c r="K37" i="6" s="1"/>
  <c r="Q34" i="6"/>
  <c r="Q36" i="6" s="1"/>
  <c r="Q37" i="6" s="1"/>
  <c r="P25" i="2"/>
  <c r="Q25" i="2"/>
  <c r="P30" i="10" l="1"/>
  <c r="P31" i="10" s="1"/>
  <c r="K30" i="10"/>
  <c r="K31" i="10" s="1"/>
  <c r="Q26" i="8"/>
  <c r="Q27" i="8" s="1"/>
  <c r="P26" i="8"/>
  <c r="P27" i="8" s="1"/>
  <c r="L9" i="2"/>
  <c r="Q11" i="2"/>
  <c r="P11" i="2"/>
  <c r="O11" i="2"/>
  <c r="N11" i="2"/>
  <c r="M11" i="2"/>
  <c r="K11" i="2"/>
  <c r="K12" i="2" l="1"/>
  <c r="K28" i="2" s="1"/>
  <c r="K29" i="2" s="1"/>
  <c r="P12" i="2"/>
  <c r="P28" i="2" s="1"/>
  <c r="P29" i="2" s="1"/>
  <c r="Q12" i="2"/>
  <c r="Q28" i="2" s="1"/>
  <c r="Q29" i="2" s="1"/>
</calcChain>
</file>

<file path=xl/sharedStrings.xml><?xml version="1.0" encoding="utf-8"?>
<sst xmlns="http://schemas.openxmlformats.org/spreadsheetml/2006/main" count="728" uniqueCount="77">
  <si>
    <t>Cluster name</t>
  </si>
  <si>
    <t>Avg waste filling level in PUP (m3)</t>
  </si>
  <si>
    <t>Max waste filling level in PUP (m3)</t>
  </si>
  <si>
    <t>Cumulative waste qty (m3)</t>
  </si>
  <si>
    <t>Avg cycle time(days)</t>
  </si>
  <si>
    <t>Uniepark</t>
  </si>
  <si>
    <t>Simonswyk</t>
  </si>
  <si>
    <t>Brandwacht</t>
  </si>
  <si>
    <t>Paradyskloof</t>
  </si>
  <si>
    <t>Jamestown</t>
  </si>
  <si>
    <t>Welgevonden</t>
  </si>
  <si>
    <t>Die Boord</t>
  </si>
  <si>
    <t>Idas Valley</t>
  </si>
  <si>
    <t>Cloetesville</t>
  </si>
  <si>
    <t>Kayamandi1</t>
  </si>
  <si>
    <t>Kayamandi2</t>
  </si>
  <si>
    <t>Truck ID</t>
  </si>
  <si>
    <t>Cum collection requests received</t>
  </si>
  <si>
    <t>Completed collection requests</t>
  </si>
  <si>
    <t>Avg collection requests queue length</t>
  </si>
  <si>
    <t>Total travel time (hrs)</t>
  </si>
  <si>
    <t>Avg filling level at disposal (m3)</t>
  </si>
  <si>
    <t>Total Waste Disposed</t>
  </si>
  <si>
    <t>Number of breakdowns</t>
  </si>
  <si>
    <t>Number of Maintenance</t>
  </si>
  <si>
    <t>Total Distance Travelled</t>
  </si>
  <si>
    <t>CO2 emission</t>
  </si>
  <si>
    <t>Truck 0</t>
  </si>
  <si>
    <t>Truck 1</t>
  </si>
  <si>
    <t>Truck 2</t>
  </si>
  <si>
    <t>Truck 3</t>
  </si>
  <si>
    <t>Truck 4</t>
  </si>
  <si>
    <t>AVG</t>
  </si>
  <si>
    <t>STD</t>
  </si>
  <si>
    <t>TOTAL</t>
  </si>
  <si>
    <t>KPI/m3</t>
  </si>
  <si>
    <t>CS</t>
  </si>
  <si>
    <t>SS</t>
  </si>
  <si>
    <t>Truck 5</t>
  </si>
  <si>
    <t>Truck 6</t>
  </si>
  <si>
    <t>Truck 7</t>
  </si>
  <si>
    <t>Truck 8</t>
  </si>
  <si>
    <t>Truck 9</t>
  </si>
  <si>
    <t>Truck 10</t>
  </si>
  <si>
    <t>Truck 11</t>
  </si>
  <si>
    <t>CC</t>
  </si>
  <si>
    <t>% change</t>
  </si>
  <si>
    <t>Change in KPI/m3</t>
  </si>
  <si>
    <t>t</t>
  </si>
  <si>
    <t>n</t>
  </si>
  <si>
    <t>x</t>
  </si>
  <si>
    <t>s2</t>
  </si>
  <si>
    <t>S1</t>
  </si>
  <si>
    <t>S2</t>
  </si>
  <si>
    <t>s</t>
  </si>
  <si>
    <t>n-1</t>
  </si>
  <si>
    <t>Vnum</t>
  </si>
  <si>
    <t>Vden1</t>
  </si>
  <si>
    <t>V</t>
  </si>
  <si>
    <t>distance</t>
  </si>
  <si>
    <t>time</t>
  </si>
  <si>
    <t>CO2</t>
  </si>
  <si>
    <t>tc</t>
  </si>
  <si>
    <t>p</t>
  </si>
  <si>
    <t>Trucks Available</t>
  </si>
  <si>
    <t>Trucks used</t>
  </si>
  <si>
    <t>Total distance/me</t>
  </si>
  <si>
    <t>Total time/m3</t>
  </si>
  <si>
    <t>CO2 Emissions/me</t>
  </si>
  <si>
    <t>No of bins overflow</t>
  </si>
  <si>
    <t>Max bin level</t>
  </si>
  <si>
    <t>Aggregate</t>
  </si>
  <si>
    <t>Total hrs/m3</t>
  </si>
  <si>
    <t>Total km/m3</t>
  </si>
  <si>
    <t>CO2 Emissions/m3</t>
  </si>
  <si>
    <t>No of bin overflows</t>
  </si>
  <si>
    <t>Max filling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</si>
</sst>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.000_);_(* \(#,##0.000\);_(* &quot;-&quot;??_);_(@_)"/>
    <numFmt numFmtId="166" formatCode="0.00000"/>
    <numFmt numFmtId="167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2" fontId="0" fillId="0" borderId="0" xfId="0" applyNumberFormat="1"/>
    <xf numFmtId="43" fontId="0" fillId="0" borderId="0" xfId="1" applyFont="1"/>
    <xf numFmtId="0" fontId="18" fillId="0" borderId="0" xfId="0" applyFont="1"/>
    <xf numFmtId="43" fontId="0" fillId="0" borderId="0" xfId="0" applyNumberFormat="1"/>
    <xf numFmtId="164" fontId="0" fillId="0" borderId="0" xfId="2" applyNumberFormat="1" applyFont="1"/>
    <xf numFmtId="0" fontId="0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43" fontId="16" fillId="0" borderId="0" xfId="1" applyFont="1"/>
    <xf numFmtId="2" fontId="16" fillId="0" borderId="0" xfId="0" applyNumberFormat="1" applyFont="1"/>
    <xf numFmtId="43" fontId="16" fillId="0" borderId="0" xfId="0" applyNumberFormat="1" applyFont="1"/>
    <xf numFmtId="164" fontId="16" fillId="0" borderId="0" xfId="2" applyNumberFormat="1" applyFont="1"/>
    <xf numFmtId="1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43" fontId="0" fillId="0" borderId="0" xfId="1" applyNumberFormat="1" applyFont="1"/>
    <xf numFmtId="43" fontId="16" fillId="0" borderId="0" xfId="1" applyNumberFormat="1" applyFont="1"/>
    <xf numFmtId="0" fontId="0" fillId="0" borderId="0" xfId="0" applyAlignment="1">
      <alignment horizontal="center"/>
    </xf>
    <xf numFmtId="167" fontId="0" fillId="0" borderId="0" xfId="1" applyNumberFormat="1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3" xfId="0" applyNumberFormat="1" applyBorder="1"/>
    <xf numFmtId="43" fontId="0" fillId="0" borderId="14" xfId="1" applyFont="1" applyBorder="1"/>
    <xf numFmtId="43" fontId="0" fillId="0" borderId="13" xfId="1" applyFont="1" applyBorder="1"/>
    <xf numFmtId="43" fontId="0" fillId="0" borderId="15" xfId="1" applyFont="1" applyBorder="1"/>
    <xf numFmtId="43" fontId="0" fillId="0" borderId="16" xfId="1" applyFon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0" fontId="16" fillId="0" borderId="10" xfId="0" applyFont="1" applyBorder="1"/>
    <xf numFmtId="0" fontId="16" fillId="0" borderId="19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40AF-BAA3-49D7-B550-639AE9BF93CD}">
  <dimension ref="A1:Q44"/>
  <sheetViews>
    <sheetView workbookViewId="0">
      <pane ySplit="2" topLeftCell="A3" activePane="bottomLeft" state="frozen"/>
      <selection pane="bottomLeft" activeCell="J38" sqref="J38"/>
    </sheetView>
  </sheetViews>
  <sheetFormatPr defaultRowHeight="14.4" x14ac:dyDescent="0.3"/>
  <cols>
    <col min="4" max="4" width="22.109375" bestFit="1" customWidth="1"/>
    <col min="8" max="8" width="12.6640625" customWidth="1"/>
    <col min="9" max="9" width="13" customWidth="1"/>
    <col min="10" max="10" width="15.88671875" customWidth="1"/>
    <col min="11" max="11" width="14.77734375" customWidth="1"/>
    <col min="12" max="12" width="19.21875" customWidth="1"/>
    <col min="13" max="13" width="18.33203125" bestFit="1" customWidth="1"/>
    <col min="14" max="14" width="16.6640625" customWidth="1"/>
    <col min="15" max="15" width="15.6640625" customWidth="1"/>
    <col min="16" max="16" width="20.109375" bestFit="1" customWidth="1"/>
    <col min="17" max="17" width="12.109375" bestFit="1" customWidth="1"/>
  </cols>
  <sheetData>
    <row r="1" spans="1:17" ht="18" x14ac:dyDescent="0.35">
      <c r="A1" t="s">
        <v>36</v>
      </c>
      <c r="G1" s="3" t="s">
        <v>45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 s="1">
        <v>0.54226365848940805</v>
      </c>
      <c r="C3" s="1">
        <v>1.09740113204038</v>
      </c>
      <c r="D3" s="1">
        <v>372.11908483563298</v>
      </c>
      <c r="E3" s="1">
        <v>6.4459259259259198</v>
      </c>
      <c r="G3" t="s">
        <v>27</v>
      </c>
      <c r="H3">
        <v>17614</v>
      </c>
      <c r="I3">
        <v>17614</v>
      </c>
      <c r="J3" s="2">
        <v>25.501419325536499</v>
      </c>
      <c r="K3" s="2">
        <v>2492.0487701449902</v>
      </c>
      <c r="L3" s="2">
        <v>12.334565651759201</v>
      </c>
      <c r="M3" s="2">
        <v>7426.7215360817499</v>
      </c>
      <c r="N3" s="14">
        <v>0</v>
      </c>
      <c r="O3" s="14">
        <v>0</v>
      </c>
      <c r="P3" s="2">
        <v>33715.468723000296</v>
      </c>
      <c r="Q3" s="2">
        <v>29518.263799459</v>
      </c>
    </row>
    <row r="4" spans="1:17" x14ac:dyDescent="0.3">
      <c r="A4" t="s">
        <v>6</v>
      </c>
      <c r="B4" s="1">
        <v>0.54228157484706496</v>
      </c>
      <c r="C4" s="1">
        <v>1.1117265049801801</v>
      </c>
      <c r="D4" s="1">
        <v>373.62386732824899</v>
      </c>
      <c r="E4" s="1">
        <v>6.4171511627906899</v>
      </c>
      <c r="G4" t="s">
        <v>28</v>
      </c>
      <c r="H4">
        <v>17333</v>
      </c>
      <c r="I4">
        <v>17333</v>
      </c>
      <c r="J4" s="2">
        <v>25.107886690128598</v>
      </c>
      <c r="K4" s="2">
        <v>2464.0629055174199</v>
      </c>
      <c r="L4" s="2">
        <v>12.334565651759201</v>
      </c>
      <c r="M4" s="2">
        <v>7017.7017113850798</v>
      </c>
      <c r="N4" s="14">
        <v>0</v>
      </c>
      <c r="O4" s="14">
        <v>0</v>
      </c>
      <c r="P4" s="2">
        <v>33372.468801999697</v>
      </c>
      <c r="Q4" s="2">
        <v>29025.1275882181</v>
      </c>
    </row>
    <row r="5" spans="1:17" x14ac:dyDescent="0.3">
      <c r="A5" t="s">
        <v>7</v>
      </c>
      <c r="B5" s="1">
        <v>0.51042396155209402</v>
      </c>
      <c r="C5" s="1">
        <v>0.614601344338228</v>
      </c>
      <c r="D5" s="1">
        <v>483.19792771054398</v>
      </c>
      <c r="E5" s="1">
        <v>5.9423076923076898</v>
      </c>
      <c r="G5" t="s">
        <v>29</v>
      </c>
      <c r="H5">
        <v>17193</v>
      </c>
      <c r="I5">
        <v>17193</v>
      </c>
      <c r="J5" s="2">
        <v>24.8750654336067</v>
      </c>
      <c r="K5" s="2">
        <v>2448.79304494594</v>
      </c>
      <c r="L5" s="2">
        <v>12.334565651759201</v>
      </c>
      <c r="M5" s="2">
        <v>7116.1688908933302</v>
      </c>
      <c r="N5" s="14">
        <v>0</v>
      </c>
      <c r="O5" s="14">
        <v>0</v>
      </c>
      <c r="P5" s="2">
        <v>33033.772677000903</v>
      </c>
      <c r="Q5" s="2">
        <v>28865.019187664799</v>
      </c>
    </row>
    <row r="6" spans="1:17" x14ac:dyDescent="0.3">
      <c r="A6" t="s">
        <v>8</v>
      </c>
      <c r="B6" s="1">
        <v>0.51071953894659605</v>
      </c>
      <c r="C6" s="1">
        <v>1.11946731723082</v>
      </c>
      <c r="D6" s="1">
        <v>1569.9557849451501</v>
      </c>
      <c r="E6" s="1">
        <v>6.0055320533680403</v>
      </c>
      <c r="G6" t="s">
        <v>30</v>
      </c>
      <c r="H6">
        <v>11710</v>
      </c>
      <c r="I6">
        <v>11710</v>
      </c>
      <c r="J6" s="2">
        <v>24.2913748932536</v>
      </c>
      <c r="K6" s="2">
        <v>1665.22219466042</v>
      </c>
      <c r="L6" s="2">
        <v>12.334565651759201</v>
      </c>
      <c r="M6" s="2">
        <v>4381.1357334877302</v>
      </c>
      <c r="N6" s="14">
        <v>0</v>
      </c>
      <c r="O6" s="14">
        <v>0</v>
      </c>
      <c r="P6" s="2">
        <v>21952.596584000199</v>
      </c>
      <c r="Q6" s="2">
        <v>18981.023992741899</v>
      </c>
    </row>
    <row r="7" spans="1:17" x14ac:dyDescent="0.3">
      <c r="A7" t="s">
        <v>9</v>
      </c>
      <c r="B7" s="1">
        <v>0.50397474083748495</v>
      </c>
      <c r="C7" s="1">
        <v>0.63143176099699105</v>
      </c>
      <c r="D7" s="1">
        <v>1598.6613958318101</v>
      </c>
      <c r="E7" s="1">
        <v>5.9038461538461497</v>
      </c>
      <c r="G7" t="s">
        <v>31</v>
      </c>
      <c r="H7">
        <v>11710</v>
      </c>
      <c r="I7">
        <v>11710</v>
      </c>
      <c r="J7" s="2">
        <v>24.2913748932536</v>
      </c>
      <c r="K7" s="2">
        <v>1650.0378577655799</v>
      </c>
      <c r="L7" s="2">
        <v>12.334565651759201</v>
      </c>
      <c r="M7" s="2">
        <v>4420.9953595663801</v>
      </c>
      <c r="N7" s="14">
        <v>0</v>
      </c>
      <c r="O7" s="14">
        <v>0</v>
      </c>
      <c r="P7" s="2">
        <v>20962.387173999701</v>
      </c>
      <c r="Q7" s="2">
        <v>18181.951217098202</v>
      </c>
    </row>
    <row r="8" spans="1:17" x14ac:dyDescent="0.3">
      <c r="A8" t="s">
        <v>10</v>
      </c>
      <c r="B8" s="1">
        <v>0.50626937188758003</v>
      </c>
      <c r="C8" s="1">
        <v>0.652733843442592</v>
      </c>
      <c r="D8" s="1">
        <v>1922.16190345991</v>
      </c>
      <c r="E8" s="1">
        <v>5.9230769230769198</v>
      </c>
      <c r="G8" t="s">
        <v>38</v>
      </c>
      <c r="H8">
        <v>11710</v>
      </c>
      <c r="I8">
        <v>11710</v>
      </c>
      <c r="J8" s="2">
        <v>24.2913748932536</v>
      </c>
      <c r="K8" s="2">
        <v>1650.93927982535</v>
      </c>
      <c r="L8" s="2">
        <v>12.334565651759201</v>
      </c>
      <c r="M8" s="2">
        <v>4420.7519065466804</v>
      </c>
      <c r="N8" s="14">
        <v>0</v>
      </c>
      <c r="O8" s="14">
        <v>0</v>
      </c>
      <c r="P8" s="2">
        <v>21061.1949030002</v>
      </c>
      <c r="Q8" s="2">
        <v>18247.862419468998</v>
      </c>
    </row>
    <row r="9" spans="1:17" x14ac:dyDescent="0.3">
      <c r="A9" t="s">
        <v>11</v>
      </c>
      <c r="B9" s="1">
        <v>0.511122742573343</v>
      </c>
      <c r="C9" s="1">
        <v>1.1247986878417899</v>
      </c>
      <c r="D9" s="1">
        <v>1973.3016148386901</v>
      </c>
      <c r="E9" s="1">
        <v>5.9965744400526999</v>
      </c>
    </row>
    <row r="10" spans="1:17" x14ac:dyDescent="0.3">
      <c r="A10" t="s">
        <v>12</v>
      </c>
      <c r="B10" s="1">
        <v>0.17415801066543801</v>
      </c>
      <c r="C10" s="1">
        <v>0.527639387027248</v>
      </c>
      <c r="D10" s="1">
        <v>2846.9347398252198</v>
      </c>
      <c r="E10" s="1">
        <v>1.3891547049441699</v>
      </c>
      <c r="G10" t="s">
        <v>32</v>
      </c>
      <c r="H10" s="2"/>
      <c r="J10" s="2"/>
      <c r="K10" s="16">
        <f>AVERAGE(K3:K8)</f>
        <v>2061.8506754766167</v>
      </c>
      <c r="L10" s="16">
        <f>AVERAGE(L3:L8)</f>
        <v>12.334565651759201</v>
      </c>
      <c r="M10" s="16">
        <f>AVERAGE(M3:M8)</f>
        <v>5797.2458563268256</v>
      </c>
      <c r="N10" s="16">
        <f>AVERAGE(N3:N8)</f>
        <v>0</v>
      </c>
      <c r="O10" s="16">
        <v>0</v>
      </c>
      <c r="P10" s="16">
        <f>AVERAGE(P3:P8)</f>
        <v>27349.648143833499</v>
      </c>
      <c r="Q10" s="16">
        <f>AVERAGE(Q3:Q8)</f>
        <v>23803.208034108498</v>
      </c>
    </row>
    <row r="11" spans="1:17" s="7" customFormat="1" x14ac:dyDescent="0.3">
      <c r="A11" t="s">
        <v>13</v>
      </c>
      <c r="B11" s="1">
        <v>0.76571711432730105</v>
      </c>
      <c r="C11" s="1">
        <v>1.77293467321578</v>
      </c>
      <c r="D11" s="1">
        <v>6674.8482776864803</v>
      </c>
      <c r="E11" s="1">
        <v>5.9926571821936596</v>
      </c>
      <c r="G11" t="s">
        <v>33</v>
      </c>
      <c r="H11"/>
      <c r="I11"/>
      <c r="J11"/>
      <c r="K11" s="4">
        <f>_xlfn.STDEV.S(K3:K8)</f>
        <v>445.49334442682073</v>
      </c>
      <c r="L11" s="4"/>
      <c r="M11" s="4">
        <f>_xlfn.STDEV.S(M3:M8)</f>
        <v>1528.2951521084499</v>
      </c>
      <c r="N11" s="4"/>
      <c r="O11" s="4"/>
      <c r="P11" s="4">
        <f>_xlfn.STDEV.S(P3:P8)</f>
        <v>6611.7656406370197</v>
      </c>
      <c r="Q11" s="4">
        <f>_xlfn.STDEV.S(Q3:Q8)</f>
        <v>5852.6248882807222</v>
      </c>
    </row>
    <row r="12" spans="1:17" s="7" customFormat="1" x14ac:dyDescent="0.3">
      <c r="A12" t="s">
        <v>14</v>
      </c>
      <c r="B12" s="1">
        <v>0.76953413443778496</v>
      </c>
      <c r="C12" s="1">
        <v>1.69076921865449</v>
      </c>
      <c r="D12" s="1">
        <v>8595.2483701974197</v>
      </c>
      <c r="E12" s="1">
        <v>6.0252580119500196</v>
      </c>
      <c r="G12" s="7" t="s">
        <v>34</v>
      </c>
      <c r="I12" s="9"/>
      <c r="K12" s="17">
        <f>SUM(K3:K8)</f>
        <v>12371.1040528597</v>
      </c>
      <c r="L12" s="11"/>
      <c r="M12" s="17">
        <f>SUM(M3:M8)</f>
        <v>34783.475137960952</v>
      </c>
      <c r="N12" s="17">
        <f>SUM(N3:N8)</f>
        <v>0</v>
      </c>
      <c r="O12" s="17">
        <f>SUM(O3:O8)</f>
        <v>0</v>
      </c>
      <c r="P12" s="17">
        <f>SUM(P3:P8)</f>
        <v>164097.88886300099</v>
      </c>
      <c r="Q12" s="17">
        <f>SUM(Q3:Q8)</f>
        <v>142819.248204651</v>
      </c>
    </row>
    <row r="13" spans="1:17" x14ac:dyDescent="0.3">
      <c r="A13" t="s">
        <v>15</v>
      </c>
      <c r="B13" s="1">
        <v>0.25870849588596401</v>
      </c>
      <c r="C13" s="1">
        <v>0.81009057411542995</v>
      </c>
      <c r="D13" s="1">
        <v>8600.0078335818398</v>
      </c>
      <c r="E13" s="1">
        <v>1.36078431372549</v>
      </c>
      <c r="G13" s="7" t="s">
        <v>35</v>
      </c>
      <c r="H13" s="7"/>
      <c r="I13" s="7"/>
      <c r="J13" s="7"/>
      <c r="K13" s="10">
        <f>K12/M12</f>
        <v>0.35566038194264532</v>
      </c>
      <c r="L13" s="10"/>
      <c r="M13" s="10"/>
      <c r="N13" s="10"/>
      <c r="O13" s="10"/>
      <c r="P13" s="10">
        <f>P12/M12</f>
        <v>4.717696785963537</v>
      </c>
      <c r="Q13" s="10">
        <f>Q12/M12</f>
        <v>4.1059511057532374</v>
      </c>
    </row>
    <row r="14" spans="1:17" x14ac:dyDescent="0.3">
      <c r="D14" s="1"/>
      <c r="E14" s="1"/>
    </row>
    <row r="15" spans="1:17" x14ac:dyDescent="0.3">
      <c r="A15" t="s">
        <v>71</v>
      </c>
      <c r="B15" s="2">
        <f>AVERAGE(B3:B13)</f>
        <v>0.50865212222273259</v>
      </c>
      <c r="C15" s="2">
        <f>MAX(C3:C13)</f>
        <v>1.77293467321578</v>
      </c>
      <c r="D15" s="2">
        <f>SUM(D3:D13)</f>
        <v>35010.060800240943</v>
      </c>
      <c r="E15" s="2">
        <f>AVERAGE(E3:E13)</f>
        <v>5.2183880512892227</v>
      </c>
    </row>
    <row r="16" spans="1:17" x14ac:dyDescent="0.3">
      <c r="D16" s="1"/>
      <c r="E16" s="1"/>
    </row>
    <row r="17" spans="1:17" ht="18" x14ac:dyDescent="0.35">
      <c r="A17" t="s">
        <v>37</v>
      </c>
      <c r="G17" s="3" t="s">
        <v>37</v>
      </c>
      <c r="H17" s="3"/>
    </row>
    <row r="18" spans="1:17" x14ac:dyDescent="0.3">
      <c r="A18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  <c r="P18" t="s">
        <v>25</v>
      </c>
      <c r="Q18" t="s">
        <v>26</v>
      </c>
    </row>
    <row r="19" spans="1:17" x14ac:dyDescent="0.3">
      <c r="A19" t="s">
        <v>5</v>
      </c>
      <c r="B19" s="1">
        <v>1.01831583672251</v>
      </c>
      <c r="C19" s="1">
        <v>1.1630501921687399</v>
      </c>
      <c r="D19" s="1">
        <v>371.67875732978598</v>
      </c>
      <c r="E19" s="1">
        <v>13</v>
      </c>
      <c r="G19" t="s">
        <v>27</v>
      </c>
      <c r="H19">
        <v>2372</v>
      </c>
      <c r="I19">
        <v>2369</v>
      </c>
      <c r="J19" s="2">
        <v>6.8891231028667699</v>
      </c>
      <c r="K19" s="2">
        <v>586.14154751280205</v>
      </c>
      <c r="L19" s="2">
        <v>18.218510934819101</v>
      </c>
      <c r="M19" s="2">
        <v>3293.8590705891402</v>
      </c>
      <c r="N19" s="2">
        <v>1</v>
      </c>
      <c r="O19" s="2">
        <v>0</v>
      </c>
      <c r="P19" s="2">
        <v>7316.1875049999899</v>
      </c>
      <c r="Q19" s="2">
        <v>6620.25836316404</v>
      </c>
    </row>
    <row r="20" spans="1:17" x14ac:dyDescent="0.3">
      <c r="A20" t="s">
        <v>6</v>
      </c>
      <c r="B20" s="1">
        <v>1.02314130463751</v>
      </c>
      <c r="C20" s="1">
        <v>1.1879629016267399</v>
      </c>
      <c r="D20" s="1">
        <v>373.48526818611299</v>
      </c>
      <c r="E20" s="1">
        <v>13</v>
      </c>
      <c r="G20" t="s">
        <v>28</v>
      </c>
      <c r="H20">
        <v>2600</v>
      </c>
      <c r="I20">
        <v>2600</v>
      </c>
      <c r="J20" s="2">
        <v>7.9123076923076896</v>
      </c>
      <c r="K20" s="2">
        <v>571.86729159295101</v>
      </c>
      <c r="L20" s="2">
        <v>18.218510934819101</v>
      </c>
      <c r="M20" s="2">
        <v>3547.95894780966</v>
      </c>
      <c r="N20" s="2">
        <v>1</v>
      </c>
      <c r="O20" s="2">
        <v>0</v>
      </c>
      <c r="P20" s="2">
        <v>6623.5740380000098</v>
      </c>
      <c r="Q20" s="2">
        <v>6120.28366021901</v>
      </c>
    </row>
    <row r="21" spans="1:17" x14ac:dyDescent="0.3">
      <c r="A21" t="s">
        <v>7</v>
      </c>
      <c r="B21" s="1">
        <v>1.0231003928193401</v>
      </c>
      <c r="C21" s="1">
        <v>1.20037037307877</v>
      </c>
      <c r="D21" s="1">
        <v>480.12624525300402</v>
      </c>
      <c r="E21" s="1">
        <v>13</v>
      </c>
      <c r="G21" t="s">
        <v>29</v>
      </c>
      <c r="H21">
        <v>2559</v>
      </c>
      <c r="I21">
        <v>2557</v>
      </c>
      <c r="J21" s="2">
        <v>8.2958186791715498</v>
      </c>
      <c r="K21" s="2">
        <v>565.52516982238706</v>
      </c>
      <c r="L21" s="2">
        <v>18.218510934819101</v>
      </c>
      <c r="M21" s="2">
        <v>3419.54605470865</v>
      </c>
      <c r="N21" s="2">
        <v>1</v>
      </c>
      <c r="O21" s="2">
        <v>0</v>
      </c>
      <c r="P21" s="2">
        <v>7339.9134050000102</v>
      </c>
      <c r="Q21" s="2">
        <v>6867.1909851229802</v>
      </c>
    </row>
    <row r="22" spans="1:17" x14ac:dyDescent="0.3">
      <c r="A22" t="s">
        <v>8</v>
      </c>
      <c r="B22" s="1">
        <v>1.02293377705939</v>
      </c>
      <c r="C22" s="1">
        <v>1.18188776811552</v>
      </c>
      <c r="D22" s="1">
        <v>1573.6482776974101</v>
      </c>
      <c r="E22" s="1">
        <v>13</v>
      </c>
      <c r="G22" t="s">
        <v>30</v>
      </c>
      <c r="H22">
        <v>2373</v>
      </c>
      <c r="I22">
        <v>2373</v>
      </c>
      <c r="J22" s="2">
        <v>8.6881584492203903</v>
      </c>
      <c r="K22" s="2">
        <v>496.05332603037903</v>
      </c>
      <c r="L22" s="2">
        <v>18.218510934819101</v>
      </c>
      <c r="M22" s="2">
        <v>3111.2377398835702</v>
      </c>
      <c r="N22" s="2">
        <v>1</v>
      </c>
      <c r="O22" s="2">
        <v>0</v>
      </c>
      <c r="P22" s="2">
        <v>5726.2675779999799</v>
      </c>
      <c r="Q22" s="2">
        <v>5311.2741412779696</v>
      </c>
    </row>
    <row r="23" spans="1:17" x14ac:dyDescent="0.3">
      <c r="A23" t="s">
        <v>9</v>
      </c>
      <c r="B23" s="1">
        <v>1.02332364987921</v>
      </c>
      <c r="C23" s="1">
        <v>1.1978601087859699</v>
      </c>
      <c r="D23" s="1">
        <v>1600.9525794813301</v>
      </c>
      <c r="E23" s="1">
        <v>13</v>
      </c>
      <c r="G23" t="s">
        <v>31</v>
      </c>
      <c r="H23">
        <v>2239</v>
      </c>
      <c r="I23">
        <v>2239</v>
      </c>
      <c r="J23" s="2">
        <v>8.1956230460026802</v>
      </c>
      <c r="K23" s="2">
        <v>473.84250973421001</v>
      </c>
      <c r="L23" s="2">
        <v>18.218510934819101</v>
      </c>
      <c r="M23" s="2">
        <v>2989.46031789261</v>
      </c>
      <c r="N23" s="2">
        <v>0</v>
      </c>
      <c r="O23" s="2">
        <v>0</v>
      </c>
      <c r="P23" s="2">
        <v>5587.9273619999904</v>
      </c>
      <c r="Q23" s="2">
        <v>5181.2908923389796</v>
      </c>
    </row>
    <row r="24" spans="1:17" x14ac:dyDescent="0.3">
      <c r="A24" t="s">
        <v>10</v>
      </c>
      <c r="B24" s="1">
        <v>1.0221774228717</v>
      </c>
      <c r="C24" s="1">
        <v>1.2156073295537899</v>
      </c>
      <c r="D24" s="1">
        <v>1918.75263634676</v>
      </c>
      <c r="E24" s="1">
        <v>13</v>
      </c>
      <c r="G24" t="s">
        <v>38</v>
      </c>
      <c r="H24">
        <v>2367</v>
      </c>
      <c r="I24">
        <v>2367</v>
      </c>
      <c r="J24" s="2">
        <v>8.6827207435572404</v>
      </c>
      <c r="K24" s="2">
        <v>489.40820315952902</v>
      </c>
      <c r="L24" s="2">
        <v>18.218510934819101</v>
      </c>
      <c r="M24" s="2">
        <v>3118.9348912701398</v>
      </c>
      <c r="N24" s="2">
        <v>0</v>
      </c>
      <c r="O24" s="2">
        <v>0</v>
      </c>
      <c r="P24" s="2">
        <v>6074.3898089999802</v>
      </c>
      <c r="Q24" s="2">
        <v>5729.3683144699999</v>
      </c>
    </row>
    <row r="25" spans="1:17" x14ac:dyDescent="0.3">
      <c r="A25" t="s">
        <v>11</v>
      </c>
      <c r="B25" s="1">
        <v>1.0222249215261101</v>
      </c>
      <c r="C25" s="1">
        <v>1.1829711595394401</v>
      </c>
      <c r="D25" s="1">
        <v>1972.21834827259</v>
      </c>
      <c r="E25" s="1">
        <v>13</v>
      </c>
      <c r="G25" t="s">
        <v>39</v>
      </c>
      <c r="H25">
        <v>2308</v>
      </c>
      <c r="I25">
        <v>2308</v>
      </c>
      <c r="J25" s="2">
        <v>8.8236568457538898</v>
      </c>
      <c r="K25" s="2">
        <v>478.761826991909</v>
      </c>
      <c r="L25" s="2">
        <v>18.218510934819101</v>
      </c>
      <c r="M25" s="2">
        <v>3011.12466115296</v>
      </c>
      <c r="N25" s="2">
        <v>0</v>
      </c>
      <c r="O25" s="2">
        <v>0</v>
      </c>
      <c r="P25" s="2">
        <v>6142.0987990000103</v>
      </c>
      <c r="Q25" s="2">
        <v>5800.0386511030001</v>
      </c>
    </row>
    <row r="26" spans="1:17" x14ac:dyDescent="0.3">
      <c r="A26" t="s">
        <v>12</v>
      </c>
      <c r="B26" s="1">
        <v>1.01976000050233</v>
      </c>
      <c r="C26" s="1">
        <v>1.18883484262999</v>
      </c>
      <c r="D26" s="1">
        <v>2844.6879203984099</v>
      </c>
      <c r="E26" s="1">
        <v>13</v>
      </c>
      <c r="G26" t="s">
        <v>40</v>
      </c>
      <c r="H26">
        <v>2227</v>
      </c>
      <c r="I26">
        <v>2227</v>
      </c>
      <c r="J26" s="2">
        <v>8.8859452177817602</v>
      </c>
      <c r="K26" s="2">
        <v>456.24082048249198</v>
      </c>
      <c r="L26" s="2">
        <v>18.218510934819101</v>
      </c>
      <c r="M26" s="2">
        <v>2888.58112784487</v>
      </c>
      <c r="N26" s="2">
        <v>0</v>
      </c>
      <c r="O26" s="2">
        <v>0</v>
      </c>
      <c r="P26" s="2">
        <v>5757.9016669999901</v>
      </c>
      <c r="Q26" s="2">
        <v>5437.92537184298</v>
      </c>
    </row>
    <row r="27" spans="1:17" x14ac:dyDescent="0.3">
      <c r="A27" t="s">
        <v>13</v>
      </c>
      <c r="B27" s="1">
        <v>1.52154279026895</v>
      </c>
      <c r="C27" s="1">
        <v>1.8544179221829999</v>
      </c>
      <c r="D27" s="1">
        <v>6680.1343337284397</v>
      </c>
      <c r="E27" s="1">
        <v>12.8838004101162</v>
      </c>
      <c r="G27" t="s">
        <v>41</v>
      </c>
      <c r="H27">
        <v>2124</v>
      </c>
      <c r="I27">
        <v>2124</v>
      </c>
      <c r="J27" s="2">
        <v>8.8295668549905795</v>
      </c>
      <c r="K27" s="2">
        <v>434.38333993874801</v>
      </c>
      <c r="L27" s="2">
        <v>18.218510934819101</v>
      </c>
      <c r="M27" s="2">
        <v>2728.3865873097202</v>
      </c>
      <c r="N27" s="2">
        <v>0</v>
      </c>
      <c r="O27" s="2">
        <v>0</v>
      </c>
      <c r="P27" s="2">
        <v>5457.1808890000302</v>
      </c>
      <c r="Q27" s="2">
        <v>5142.5925788320001</v>
      </c>
    </row>
    <row r="28" spans="1:17" x14ac:dyDescent="0.3">
      <c r="A28" t="s">
        <v>14</v>
      </c>
      <c r="B28" s="1">
        <v>1.53511048544023</v>
      </c>
      <c r="C28" s="1">
        <v>1.8734114922928999</v>
      </c>
      <c r="D28" s="1">
        <v>8594.9777306135402</v>
      </c>
      <c r="E28" s="1">
        <v>13.015475976246099</v>
      </c>
      <c r="G28" t="s">
        <v>42</v>
      </c>
      <c r="H28">
        <v>2073</v>
      </c>
      <c r="I28">
        <v>2073</v>
      </c>
      <c r="J28" s="2">
        <v>8.9170284611673907</v>
      </c>
      <c r="K28" s="2">
        <v>427.03216431572702</v>
      </c>
      <c r="L28" s="2">
        <v>18.218510934819101</v>
      </c>
      <c r="M28" s="2">
        <v>2650.8505444907501</v>
      </c>
      <c r="N28" s="2">
        <v>0</v>
      </c>
      <c r="O28" s="2">
        <v>0</v>
      </c>
      <c r="P28" s="2">
        <v>5487.8174319999898</v>
      </c>
      <c r="Q28" s="2">
        <v>5193.2274692869796</v>
      </c>
    </row>
    <row r="29" spans="1:17" s="7" customFormat="1" x14ac:dyDescent="0.3">
      <c r="A29" t="s">
        <v>15</v>
      </c>
      <c r="B29" s="1">
        <v>1.51331716718098</v>
      </c>
      <c r="C29" s="1">
        <v>1.8181546811176801</v>
      </c>
      <c r="D29" s="1">
        <v>8599.1638021478102</v>
      </c>
      <c r="E29" s="1">
        <v>12.808754086451099</v>
      </c>
      <c r="F29"/>
      <c r="G29" t="s">
        <v>43</v>
      </c>
      <c r="H29">
        <v>1741</v>
      </c>
      <c r="I29">
        <v>1741</v>
      </c>
      <c r="J29" s="2">
        <v>8.0160827110855806</v>
      </c>
      <c r="K29" s="2">
        <v>385.17922941202698</v>
      </c>
      <c r="L29" s="2">
        <v>18.218510934819101</v>
      </c>
      <c r="M29" s="2">
        <v>2300.7706457378599</v>
      </c>
      <c r="N29" s="2">
        <v>0</v>
      </c>
      <c r="O29" s="2">
        <v>0</v>
      </c>
      <c r="P29" s="2">
        <v>4956.4386530000102</v>
      </c>
      <c r="Q29" s="2">
        <v>4610.7409873769802</v>
      </c>
    </row>
    <row r="30" spans="1:17" s="7" customFormat="1" x14ac:dyDescent="0.3">
      <c r="A30"/>
      <c r="B30"/>
      <c r="C30"/>
      <c r="D30"/>
      <c r="E30"/>
      <c r="G30" t="s">
        <v>44</v>
      </c>
      <c r="H30">
        <v>1737</v>
      </c>
      <c r="I30">
        <v>1737</v>
      </c>
      <c r="J30" s="2">
        <v>7.9027058146229097</v>
      </c>
      <c r="K30" s="2">
        <v>384.50746147146901</v>
      </c>
      <c r="L30" s="2">
        <v>18.218510934819101</v>
      </c>
      <c r="M30" s="2">
        <v>2392.5116904680099</v>
      </c>
      <c r="N30" s="2">
        <v>0</v>
      </c>
      <c r="O30" s="2">
        <v>0</v>
      </c>
      <c r="P30" s="2">
        <v>4947.2046250000003</v>
      </c>
      <c r="Q30" s="2">
        <v>4606.8108581419701</v>
      </c>
    </row>
    <row r="31" spans="1:17" s="7" customFormat="1" x14ac:dyDescent="0.3">
      <c r="A31" t="s">
        <v>71</v>
      </c>
      <c r="B31" s="2">
        <f>AVERAGE(B19:B29)</f>
        <v>1.1586316135371144</v>
      </c>
      <c r="C31" s="2">
        <f>MAX(C19:C29)</f>
        <v>1.8734114922928999</v>
      </c>
      <c r="D31" s="2">
        <f>SUM(D19:D29)</f>
        <v>35009.825899455194</v>
      </c>
      <c r="E31" s="2">
        <f>AVERAGE(E19:E29)</f>
        <v>12.973457315710307</v>
      </c>
      <c r="G31" s="7" t="s">
        <v>32</v>
      </c>
      <c r="H31" s="9"/>
      <c r="J31" s="9"/>
      <c r="K31" s="17">
        <f>AVERAGE(K19:K30)</f>
        <v>479.07857420538585</v>
      </c>
      <c r="L31" s="17">
        <f>AVERAGE(L26:L30)</f>
        <v>18.218510934819101</v>
      </c>
      <c r="M31" s="17">
        <f>AVERAGE(M19:M30)</f>
        <v>2954.4351899298285</v>
      </c>
      <c r="N31" s="17"/>
      <c r="O31" s="17">
        <f t="shared" ref="O31" si="0">AVERAGE(O26:O30)</f>
        <v>0</v>
      </c>
      <c r="P31" s="17">
        <f>AVERAGE(P19:P30)</f>
        <v>5951.4084801666659</v>
      </c>
      <c r="Q31" s="17">
        <f>AVERAGE(Q19:Q30)</f>
        <v>5551.7501894314073</v>
      </c>
    </row>
    <row r="32" spans="1:17" s="7" customFormat="1" x14ac:dyDescent="0.3">
      <c r="G32" s="7" t="s">
        <v>33</v>
      </c>
      <c r="K32" s="11">
        <f>_xlfn.STDEV.S(K19:K30)</f>
        <v>68.061762336217981</v>
      </c>
      <c r="L32" s="11"/>
      <c r="M32" s="11">
        <f>_xlfn.STDEV.S(M19:M30)</f>
        <v>385.00631711245069</v>
      </c>
      <c r="N32" s="11"/>
      <c r="O32" s="11"/>
      <c r="P32" s="11">
        <f>_xlfn.STDEV.S(P19:P30)</f>
        <v>796.10878666945769</v>
      </c>
      <c r="Q32" s="11">
        <f>_xlfn.STDEV.S(Q19:Q30)</f>
        <v>711.64993496081877</v>
      </c>
    </row>
    <row r="33" spans="7:17" x14ac:dyDescent="0.3">
      <c r="G33" s="7" t="s">
        <v>34</v>
      </c>
      <c r="H33" s="7"/>
      <c r="I33" s="9"/>
      <c r="J33" s="7"/>
      <c r="K33" s="17">
        <f>SUM(K19:K30)</f>
        <v>5748.9428904646302</v>
      </c>
      <c r="L33" s="11"/>
      <c r="M33" s="17">
        <f>SUM(M19:M30)</f>
        <v>35453.222279157941</v>
      </c>
      <c r="N33" s="17">
        <f t="shared" ref="N33:O33" si="1">SUM(N19:N30)</f>
        <v>4</v>
      </c>
      <c r="O33" s="17">
        <f t="shared" si="1"/>
        <v>0</v>
      </c>
      <c r="P33" s="17">
        <f>SUM(P19:P30)</f>
        <v>71416.901761999994</v>
      </c>
      <c r="Q33" s="17">
        <f>SUM(Q19:Q30)</f>
        <v>66621.002273176884</v>
      </c>
    </row>
    <row r="34" spans="7:17" s="7" customFormat="1" x14ac:dyDescent="0.3">
      <c r="G34" s="7" t="s">
        <v>35</v>
      </c>
      <c r="K34" s="10">
        <f>K33/M33</f>
        <v>0.16215572297484196</v>
      </c>
      <c r="L34" s="10"/>
      <c r="M34" s="10"/>
      <c r="N34" s="10"/>
      <c r="O34" s="10"/>
      <c r="P34" s="10">
        <f>P33/M33</f>
        <v>2.014398048213073</v>
      </c>
      <c r="Q34" s="10">
        <f>Q33/M33</f>
        <v>1.8791240398010789</v>
      </c>
    </row>
    <row r="35" spans="7:17" s="7" customFormat="1" x14ac:dyDescent="0.3">
      <c r="G35"/>
      <c r="H35"/>
      <c r="I35"/>
      <c r="J35"/>
      <c r="K35"/>
      <c r="L35"/>
      <c r="M35"/>
      <c r="N35"/>
      <c r="O35"/>
      <c r="P35"/>
      <c r="Q35"/>
    </row>
    <row r="36" spans="7:17" x14ac:dyDescent="0.3">
      <c r="G36" s="7" t="s">
        <v>47</v>
      </c>
      <c r="H36" s="7"/>
      <c r="I36" s="7"/>
      <c r="J36" s="7"/>
      <c r="K36" s="11">
        <f>K34-K13</f>
        <v>-0.19350465896780336</v>
      </c>
      <c r="L36" s="7"/>
      <c r="M36" s="7"/>
      <c r="N36" s="7"/>
      <c r="O36" s="7"/>
      <c r="P36" s="11">
        <f>P34-P13</f>
        <v>-2.703298737750464</v>
      </c>
      <c r="Q36" s="11">
        <f>Q34-Q13</f>
        <v>-2.2268270659521585</v>
      </c>
    </row>
    <row r="37" spans="7:17" x14ac:dyDescent="0.3">
      <c r="G37" s="7" t="s">
        <v>46</v>
      </c>
      <c r="H37" s="7"/>
      <c r="I37" s="8"/>
      <c r="J37" s="8"/>
      <c r="K37" s="12">
        <f>K36/K13</f>
        <v>-0.54407144791012574</v>
      </c>
      <c r="L37" s="12"/>
      <c r="M37" s="12"/>
      <c r="N37" s="12"/>
      <c r="O37" s="12"/>
      <c r="P37" s="12">
        <f>P36/P13</f>
        <v>-0.57301239575072549</v>
      </c>
      <c r="Q37" s="12">
        <f>Q36/Q13</f>
        <v>-0.54234135005454398</v>
      </c>
    </row>
    <row r="38" spans="7:17" x14ac:dyDescent="0.3">
      <c r="G38" s="36"/>
      <c r="H38" s="36"/>
      <c r="I38" s="4"/>
      <c r="J38" s="5"/>
      <c r="P38" s="4">
        <f>P33-P12</f>
        <v>-92680.987101000996</v>
      </c>
      <c r="Q38" s="4">
        <f>Q33-Q12</f>
        <v>-76198.245931474114</v>
      </c>
    </row>
    <row r="39" spans="7:17" x14ac:dyDescent="0.3">
      <c r="G39" s="6"/>
      <c r="H39" s="6"/>
    </row>
    <row r="40" spans="7:17" x14ac:dyDescent="0.3">
      <c r="G40" s="36"/>
      <c r="H40" s="36"/>
      <c r="I40" s="4"/>
      <c r="J40" s="5"/>
    </row>
    <row r="41" spans="7:17" x14ac:dyDescent="0.3">
      <c r="G41" s="36"/>
      <c r="H41" s="36"/>
      <c r="I41" s="4"/>
      <c r="J41" s="5"/>
    </row>
    <row r="42" spans="7:17" x14ac:dyDescent="0.3">
      <c r="G42" s="6"/>
      <c r="H42" s="6"/>
    </row>
    <row r="43" spans="7:17" x14ac:dyDescent="0.3">
      <c r="G43" s="36"/>
      <c r="H43" s="36"/>
      <c r="I43" s="4"/>
      <c r="J43" s="5"/>
    </row>
    <row r="44" spans="7:17" x14ac:dyDescent="0.3">
      <c r="G44" s="36"/>
      <c r="H44" s="36"/>
      <c r="I44" s="4"/>
      <c r="J44" s="5"/>
    </row>
  </sheetData>
  <mergeCells count="5">
    <mergeCell ref="G44:H44"/>
    <mergeCell ref="G38:H38"/>
    <mergeCell ref="G40:H40"/>
    <mergeCell ref="G41:H41"/>
    <mergeCell ref="G43:H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1E1D-EB10-41B8-84B2-898439A1928F}">
  <dimension ref="A1:Q32"/>
  <sheetViews>
    <sheetView workbookViewId="0">
      <selection sqref="A1:E1048576"/>
    </sheetView>
  </sheetViews>
  <sheetFormatPr defaultRowHeight="14.4" x14ac:dyDescent="0.3"/>
  <cols>
    <col min="2" max="2" width="27.44140625" bestFit="1" customWidth="1"/>
    <col min="3" max="3" width="27.88671875" bestFit="1" customWidth="1"/>
    <col min="4" max="4" width="22.109375" bestFit="1" customWidth="1"/>
    <col min="5" max="5" width="17.21875" bestFit="1" customWidth="1"/>
    <col min="11" max="11" width="17.77734375" bestFit="1" customWidth="1"/>
    <col min="12" max="12" width="25.6640625" bestFit="1" customWidth="1"/>
    <col min="13" max="13" width="18.33203125" bestFit="1" customWidth="1"/>
    <col min="16" max="16" width="20.109375" bestFit="1" customWidth="1"/>
    <col min="17" max="17" width="12.109375" bestFit="1" customWidth="1"/>
  </cols>
  <sheetData>
    <row r="1" spans="1:17" x14ac:dyDescent="0.3">
      <c r="A1" t="s">
        <v>36</v>
      </c>
      <c r="G1" t="s">
        <v>36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 s="2">
        <v>1.4784613127847901</v>
      </c>
      <c r="C3" s="2">
        <v>5.5659475982687399</v>
      </c>
      <c r="D3" s="2">
        <v>373.72530551827703</v>
      </c>
      <c r="E3" s="2">
        <v>19.1990049751243</v>
      </c>
      <c r="G3" t="s">
        <v>27</v>
      </c>
      <c r="H3">
        <v>36360</v>
      </c>
      <c r="I3">
        <v>35529</v>
      </c>
      <c r="J3">
        <v>827.151402640264</v>
      </c>
      <c r="K3">
        <v>6581.6519922748503</v>
      </c>
      <c r="L3">
        <v>6.4004770554591799</v>
      </c>
      <c r="M3">
        <v>14195.0639132055</v>
      </c>
      <c r="N3">
        <v>16</v>
      </c>
      <c r="O3">
        <v>5</v>
      </c>
      <c r="P3">
        <v>82252.141633997002</v>
      </c>
      <c r="Q3">
        <v>68982.142711507098</v>
      </c>
    </row>
    <row r="4" spans="1:17" x14ac:dyDescent="0.3">
      <c r="A4" t="s">
        <v>6</v>
      </c>
      <c r="B4" s="2">
        <v>2.3433833841175198</v>
      </c>
      <c r="C4" s="2">
        <v>8.99099569077209</v>
      </c>
      <c r="D4" s="2">
        <v>373.25313097928398</v>
      </c>
      <c r="E4" s="2">
        <v>31.1111111111111</v>
      </c>
      <c r="G4" t="s">
        <v>28</v>
      </c>
      <c r="H4">
        <v>36385</v>
      </c>
      <c r="I4">
        <v>35549</v>
      </c>
      <c r="J4">
        <v>834.44350693967294</v>
      </c>
      <c r="K4">
        <v>6614.28332091421</v>
      </c>
      <c r="L4">
        <v>6.4004770554591799</v>
      </c>
      <c r="M4">
        <v>16348.0125954456</v>
      </c>
      <c r="N4">
        <v>16</v>
      </c>
      <c r="O4">
        <v>5</v>
      </c>
      <c r="P4">
        <v>83427.217926995698</v>
      </c>
      <c r="Q4">
        <v>70206.112462469202</v>
      </c>
    </row>
    <row r="5" spans="1:17" x14ac:dyDescent="0.3">
      <c r="A5" t="s">
        <v>7</v>
      </c>
      <c r="B5" s="2">
        <v>1.01141920652763</v>
      </c>
      <c r="C5" s="2">
        <v>3.71984426709593</v>
      </c>
      <c r="D5" s="2">
        <v>477.61738942644098</v>
      </c>
      <c r="E5" s="2">
        <v>12.8958333333333</v>
      </c>
    </row>
    <row r="6" spans="1:17" x14ac:dyDescent="0.3">
      <c r="A6" t="s">
        <v>8</v>
      </c>
      <c r="B6" s="2">
        <v>1.0818098875198201</v>
      </c>
      <c r="C6" s="2">
        <v>4.4381833300085898</v>
      </c>
      <c r="D6" s="2">
        <v>1572.3751316836001</v>
      </c>
      <c r="E6" s="2">
        <v>13.8020477815699</v>
      </c>
      <c r="G6" t="s">
        <v>32</v>
      </c>
      <c r="H6" s="2"/>
      <c r="J6" s="2"/>
      <c r="K6" s="2">
        <f>AVERAGE(K3:K4)</f>
        <v>6597.9676565945301</v>
      </c>
      <c r="L6" s="2">
        <f>AVERAGE(L3:L4)</f>
        <v>6.4004770554591799</v>
      </c>
      <c r="M6" s="2">
        <f>AVERAGE(M3:M4)</f>
        <v>15271.538254325551</v>
      </c>
      <c r="N6" s="2"/>
      <c r="O6" s="2"/>
      <c r="P6" s="2">
        <f t="shared" ref="P6:Q6" si="0">AVERAGE(P3:P4)</f>
        <v>82839.679780496343</v>
      </c>
      <c r="Q6" s="2">
        <f t="shared" si="0"/>
        <v>69594.12758698815</v>
      </c>
    </row>
    <row r="7" spans="1:17" x14ac:dyDescent="0.3">
      <c r="A7" t="s">
        <v>9</v>
      </c>
      <c r="B7" s="2">
        <v>1.1985712628923</v>
      </c>
      <c r="C7" s="2">
        <v>6.82312477947427</v>
      </c>
      <c r="D7" s="2">
        <v>1599.22978407197</v>
      </c>
      <c r="E7" s="2">
        <v>15.3979933110367</v>
      </c>
      <c r="G7" t="s">
        <v>33</v>
      </c>
      <c r="K7">
        <f>_xlfn.STDEV.S(K3:K4)</f>
        <v>23.073833760018047</v>
      </c>
      <c r="M7">
        <f>_xlfn.STDEV.S(M3:M4)</f>
        <v>1522.364612758616</v>
      </c>
      <c r="P7">
        <f t="shared" ref="P7:Q7" si="1">_xlfn.STDEV.S(P3:P4)</f>
        <v>830.90441519092826</v>
      </c>
      <c r="Q7">
        <f t="shared" si="1"/>
        <v>865.47731087251339</v>
      </c>
    </row>
    <row r="8" spans="1:17" x14ac:dyDescent="0.3">
      <c r="A8" t="s">
        <v>10</v>
      </c>
      <c r="B8" s="2">
        <v>1.19279614990433</v>
      </c>
      <c r="C8" s="2">
        <v>10.105203620158299</v>
      </c>
      <c r="D8" s="2">
        <v>1919.5911412144001</v>
      </c>
      <c r="E8" s="2">
        <v>15.33</v>
      </c>
      <c r="G8" t="s">
        <v>34</v>
      </c>
      <c r="I8" s="2"/>
      <c r="K8" s="2">
        <f>SUM(K3:K4)</f>
        <v>13195.93531318906</v>
      </c>
      <c r="M8" s="2">
        <f>SUM(M3:M4)</f>
        <v>30543.076508651102</v>
      </c>
      <c r="N8" s="2">
        <f>SUM(N3:N4)</f>
        <v>32</v>
      </c>
      <c r="O8" s="2">
        <f>SUM(O3:O4)</f>
        <v>10</v>
      </c>
      <c r="P8" s="2">
        <f t="shared" ref="P8:Q8" si="2">SUM(P3:P4)</f>
        <v>165679.35956099269</v>
      </c>
      <c r="Q8" s="2">
        <f t="shared" si="2"/>
        <v>139188.2551739763</v>
      </c>
    </row>
    <row r="9" spans="1:17" x14ac:dyDescent="0.3">
      <c r="A9" t="s">
        <v>11</v>
      </c>
      <c r="B9" s="2">
        <v>1.4084704559696599</v>
      </c>
      <c r="C9" s="2">
        <v>10.0638679247712</v>
      </c>
      <c r="D9" s="2">
        <v>1972.6320236674801</v>
      </c>
      <c r="E9" s="2">
        <v>18.2889366272824</v>
      </c>
      <c r="G9" t="s">
        <v>35</v>
      </c>
      <c r="K9" s="1">
        <f>K8/M8</f>
        <v>0.43204342265427675</v>
      </c>
      <c r="L9" s="1"/>
      <c r="M9" s="1"/>
      <c r="N9" s="1"/>
      <c r="O9" s="1"/>
      <c r="P9" s="1">
        <f>P8/M8</f>
        <v>5.4244489586392914</v>
      </c>
      <c r="Q9" s="1">
        <f>Q8/M8</f>
        <v>4.5571131360834674</v>
      </c>
    </row>
    <row r="10" spans="1:17" x14ac:dyDescent="0.3">
      <c r="A10" t="s">
        <v>12</v>
      </c>
      <c r="B10" s="2">
        <v>0.326053534862906</v>
      </c>
      <c r="C10" s="2">
        <v>3.7929287556599598</v>
      </c>
      <c r="D10" s="2">
        <v>2852.4110895315198</v>
      </c>
      <c r="E10" s="2">
        <v>3.4632541133455201</v>
      </c>
    </row>
    <row r="11" spans="1:17" x14ac:dyDescent="0.3">
      <c r="A11" t="s">
        <v>13</v>
      </c>
      <c r="B11" s="2">
        <v>1.9881113305474301</v>
      </c>
      <c r="C11" s="2">
        <v>30.9156131334531</v>
      </c>
      <c r="D11" s="2">
        <v>6672.1855176023601</v>
      </c>
      <c r="E11" s="2">
        <v>17.162742175856899</v>
      </c>
      <c r="G11" t="s">
        <v>37</v>
      </c>
    </row>
    <row r="12" spans="1:17" x14ac:dyDescent="0.3">
      <c r="A12" t="s">
        <v>14</v>
      </c>
      <c r="B12" s="2">
        <v>1.0361585931948101</v>
      </c>
      <c r="C12" s="2">
        <v>9.2171990578637999</v>
      </c>
      <c r="D12" s="2">
        <v>8603.8415997974298</v>
      </c>
      <c r="E12" s="2">
        <v>8.44646713977167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</row>
    <row r="13" spans="1:17" x14ac:dyDescent="0.3">
      <c r="A13" t="s">
        <v>15</v>
      </c>
      <c r="B13" s="2">
        <v>0.42405289087011699</v>
      </c>
      <c r="C13" s="2">
        <v>5.82111075838346</v>
      </c>
      <c r="D13" s="2">
        <v>8594.98855824772</v>
      </c>
      <c r="E13" s="2">
        <v>2.8715211387295501</v>
      </c>
      <c r="G13" t="s">
        <v>27</v>
      </c>
      <c r="H13">
        <v>13438</v>
      </c>
      <c r="I13">
        <v>13436</v>
      </c>
      <c r="J13">
        <v>7.9607828545914501</v>
      </c>
      <c r="K13">
        <v>3068.2160483377602</v>
      </c>
      <c r="L13">
        <v>16.9280726184322</v>
      </c>
      <c r="M13">
        <v>18286.908047494599</v>
      </c>
      <c r="N13">
        <v>7</v>
      </c>
      <c r="O13">
        <v>2</v>
      </c>
      <c r="P13">
        <v>38345.255746000599</v>
      </c>
      <c r="Q13">
        <v>35393.201550357597</v>
      </c>
    </row>
    <row r="14" spans="1:17" x14ac:dyDescent="0.3">
      <c r="B14" s="2"/>
      <c r="C14" s="2"/>
      <c r="D14" s="2"/>
      <c r="E14" s="2"/>
      <c r="G14" t="s">
        <v>28</v>
      </c>
      <c r="H14">
        <v>12162</v>
      </c>
      <c r="I14">
        <v>12160</v>
      </c>
      <c r="J14">
        <v>8.0150468672915594</v>
      </c>
      <c r="K14">
        <v>2779.9991556047398</v>
      </c>
      <c r="L14">
        <v>16.9280726184322</v>
      </c>
      <c r="M14">
        <v>16940.411071462899</v>
      </c>
      <c r="N14">
        <v>6</v>
      </c>
      <c r="O14">
        <v>2</v>
      </c>
      <c r="P14">
        <v>34357.495684000402</v>
      </c>
      <c r="Q14">
        <v>31705.813072650701</v>
      </c>
    </row>
    <row r="15" spans="1:17" x14ac:dyDescent="0.3">
      <c r="A15" t="s">
        <v>71</v>
      </c>
      <c r="B15" s="2">
        <f>AVERAGE(B3:B13)</f>
        <v>1.2262989099264827</v>
      </c>
      <c r="C15" s="2">
        <f>MAX(C3:C13)</f>
        <v>30.9156131334531</v>
      </c>
      <c r="D15" s="2">
        <f>SUM(D3:D13)</f>
        <v>35011.850671740482</v>
      </c>
      <c r="E15" s="2">
        <f>AVERAGE(E3:E13)</f>
        <v>14.360810155196482</v>
      </c>
    </row>
    <row r="16" spans="1:17" x14ac:dyDescent="0.3">
      <c r="G16" t="s">
        <v>32</v>
      </c>
      <c r="H16" s="2"/>
      <c r="J16" s="2"/>
      <c r="K16" s="2">
        <f>AVERAGE(K13:K14)</f>
        <v>2924.10760197125</v>
      </c>
      <c r="L16" s="2">
        <f>AVERAGE(L13:L14)</f>
        <v>16.9280726184322</v>
      </c>
      <c r="M16" s="2">
        <f>AVERAGE(M13:M14)</f>
        <v>17613.65955947875</v>
      </c>
      <c r="N16" s="2"/>
      <c r="O16" s="2"/>
      <c r="P16" s="2">
        <f t="shared" ref="P16:Q16" si="3">AVERAGE(P13:P14)</f>
        <v>36351.375715000497</v>
      </c>
      <c r="Q16" s="2">
        <f t="shared" si="3"/>
        <v>33549.507311504145</v>
      </c>
    </row>
    <row r="17" spans="1:17" x14ac:dyDescent="0.3">
      <c r="G17" t="s">
        <v>33</v>
      </c>
      <c r="K17">
        <f>_xlfn.STDEV.S(K13:K14)</f>
        <v>203.80011930403447</v>
      </c>
      <c r="M17">
        <f>_xlfn.STDEV.S(M13:M14)</f>
        <v>952.11714259919518</v>
      </c>
      <c r="P17">
        <f t="shared" ref="P17:Q17" si="4">_xlfn.STDEV.S(P13:P14)</f>
        <v>2819.7721815852269</v>
      </c>
      <c r="Q17">
        <f t="shared" si="4"/>
        <v>2607.3773974556866</v>
      </c>
    </row>
    <row r="18" spans="1:17" x14ac:dyDescent="0.3">
      <c r="A18" t="s">
        <v>37</v>
      </c>
      <c r="G18" t="s">
        <v>34</v>
      </c>
      <c r="I18" s="2"/>
      <c r="K18" s="2">
        <f>SUM(K13:K14)</f>
        <v>5848.2152039425</v>
      </c>
      <c r="M18" s="2">
        <f>SUM(M13:M14)</f>
        <v>35227.319118957501</v>
      </c>
      <c r="N18" s="2">
        <f>SUM(N13:N14)</f>
        <v>13</v>
      </c>
      <c r="O18" s="2">
        <f>SUM(O13:O14)</f>
        <v>4</v>
      </c>
      <c r="P18" s="2">
        <f t="shared" ref="P18:Q18" si="5">SUM(P13:P14)</f>
        <v>72702.751430000993</v>
      </c>
      <c r="Q18" s="2">
        <f t="shared" si="5"/>
        <v>67099.01462300829</v>
      </c>
    </row>
    <row r="19" spans="1:17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G19" t="s">
        <v>35</v>
      </c>
      <c r="K19" s="1">
        <f>K18/M18</f>
        <v>0.16601363232308236</v>
      </c>
      <c r="L19" s="1"/>
      <c r="M19" s="1"/>
      <c r="N19" s="1"/>
      <c r="O19" s="1"/>
      <c r="P19" s="1">
        <f>P18/M18</f>
        <v>2.063817322700443</v>
      </c>
      <c r="Q19" s="1">
        <f>Q18/M18</f>
        <v>1.904743713151283</v>
      </c>
    </row>
    <row r="20" spans="1:17" x14ac:dyDescent="0.3">
      <c r="A20" t="s">
        <v>5</v>
      </c>
      <c r="B20">
        <v>1.3047507014275399</v>
      </c>
      <c r="C20">
        <v>5.8762154644982703</v>
      </c>
      <c r="D20">
        <v>372.74702349025699</v>
      </c>
      <c r="E20">
        <v>16.874538745387401</v>
      </c>
    </row>
    <row r="21" spans="1:17" x14ac:dyDescent="0.3">
      <c r="A21" t="s">
        <v>6</v>
      </c>
      <c r="B21">
        <v>1.22707793965162</v>
      </c>
      <c r="C21">
        <v>4.7373679517049201</v>
      </c>
      <c r="D21">
        <v>373.73137831693498</v>
      </c>
      <c r="E21">
        <v>15.7900355871886</v>
      </c>
    </row>
    <row r="22" spans="1:17" x14ac:dyDescent="0.3">
      <c r="A22" t="s">
        <v>7</v>
      </c>
      <c r="B22">
        <v>1.1932504442453999</v>
      </c>
      <c r="C22">
        <v>4.2408211107866496</v>
      </c>
      <c r="D22">
        <v>479.324225138099</v>
      </c>
      <c r="E22">
        <v>15.350785340314101</v>
      </c>
    </row>
    <row r="23" spans="1:17" x14ac:dyDescent="0.3">
      <c r="A23" t="s">
        <v>8</v>
      </c>
      <c r="B23">
        <v>1.3332744722039001</v>
      </c>
      <c r="C23">
        <v>7.4502047271014797</v>
      </c>
      <c r="D23">
        <v>1573.5877329146001</v>
      </c>
      <c r="E23">
        <v>17.2405609492988</v>
      </c>
    </row>
    <row r="24" spans="1:17" x14ac:dyDescent="0.3">
      <c r="A24" t="s">
        <v>9</v>
      </c>
      <c r="B24">
        <v>0.96642689914411894</v>
      </c>
      <c r="C24">
        <v>5.5543957446097503</v>
      </c>
      <c r="D24">
        <v>1601.5508875268199</v>
      </c>
      <c r="E24">
        <v>12.2099553286534</v>
      </c>
    </row>
    <row r="25" spans="1:17" x14ac:dyDescent="0.3">
      <c r="A25" t="s">
        <v>10</v>
      </c>
      <c r="B25">
        <v>0.85115927200108898</v>
      </c>
      <c r="C25">
        <v>4.2419914462780604</v>
      </c>
      <c r="D25">
        <v>1921.50014188059</v>
      </c>
      <c r="E25">
        <v>10.643356643356601</v>
      </c>
    </row>
    <row r="26" spans="1:17" x14ac:dyDescent="0.3">
      <c r="A26" t="s">
        <v>11</v>
      </c>
      <c r="B26">
        <v>1.24534186188644</v>
      </c>
      <c r="C26">
        <v>12.224808422025401</v>
      </c>
      <c r="D26">
        <v>1974.8111021156301</v>
      </c>
      <c r="E26">
        <v>16.036569148936099</v>
      </c>
    </row>
    <row r="27" spans="1:17" x14ac:dyDescent="0.3">
      <c r="A27" t="s">
        <v>12</v>
      </c>
      <c r="B27">
        <v>0.324595155796086</v>
      </c>
      <c r="C27">
        <v>3.53701529264921</v>
      </c>
      <c r="D27">
        <v>2850.3493626712302</v>
      </c>
      <c r="E27">
        <v>3.44715142428785</v>
      </c>
    </row>
    <row r="28" spans="1:17" x14ac:dyDescent="0.3">
      <c r="A28" t="s">
        <v>13</v>
      </c>
      <c r="B28">
        <v>1.3381541145989699</v>
      </c>
      <c r="C28">
        <v>10.138949993519899</v>
      </c>
      <c r="D28">
        <v>6677.8615846574603</v>
      </c>
      <c r="E28">
        <v>11.222021194107</v>
      </c>
    </row>
    <row r="29" spans="1:17" x14ac:dyDescent="0.3">
      <c r="A29" t="s">
        <v>14</v>
      </c>
      <c r="B29">
        <v>1.34125033210608</v>
      </c>
      <c r="C29">
        <v>18.759777823317599</v>
      </c>
      <c r="D29">
        <v>8593.3791629290608</v>
      </c>
      <c r="E29">
        <v>11.248475371383799</v>
      </c>
    </row>
    <row r="30" spans="1:17" x14ac:dyDescent="0.3">
      <c r="A30" t="s">
        <v>15</v>
      </c>
      <c r="B30">
        <v>0.410706562882374</v>
      </c>
      <c r="C30">
        <v>8.1432491968931604</v>
      </c>
      <c r="D30">
        <v>8584.0649880421497</v>
      </c>
      <c r="E30">
        <v>2.7549274002097901</v>
      </c>
    </row>
    <row r="32" spans="1:17" x14ac:dyDescent="0.3">
      <c r="A32" t="s">
        <v>71</v>
      </c>
      <c r="B32" s="2">
        <f>AVERAGE(B20:B30)</f>
        <v>1.0487261596312381</v>
      </c>
      <c r="C32" s="2">
        <f>MAX(C20:C30)</f>
        <v>18.759777823317599</v>
      </c>
      <c r="D32" s="2">
        <f>SUM(D20:D30)</f>
        <v>35002.907589682829</v>
      </c>
      <c r="E32" s="2">
        <f>AVERAGE(E20:E30)</f>
        <v>12.074397921193041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9942-6880-442F-B786-E8367DAC65A0}">
  <dimension ref="A1:Q31"/>
  <sheetViews>
    <sheetView workbookViewId="0">
      <selection sqref="A1:E1048576"/>
    </sheetView>
  </sheetViews>
  <sheetFormatPr defaultRowHeight="14.4" x14ac:dyDescent="0.3"/>
  <cols>
    <col min="2" max="2" width="27.44140625" bestFit="1" customWidth="1"/>
    <col min="3" max="3" width="27.88671875" bestFit="1" customWidth="1"/>
    <col min="4" max="4" width="22.109375" bestFit="1" customWidth="1"/>
    <col min="5" max="5" width="17.21875" bestFit="1" customWidth="1"/>
    <col min="11" max="11" width="17.77734375" bestFit="1" customWidth="1"/>
    <col min="13" max="13" width="18.33203125" bestFit="1" customWidth="1"/>
    <col min="14" max="14" width="10.109375" customWidth="1"/>
    <col min="15" max="15" width="11.109375" customWidth="1"/>
    <col min="16" max="16" width="20.109375" bestFit="1" customWidth="1"/>
    <col min="17" max="17" width="12.109375" bestFit="1" customWidth="1"/>
  </cols>
  <sheetData>
    <row r="1" spans="1:17" x14ac:dyDescent="0.3">
      <c r="A1" t="s">
        <v>36</v>
      </c>
      <c r="G1" t="s">
        <v>36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 s="2">
        <v>0.61990226614708499</v>
      </c>
      <c r="C3" s="2">
        <v>1.5827645324734301</v>
      </c>
      <c r="D3" s="2">
        <v>372.17241130243099</v>
      </c>
      <c r="E3" s="2">
        <v>7.5076923076922997</v>
      </c>
      <c r="G3" t="s">
        <v>27</v>
      </c>
      <c r="H3">
        <v>29018</v>
      </c>
      <c r="I3">
        <v>28938</v>
      </c>
      <c r="J3">
        <v>126.132366117582</v>
      </c>
      <c r="K3">
        <v>6076.6328897446301</v>
      </c>
      <c r="L3">
        <v>4.9300484534612599</v>
      </c>
      <c r="M3">
        <v>11130.7688160792</v>
      </c>
      <c r="N3">
        <v>15</v>
      </c>
      <c r="O3">
        <v>4</v>
      </c>
      <c r="P3">
        <v>74893.657587997106</v>
      </c>
      <c r="Q3">
        <v>62650.884788142299</v>
      </c>
    </row>
    <row r="4" spans="1:17" x14ac:dyDescent="0.3">
      <c r="A4" t="s">
        <v>6</v>
      </c>
      <c r="B4" s="2">
        <v>0.64948310946254595</v>
      </c>
      <c r="C4" s="2">
        <v>1.6802043408849101</v>
      </c>
      <c r="D4" s="2">
        <v>372.153821722038</v>
      </c>
      <c r="E4" s="2">
        <v>7.9179755671902203</v>
      </c>
      <c r="G4" t="s">
        <v>28</v>
      </c>
      <c r="H4">
        <v>28926</v>
      </c>
      <c r="I4">
        <v>28925</v>
      </c>
      <c r="J4">
        <v>125.348095139321</v>
      </c>
      <c r="K4">
        <v>6051.2876782928697</v>
      </c>
      <c r="L4">
        <v>4.9300484534612599</v>
      </c>
      <c r="M4">
        <v>11794.440749924899</v>
      </c>
      <c r="N4">
        <v>14</v>
      </c>
      <c r="O4">
        <v>4</v>
      </c>
      <c r="P4">
        <v>74763.399087997095</v>
      </c>
      <c r="Q4">
        <v>62613.662540156103</v>
      </c>
    </row>
    <row r="5" spans="1:17" x14ac:dyDescent="0.3">
      <c r="A5" t="s">
        <v>7</v>
      </c>
      <c r="B5" s="2">
        <v>0.54718997134591796</v>
      </c>
      <c r="C5" s="2">
        <v>1.64577803604787</v>
      </c>
      <c r="D5" s="2">
        <v>479.49989569247998</v>
      </c>
      <c r="E5" s="2">
        <v>6.4948096885813102</v>
      </c>
      <c r="G5" t="s">
        <v>29</v>
      </c>
      <c r="H5">
        <v>28966</v>
      </c>
      <c r="I5">
        <v>28965</v>
      </c>
      <c r="J5">
        <v>125.360077332044</v>
      </c>
      <c r="K5">
        <v>5973.8428830736802</v>
      </c>
      <c r="L5">
        <v>4.9300484534612599</v>
      </c>
      <c r="M5">
        <v>11521.0389783297</v>
      </c>
      <c r="N5">
        <v>14</v>
      </c>
      <c r="O5">
        <v>4</v>
      </c>
      <c r="P5">
        <v>73882.531642997405</v>
      </c>
      <c r="Q5">
        <v>61789.098208157498</v>
      </c>
    </row>
    <row r="6" spans="1:17" x14ac:dyDescent="0.3">
      <c r="A6" t="s">
        <v>8</v>
      </c>
      <c r="B6" s="2">
        <v>0.81830572391731204</v>
      </c>
      <c r="C6" s="2">
        <v>2.8048192335781899</v>
      </c>
      <c r="D6" s="2">
        <v>1573.6480479130701</v>
      </c>
      <c r="E6" s="2">
        <v>10.196626251976801</v>
      </c>
    </row>
    <row r="7" spans="1:17" x14ac:dyDescent="0.3">
      <c r="A7" t="s">
        <v>9</v>
      </c>
      <c r="B7" s="2">
        <v>0.70251107958703196</v>
      </c>
      <c r="C7" s="2">
        <v>2.1948484137658602</v>
      </c>
      <c r="D7" s="2">
        <v>1600.32336674405</v>
      </c>
      <c r="E7" s="2">
        <v>8.6144914073385905</v>
      </c>
      <c r="G7" t="s">
        <v>32</v>
      </c>
      <c r="H7" s="2"/>
      <c r="J7" s="2"/>
      <c r="K7" s="2">
        <f>AVERAGE(K3:K5)</f>
        <v>6033.9211503703928</v>
      </c>
      <c r="L7" s="2">
        <f>AVERAGE(L3:L5)</f>
        <v>4.9300484534612599</v>
      </c>
      <c r="M7" s="2">
        <f>AVERAGE(M3:M5)</f>
        <v>11482.082848111268</v>
      </c>
      <c r="N7" s="2"/>
      <c r="O7" s="2"/>
      <c r="P7" s="2">
        <f>AVERAGE(P3:P5)</f>
        <v>74513.196106330535</v>
      </c>
      <c r="Q7" s="2">
        <f>AVERAGE(Q3:Q5)</f>
        <v>62351.215178818638</v>
      </c>
    </row>
    <row r="8" spans="1:17" x14ac:dyDescent="0.3">
      <c r="A8" t="s">
        <v>10</v>
      </c>
      <c r="B8" s="2">
        <v>0.806199728256496</v>
      </c>
      <c r="C8" s="2">
        <v>4.5461693631826599</v>
      </c>
      <c r="D8" s="2">
        <v>1920.95996271223</v>
      </c>
      <c r="E8" s="2">
        <v>10.027888446215099</v>
      </c>
      <c r="G8" t="s">
        <v>33</v>
      </c>
      <c r="K8">
        <f>_xlfn.STDEV.S(K3:K5)</f>
        <v>53.550383629952584</v>
      </c>
      <c r="M8">
        <f>_xlfn.STDEV.S(M3:M5)</f>
        <v>333.54653948859823</v>
      </c>
      <c r="P8">
        <f>_xlfn.STDEV.S(P3:P5)</f>
        <v>550.04096955500734</v>
      </c>
      <c r="Q8">
        <f>_xlfn.STDEV.S(Q3:Q5)</f>
        <v>487.16320721625215</v>
      </c>
    </row>
    <row r="9" spans="1:17" x14ac:dyDescent="0.3">
      <c r="A9" t="s">
        <v>11</v>
      </c>
      <c r="B9" s="2">
        <v>1.02998680980562</v>
      </c>
      <c r="C9" s="2">
        <v>8.5617601283123008</v>
      </c>
      <c r="D9" s="2">
        <v>1971.12981274662</v>
      </c>
      <c r="E9" s="2">
        <v>13.112769485903801</v>
      </c>
      <c r="G9" t="s">
        <v>34</v>
      </c>
      <c r="I9" s="2"/>
      <c r="K9" s="2">
        <f>SUM(K3:K5)</f>
        <v>18101.763451111179</v>
      </c>
      <c r="M9" s="2">
        <f>SUM(M3:M5)</f>
        <v>34446.248544333801</v>
      </c>
      <c r="N9" s="2">
        <f>SUM(N3:N5)</f>
        <v>43</v>
      </c>
      <c r="O9" s="2">
        <f>SUM(O3:O5)</f>
        <v>12</v>
      </c>
      <c r="P9" s="2">
        <f>SUM(P3:P5)</f>
        <v>223539.58831899159</v>
      </c>
      <c r="Q9" s="2">
        <f>SUM(Q3:Q5)</f>
        <v>187053.64553645591</v>
      </c>
    </row>
    <row r="10" spans="1:17" x14ac:dyDescent="0.3">
      <c r="A10" t="s">
        <v>12</v>
      </c>
      <c r="B10" s="2">
        <v>0.23275846570883199</v>
      </c>
      <c r="C10" s="2">
        <v>0.99046486468216699</v>
      </c>
      <c r="D10" s="2">
        <v>2845.8666710601401</v>
      </c>
      <c r="E10" s="2">
        <v>2.1941922290388498</v>
      </c>
      <c r="G10" t="s">
        <v>35</v>
      </c>
      <c r="K10" s="1">
        <f>K9/M9</f>
        <v>0.52550754337771888</v>
      </c>
      <c r="L10" s="1"/>
      <c r="M10" s="1"/>
      <c r="N10" s="1"/>
      <c r="O10" s="1"/>
      <c r="P10" s="1">
        <f>P9/M9</f>
        <v>6.489519113562876</v>
      </c>
      <c r="Q10" s="1">
        <f>Q9/M9</f>
        <v>5.4303052855149039</v>
      </c>
    </row>
    <row r="11" spans="1:17" x14ac:dyDescent="0.3">
      <c r="A11" t="s">
        <v>13</v>
      </c>
      <c r="B11" s="2">
        <v>1.01290790248364</v>
      </c>
      <c r="C11" s="2">
        <v>4.18897876479007</v>
      </c>
      <c r="D11" s="2">
        <v>6675.5253802384996</v>
      </c>
      <c r="E11" s="2">
        <v>8.2500385386156907</v>
      </c>
    </row>
    <row r="12" spans="1:17" x14ac:dyDescent="0.3">
      <c r="A12" t="s">
        <v>14</v>
      </c>
      <c r="B12" s="2">
        <v>0.95004628420877502</v>
      </c>
      <c r="C12" s="2">
        <v>5.0310618734174497</v>
      </c>
      <c r="D12" s="2">
        <v>8599.1450015877399</v>
      </c>
      <c r="E12" s="2">
        <v>7.6701295799821203</v>
      </c>
      <c r="G12" t="s">
        <v>37</v>
      </c>
    </row>
    <row r="13" spans="1:17" x14ac:dyDescent="0.3">
      <c r="A13" t="s">
        <v>15</v>
      </c>
      <c r="B13" s="2">
        <v>0.42382300554733598</v>
      </c>
      <c r="C13" s="2">
        <v>2.7657457242873802</v>
      </c>
      <c r="D13" s="2">
        <v>8598.5040014835995</v>
      </c>
      <c r="E13" s="2">
        <v>2.8680057388809099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24</v>
      </c>
      <c r="P13" t="s">
        <v>25</v>
      </c>
      <c r="Q13" t="s">
        <v>26</v>
      </c>
    </row>
    <row r="14" spans="1:17" x14ac:dyDescent="0.3">
      <c r="B14" s="2"/>
      <c r="C14" s="2"/>
      <c r="D14" s="2"/>
      <c r="E14" s="2"/>
      <c r="G14" t="s">
        <v>27</v>
      </c>
      <c r="H14">
        <v>9517</v>
      </c>
      <c r="I14">
        <v>9517</v>
      </c>
      <c r="J14">
        <v>8.0263738573079699</v>
      </c>
      <c r="K14">
        <v>2163.0498947706501</v>
      </c>
      <c r="L14">
        <v>17.145224122531701</v>
      </c>
      <c r="M14">
        <v>12553.6644622067</v>
      </c>
      <c r="N14">
        <v>5</v>
      </c>
      <c r="O14">
        <v>1</v>
      </c>
      <c r="P14">
        <v>26501.977721000199</v>
      </c>
      <c r="Q14">
        <v>24257.440601878901</v>
      </c>
    </row>
    <row r="15" spans="1:17" x14ac:dyDescent="0.3">
      <c r="A15" t="s">
        <v>71</v>
      </c>
      <c r="B15" s="2">
        <f>AVERAGE(B3:B13)</f>
        <v>0.70846494058823561</v>
      </c>
      <c r="C15" s="2">
        <f>MAX(C3:C13)</f>
        <v>8.5617601283123008</v>
      </c>
      <c r="D15" s="2">
        <f>SUM(D3:D13)</f>
        <v>35008.9283732029</v>
      </c>
      <c r="E15" s="2">
        <f>AVERAGE(E3:E13)</f>
        <v>7.7140562946741538</v>
      </c>
      <c r="G15" t="s">
        <v>28</v>
      </c>
      <c r="H15">
        <v>9143</v>
      </c>
      <c r="I15">
        <v>9143</v>
      </c>
      <c r="J15">
        <v>8.2463086514273201</v>
      </c>
      <c r="K15">
        <v>1990.18964323362</v>
      </c>
      <c r="L15">
        <v>17.145224122531701</v>
      </c>
      <c r="M15">
        <v>12300.114317461001</v>
      </c>
      <c r="N15">
        <v>4</v>
      </c>
      <c r="O15">
        <v>1</v>
      </c>
      <c r="P15">
        <v>24610.497674000198</v>
      </c>
      <c r="Q15">
        <v>22911.825543486098</v>
      </c>
    </row>
    <row r="16" spans="1:17" x14ac:dyDescent="0.3">
      <c r="G16" t="s">
        <v>29</v>
      </c>
      <c r="H16">
        <v>7690</v>
      </c>
      <c r="I16">
        <v>7690</v>
      </c>
      <c r="J16">
        <v>7.8542262678803603</v>
      </c>
      <c r="K16">
        <v>1720.23408988353</v>
      </c>
      <c r="L16">
        <v>17.145224122531701</v>
      </c>
      <c r="M16">
        <v>10328.221119767501</v>
      </c>
      <c r="N16">
        <v>3</v>
      </c>
      <c r="O16">
        <v>1</v>
      </c>
      <c r="P16">
        <v>21671.112463000001</v>
      </c>
      <c r="Q16">
        <v>20091.9838513211</v>
      </c>
    </row>
    <row r="17" spans="1:17" x14ac:dyDescent="0.3">
      <c r="A17" t="s">
        <v>37</v>
      </c>
    </row>
    <row r="18" spans="1:17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G18" t="s">
        <v>32</v>
      </c>
      <c r="H18" s="2"/>
      <c r="J18" s="2"/>
      <c r="K18" s="2">
        <f>AVERAGE(K14:K16)</f>
        <v>1957.8245426292667</v>
      </c>
      <c r="L18" s="2">
        <f>AVERAGE(L14:L16)</f>
        <v>17.145224122531701</v>
      </c>
      <c r="M18" s="2">
        <f>AVERAGE(M14:M16)</f>
        <v>11727.333299811733</v>
      </c>
      <c r="N18" s="2"/>
      <c r="O18" s="2"/>
      <c r="P18" s="2">
        <f>AVERAGE(P14:P16)</f>
        <v>24261.195952666796</v>
      </c>
      <c r="Q18" s="2">
        <f>AVERAGE(Q14:Q16)</f>
        <v>22420.416665562032</v>
      </c>
    </row>
    <row r="19" spans="1:17" x14ac:dyDescent="0.3">
      <c r="A19" t="s">
        <v>5</v>
      </c>
      <c r="B19">
        <v>1.02016164147377</v>
      </c>
      <c r="C19">
        <v>1.1653366787470201</v>
      </c>
      <c r="D19">
        <v>372.25888958029401</v>
      </c>
      <c r="E19">
        <v>13</v>
      </c>
      <c r="G19" t="s">
        <v>33</v>
      </c>
      <c r="K19">
        <f>_xlfn.STDEV.S(K14:K16)</f>
        <v>223.17500771211911</v>
      </c>
      <c r="M19">
        <f>_xlfn.STDEV.S(M14:M16)</f>
        <v>1218.2807920328696</v>
      </c>
      <c r="P19">
        <f>_xlfn.STDEV.S(P14:P16)</f>
        <v>2434.3014510600751</v>
      </c>
      <c r="Q19">
        <f>_xlfn.STDEV.S(Q14:Q16)</f>
        <v>2125.76327448962</v>
      </c>
    </row>
    <row r="20" spans="1:17" x14ac:dyDescent="0.3">
      <c r="A20" t="s">
        <v>6</v>
      </c>
      <c r="B20">
        <v>1.0224687129077099</v>
      </c>
      <c r="C20">
        <v>1.198536306714</v>
      </c>
      <c r="D20">
        <v>373.18551781506102</v>
      </c>
      <c r="E20">
        <v>13</v>
      </c>
      <c r="G20" t="s">
        <v>34</v>
      </c>
      <c r="I20" s="2"/>
      <c r="K20" s="2">
        <f>SUM(K14:K16)</f>
        <v>5873.4736278877999</v>
      </c>
      <c r="M20" s="2">
        <f>SUM(M14:M16)</f>
        <v>35181.999899435199</v>
      </c>
      <c r="N20" s="2">
        <f>SUM(N14:N16)</f>
        <v>12</v>
      </c>
      <c r="O20" s="2">
        <f>SUM(O14:O16)</f>
        <v>3</v>
      </c>
      <c r="P20" s="2">
        <f>SUM(P14:P16)</f>
        <v>72783.587858000392</v>
      </c>
      <c r="Q20" s="2">
        <f>SUM(Q14:Q16)</f>
        <v>67261.249996686092</v>
      </c>
    </row>
    <row r="21" spans="1:17" x14ac:dyDescent="0.3">
      <c r="A21" t="s">
        <v>7</v>
      </c>
      <c r="B21">
        <v>1.0238441257611</v>
      </c>
      <c r="C21">
        <v>1.1989124126335</v>
      </c>
      <c r="D21">
        <v>480.54046439917101</v>
      </c>
      <c r="E21">
        <v>13</v>
      </c>
      <c r="G21" t="s">
        <v>35</v>
      </c>
      <c r="K21" s="1">
        <f>K20/M20</f>
        <v>0.16694541653904363</v>
      </c>
      <c r="L21" s="1"/>
      <c r="M21" s="1"/>
      <c r="N21" s="1"/>
      <c r="O21" s="1"/>
      <c r="P21" s="1">
        <f>P20/M20</f>
        <v>2.0687734655803021</v>
      </c>
      <c r="Q21" s="1">
        <f>Q20/M20</f>
        <v>1.9118086006749686</v>
      </c>
    </row>
    <row r="22" spans="1:17" x14ac:dyDescent="0.3">
      <c r="A22" t="s">
        <v>8</v>
      </c>
      <c r="B22">
        <v>1.0212920807464201</v>
      </c>
      <c r="C22">
        <v>1.1821636440316401</v>
      </c>
      <c r="D22">
        <v>1571.0099334792601</v>
      </c>
      <c r="E22">
        <v>13</v>
      </c>
    </row>
    <row r="23" spans="1:17" x14ac:dyDescent="0.3">
      <c r="A23" t="s">
        <v>9</v>
      </c>
      <c r="B23">
        <v>1.0145240656766601</v>
      </c>
      <c r="C23">
        <v>1.19812318673855</v>
      </c>
      <c r="D23">
        <v>1599.59144642762</v>
      </c>
      <c r="E23">
        <v>12.889593908629401</v>
      </c>
    </row>
    <row r="24" spans="1:17" x14ac:dyDescent="0.3">
      <c r="A24" t="s">
        <v>10</v>
      </c>
      <c r="B24">
        <v>1.01871243144278</v>
      </c>
      <c r="C24">
        <v>1.2187230378967699</v>
      </c>
      <c r="D24">
        <v>1918.86965547399</v>
      </c>
      <c r="E24">
        <v>12.952253218884101</v>
      </c>
    </row>
    <row r="25" spans="1:17" x14ac:dyDescent="0.3">
      <c r="A25" t="s">
        <v>11</v>
      </c>
      <c r="B25">
        <v>1.0236790955369499</v>
      </c>
      <c r="C25">
        <v>1.2199654918465701</v>
      </c>
      <c r="D25">
        <v>1973.7035408092499</v>
      </c>
      <c r="E25">
        <v>13.0091397849462</v>
      </c>
    </row>
    <row r="26" spans="1:17" x14ac:dyDescent="0.3">
      <c r="A26" t="s">
        <v>12</v>
      </c>
      <c r="B26">
        <v>1.0187606856843301</v>
      </c>
      <c r="C26">
        <v>1.3405286823309699</v>
      </c>
      <c r="D26">
        <v>2849.0052785769099</v>
      </c>
      <c r="E26">
        <v>12.965262379896499</v>
      </c>
    </row>
    <row r="27" spans="1:17" x14ac:dyDescent="0.3">
      <c r="A27" t="s">
        <v>13</v>
      </c>
      <c r="B27">
        <v>1.54459950364473</v>
      </c>
      <c r="C27">
        <v>2.0811912100911898</v>
      </c>
      <c r="D27">
        <v>6676.0788970561998</v>
      </c>
      <c r="E27">
        <v>13.102570204664399</v>
      </c>
    </row>
    <row r="28" spans="1:17" x14ac:dyDescent="0.3">
      <c r="A28" t="s">
        <v>14</v>
      </c>
      <c r="B28">
        <v>1.5551273495737199</v>
      </c>
      <c r="C28">
        <v>2.28879980990301</v>
      </c>
      <c r="D28">
        <v>8593.7587493133797</v>
      </c>
      <c r="E28">
        <v>13.201257861635201</v>
      </c>
    </row>
    <row r="29" spans="1:17" x14ac:dyDescent="0.3">
      <c r="A29" t="s">
        <v>15</v>
      </c>
      <c r="B29">
        <v>1.56385471483292</v>
      </c>
      <c r="C29">
        <v>2.70920754167014</v>
      </c>
      <c r="D29">
        <v>8599.9968992285594</v>
      </c>
      <c r="E29">
        <v>13.2686704775954</v>
      </c>
    </row>
    <row r="31" spans="1:17" x14ac:dyDescent="0.3">
      <c r="A31" t="s">
        <v>71</v>
      </c>
      <c r="B31" s="2">
        <f>AVERAGE(B19:B29)</f>
        <v>1.1660931279346445</v>
      </c>
      <c r="C31" s="2">
        <f>MAX(C19:C29)</f>
        <v>2.70920754167014</v>
      </c>
      <c r="D31" s="2">
        <f>SUM(D19:D29)</f>
        <v>35007.999272159694</v>
      </c>
      <c r="E31" s="2">
        <f>AVERAGE(E19:E29)</f>
        <v>13.035340712386473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BD3C-49C2-47C2-914E-0F429D003969}">
  <dimension ref="A1:AE31"/>
  <sheetViews>
    <sheetView workbookViewId="0">
      <selection sqref="A1:E1048576"/>
    </sheetView>
  </sheetViews>
  <sheetFormatPr defaultRowHeight="14.4" x14ac:dyDescent="0.3"/>
  <cols>
    <col min="2" max="2" width="27.44140625" bestFit="1" customWidth="1"/>
    <col min="3" max="3" width="27.88671875" bestFit="1" customWidth="1"/>
    <col min="4" max="4" width="22.109375" bestFit="1" customWidth="1"/>
    <col min="5" max="5" width="17.21875" bestFit="1" customWidth="1"/>
    <col min="11" max="11" width="12.44140625" customWidth="1"/>
    <col min="13" max="13" width="13.21875" customWidth="1"/>
    <col min="14" max="14" width="19.77734375" bestFit="1" customWidth="1"/>
    <col min="15" max="15" width="20.44140625" bestFit="1" customWidth="1"/>
    <col min="16" max="16" width="14" customWidth="1"/>
    <col min="17" max="17" width="14.6640625" customWidth="1"/>
    <col min="19" max="19" width="14" bestFit="1" customWidth="1"/>
    <col min="20" max="20" width="8.44140625" customWidth="1"/>
    <col min="21" max="21" width="9.21875" customWidth="1"/>
    <col min="22" max="27" width="11" customWidth="1"/>
    <col min="28" max="28" width="8.44140625" customWidth="1"/>
    <col min="29" max="29" width="8.88671875" customWidth="1"/>
  </cols>
  <sheetData>
    <row r="1" spans="1:31" x14ac:dyDescent="0.3">
      <c r="A1" t="s">
        <v>36</v>
      </c>
      <c r="G1" t="s">
        <v>36</v>
      </c>
    </row>
    <row r="2" spans="1:3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31" x14ac:dyDescent="0.3">
      <c r="A3" t="s">
        <v>5</v>
      </c>
      <c r="B3" s="2">
        <v>0.51740875349662097</v>
      </c>
      <c r="C3" s="2">
        <v>1.0516069079952499</v>
      </c>
      <c r="D3" s="2">
        <v>374.68762154332597</v>
      </c>
      <c r="E3" s="2">
        <v>6.0588235294117601</v>
      </c>
      <c r="G3" t="s">
        <v>27</v>
      </c>
      <c r="H3">
        <v>26628</v>
      </c>
      <c r="I3">
        <v>26533</v>
      </c>
      <c r="J3">
        <v>86.642782033949203</v>
      </c>
      <c r="K3">
        <v>4543.4092131193102</v>
      </c>
      <c r="L3">
        <v>7.13713856696</v>
      </c>
      <c r="M3">
        <v>11371.167126799301</v>
      </c>
      <c r="N3">
        <v>11</v>
      </c>
      <c r="O3">
        <v>4</v>
      </c>
      <c r="P3">
        <v>61431.374470000599</v>
      </c>
      <c r="Q3">
        <v>53260.9783852533</v>
      </c>
    </row>
    <row r="4" spans="1:31" x14ac:dyDescent="0.3">
      <c r="A4" t="s">
        <v>6</v>
      </c>
      <c r="B4" s="2">
        <v>0.57016317448947995</v>
      </c>
      <c r="C4" s="2">
        <v>1.7224472512596001</v>
      </c>
      <c r="D4" s="2">
        <v>372.67683795662401</v>
      </c>
      <c r="E4" s="2">
        <v>6.8164852255054402</v>
      </c>
      <c r="G4" t="s">
        <v>28</v>
      </c>
      <c r="H4">
        <v>24093</v>
      </c>
      <c r="I4">
        <v>24093</v>
      </c>
      <c r="J4">
        <v>85.275017639978401</v>
      </c>
      <c r="K4">
        <v>4222.7156750037902</v>
      </c>
      <c r="L4">
        <v>7.13713856696</v>
      </c>
      <c r="M4">
        <v>10200.0111254329</v>
      </c>
      <c r="N4">
        <v>10</v>
      </c>
      <c r="O4">
        <v>3</v>
      </c>
      <c r="P4">
        <v>56197.932979000201</v>
      </c>
      <c r="Q4">
        <v>48455.306249769499</v>
      </c>
    </row>
    <row r="5" spans="1:31" x14ac:dyDescent="0.3">
      <c r="A5" t="s">
        <v>7</v>
      </c>
      <c r="B5" s="2">
        <v>0.51147859583103095</v>
      </c>
      <c r="C5" s="2">
        <v>0.76034055747771301</v>
      </c>
      <c r="D5" s="2">
        <v>479.97665308494601</v>
      </c>
      <c r="E5" s="2">
        <v>6</v>
      </c>
      <c r="G5" t="s">
        <v>29</v>
      </c>
      <c r="H5">
        <v>21602</v>
      </c>
      <c r="I5">
        <v>21602</v>
      </c>
      <c r="J5">
        <v>88.500648088139897</v>
      </c>
      <c r="K5">
        <v>3546.4549742342701</v>
      </c>
      <c r="L5">
        <v>7.13713856696</v>
      </c>
      <c r="M5">
        <v>7682.0798961692699</v>
      </c>
      <c r="N5">
        <v>8</v>
      </c>
      <c r="O5">
        <v>2</v>
      </c>
      <c r="P5">
        <v>43549.563169000299</v>
      </c>
      <c r="Q5">
        <v>37442.462797907603</v>
      </c>
    </row>
    <row r="6" spans="1:31" x14ac:dyDescent="0.3">
      <c r="A6" t="s">
        <v>8</v>
      </c>
      <c r="B6" s="2">
        <v>0.55276603366416899</v>
      </c>
      <c r="C6" s="2">
        <v>1.71751524923625</v>
      </c>
      <c r="D6" s="2">
        <v>1572.63255215308</v>
      </c>
      <c r="E6" s="2">
        <v>6.5700500357398104</v>
      </c>
      <c r="G6" t="s">
        <v>30</v>
      </c>
      <c r="H6">
        <v>18276</v>
      </c>
      <c r="I6">
        <v>18253</v>
      </c>
      <c r="J6">
        <v>87.487415189319293</v>
      </c>
      <c r="K6">
        <v>2912.5822476170802</v>
      </c>
      <c r="L6">
        <v>7.13713856696</v>
      </c>
      <c r="M6">
        <v>5476.0581184257599</v>
      </c>
      <c r="N6">
        <v>7</v>
      </c>
      <c r="O6">
        <v>2</v>
      </c>
      <c r="P6">
        <v>34217.198018000898</v>
      </c>
      <c r="Q6">
        <v>29252.145494781998</v>
      </c>
    </row>
    <row r="7" spans="1:31" x14ac:dyDescent="0.3">
      <c r="A7" t="s">
        <v>9</v>
      </c>
      <c r="B7" s="2">
        <v>0.51209598975612403</v>
      </c>
      <c r="C7" s="2">
        <v>1.1833816398321499</v>
      </c>
      <c r="D7" s="2">
        <v>1601.25421854556</v>
      </c>
      <c r="E7" s="2">
        <v>6.0051981806367696</v>
      </c>
      <c r="S7" t="s">
        <v>64</v>
      </c>
      <c r="T7" s="37" t="s">
        <v>65</v>
      </c>
      <c r="U7" s="37"/>
      <c r="V7" s="37" t="s">
        <v>67</v>
      </c>
      <c r="W7" s="37"/>
      <c r="X7" s="37" t="s">
        <v>66</v>
      </c>
      <c r="Y7" s="37"/>
      <c r="Z7" s="37" t="s">
        <v>68</v>
      </c>
      <c r="AA7" s="37"/>
      <c r="AB7" s="37" t="s">
        <v>69</v>
      </c>
      <c r="AC7" s="37"/>
      <c r="AD7" t="s">
        <v>70</v>
      </c>
    </row>
    <row r="8" spans="1:31" x14ac:dyDescent="0.3">
      <c r="A8" t="s">
        <v>10</v>
      </c>
      <c r="B8" s="2">
        <v>0.51682785071630599</v>
      </c>
      <c r="C8" s="2">
        <v>1.1817158754988499</v>
      </c>
      <c r="D8" s="2">
        <v>1923.50615616202</v>
      </c>
      <c r="E8" s="2">
        <v>6.0588235294117601</v>
      </c>
      <c r="G8" t="s">
        <v>32</v>
      </c>
      <c r="H8" s="2"/>
      <c r="J8" s="2"/>
      <c r="K8" s="2">
        <f>AVERAGE(K3:K6)</f>
        <v>3806.2905274936124</v>
      </c>
      <c r="L8" s="2">
        <f>AVERAGE(L3:L6)</f>
        <v>7.13713856696</v>
      </c>
      <c r="M8" s="2">
        <f>AVERAGE(M3:M6)</f>
        <v>8682.3290667068086</v>
      </c>
      <c r="N8" s="2"/>
      <c r="O8" s="2"/>
      <c r="P8" s="2">
        <f>AVERAGE(P3:P6)</f>
        <v>48849.017159000497</v>
      </c>
      <c r="Q8" s="2">
        <f>AVERAGE(Q3:Q6)</f>
        <v>42102.723231928096</v>
      </c>
      <c r="S8" s="18"/>
      <c r="T8" s="18" t="s">
        <v>36</v>
      </c>
      <c r="U8" s="18" t="s">
        <v>37</v>
      </c>
      <c r="V8" s="18" t="s">
        <v>36</v>
      </c>
      <c r="W8" s="18" t="s">
        <v>37</v>
      </c>
      <c r="X8" s="18" t="s">
        <v>36</v>
      </c>
      <c r="Y8" s="18" t="s">
        <v>37</v>
      </c>
      <c r="Z8" s="18" t="s">
        <v>36</v>
      </c>
      <c r="AA8" s="18" t="s">
        <v>37</v>
      </c>
      <c r="AB8" s="18" t="s">
        <v>36</v>
      </c>
      <c r="AC8" s="18" t="s">
        <v>37</v>
      </c>
      <c r="AD8" s="18" t="s">
        <v>36</v>
      </c>
      <c r="AE8" s="18" t="s">
        <v>37</v>
      </c>
    </row>
    <row r="9" spans="1:31" x14ac:dyDescent="0.3">
      <c r="A9" t="s">
        <v>11</v>
      </c>
      <c r="B9" s="2">
        <v>0.53542749122371103</v>
      </c>
      <c r="C9" s="2">
        <v>1.1924311256105999</v>
      </c>
      <c r="D9" s="2">
        <v>1973.6171810711201</v>
      </c>
      <c r="E9" s="2">
        <v>6.3265306122448903</v>
      </c>
      <c r="G9" t="s">
        <v>33</v>
      </c>
      <c r="S9" s="18">
        <v>2</v>
      </c>
      <c r="T9">
        <v>2</v>
      </c>
      <c r="V9" s="1">
        <v>0.43204342265427675</v>
      </c>
      <c r="W9" s="2"/>
      <c r="X9" s="1">
        <v>5.4244489586392914</v>
      </c>
      <c r="Y9" s="2"/>
      <c r="Z9" s="1">
        <v>4.5571131360834674</v>
      </c>
      <c r="AA9" s="2"/>
      <c r="AB9" s="19">
        <v>11</v>
      </c>
      <c r="AC9" s="2">
        <v>3</v>
      </c>
      <c r="AD9" s="2">
        <v>30.92</v>
      </c>
      <c r="AE9" s="2">
        <v>4.4680855969538698</v>
      </c>
    </row>
    <row r="10" spans="1:31" x14ac:dyDescent="0.3">
      <c r="A10" t="s">
        <v>12</v>
      </c>
      <c r="B10" s="2">
        <v>0.20122516217207501</v>
      </c>
      <c r="C10" s="2">
        <v>0.69112400767301796</v>
      </c>
      <c r="D10" s="2">
        <v>2849.7077145746698</v>
      </c>
      <c r="E10" s="2">
        <v>1.7578820868089899</v>
      </c>
      <c r="G10" t="s">
        <v>34</v>
      </c>
      <c r="I10" s="2"/>
      <c r="K10" s="2">
        <f>SUM(K3:K6)</f>
        <v>15225.16210997445</v>
      </c>
      <c r="M10" s="2">
        <f>SUM(M3:M6)</f>
        <v>34729.316266827234</v>
      </c>
      <c r="N10" s="2">
        <f>SUM(N3:N6)</f>
        <v>36</v>
      </c>
      <c r="O10" s="2">
        <f>SUM(O3:O6)</f>
        <v>11</v>
      </c>
      <c r="P10" s="2">
        <f>SUM(P3:P6)</f>
        <v>195396.06863600199</v>
      </c>
      <c r="Q10" s="2">
        <f>SUM(Q3:Q6)</f>
        <v>168410.89292771238</v>
      </c>
      <c r="S10" s="18">
        <v>3</v>
      </c>
      <c r="V10" s="2"/>
      <c r="W10" s="2"/>
      <c r="X10" s="2"/>
      <c r="Y10" s="2"/>
      <c r="Z10" s="2"/>
      <c r="AA10" s="2"/>
      <c r="AB10" s="2"/>
      <c r="AC10" s="2"/>
      <c r="AE10" s="2"/>
    </row>
    <row r="11" spans="1:31" x14ac:dyDescent="0.3">
      <c r="A11" t="s">
        <v>13</v>
      </c>
      <c r="B11" s="2">
        <v>0.99930177767718897</v>
      </c>
      <c r="C11" s="2">
        <v>3.36553244906509</v>
      </c>
      <c r="D11" s="2">
        <v>6682.5833009604603</v>
      </c>
      <c r="E11" s="2">
        <v>8.1146851044641508</v>
      </c>
      <c r="G11" t="s">
        <v>35</v>
      </c>
      <c r="K11" s="1">
        <f>K10/M10</f>
        <v>0.43839510092852668</v>
      </c>
      <c r="L11" s="1"/>
      <c r="M11" s="1"/>
      <c r="N11" s="1"/>
      <c r="O11" s="1"/>
      <c r="P11" s="1">
        <f>P10/M10</f>
        <v>5.6262572846169308</v>
      </c>
      <c r="Q11" s="1">
        <f>Q10/M10</f>
        <v>4.8492429748343531</v>
      </c>
      <c r="S11" s="18">
        <v>4</v>
      </c>
      <c r="V11" s="2"/>
      <c r="W11" s="2"/>
      <c r="X11" s="2">
        <v>5.63</v>
      </c>
      <c r="Y11" s="2">
        <v>2.0699999999999998</v>
      </c>
      <c r="Z11" s="2"/>
      <c r="AA11" s="2"/>
      <c r="AB11" s="2"/>
      <c r="AC11" s="2"/>
      <c r="AD11" s="2">
        <v>3.37</v>
      </c>
      <c r="AE11" s="2">
        <v>2.35</v>
      </c>
    </row>
    <row r="12" spans="1:31" x14ac:dyDescent="0.3">
      <c r="A12" t="s">
        <v>14</v>
      </c>
      <c r="B12" s="2">
        <v>0.77385240697230895</v>
      </c>
      <c r="C12" s="2">
        <v>1.7458504959235801</v>
      </c>
      <c r="D12" s="2">
        <v>8585.4179214994292</v>
      </c>
      <c r="E12" s="2">
        <v>6.0736017489524503</v>
      </c>
      <c r="K12" s="1"/>
      <c r="L12" s="1"/>
      <c r="M12" s="1"/>
      <c r="N12" s="1"/>
      <c r="O12" s="1"/>
      <c r="P12" s="1"/>
      <c r="Q12" s="1"/>
      <c r="S12" s="18">
        <v>6</v>
      </c>
      <c r="V12" s="2"/>
      <c r="W12" s="2"/>
      <c r="X12" s="2">
        <v>5.08</v>
      </c>
      <c r="Y12" s="2">
        <v>2.0499999999999998</v>
      </c>
      <c r="Z12" s="2"/>
      <c r="AA12" s="2"/>
      <c r="AB12" s="2"/>
      <c r="AC12" s="2"/>
      <c r="AD12" s="2">
        <v>1.76</v>
      </c>
      <c r="AE12" s="2">
        <v>2.1</v>
      </c>
    </row>
    <row r="13" spans="1:31" x14ac:dyDescent="0.3">
      <c r="A13" t="s">
        <v>15</v>
      </c>
      <c r="B13" s="2">
        <v>0.32096892958286199</v>
      </c>
      <c r="C13" s="2">
        <v>1.3350496964679299</v>
      </c>
      <c r="D13" s="2">
        <v>8593.1741306801196</v>
      </c>
      <c r="E13" s="2">
        <v>1.9312490628280099</v>
      </c>
      <c r="G13" t="s">
        <v>37</v>
      </c>
      <c r="K13" s="1"/>
      <c r="L13" s="1"/>
      <c r="M13" s="1"/>
      <c r="N13" s="1"/>
      <c r="O13" s="1"/>
      <c r="P13" s="1"/>
      <c r="Q13" s="1"/>
      <c r="S13" s="18">
        <v>8</v>
      </c>
      <c r="V13" s="2"/>
      <c r="W13" s="2"/>
      <c r="X13" s="2">
        <v>4.33</v>
      </c>
      <c r="Y13" s="2">
        <v>2.0499999999999998</v>
      </c>
      <c r="Z13" s="2"/>
      <c r="AA13" s="2"/>
      <c r="AB13" s="2"/>
      <c r="AC13" s="2"/>
      <c r="AD13" s="2">
        <v>1.8</v>
      </c>
      <c r="AE13" s="2">
        <v>2.04</v>
      </c>
    </row>
    <row r="14" spans="1:31" x14ac:dyDescent="0.3">
      <c r="B14" s="2"/>
      <c r="C14" s="2"/>
      <c r="D14" s="2"/>
      <c r="E14" s="2"/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  <c r="P14" t="s">
        <v>25</v>
      </c>
      <c r="Q14" t="s">
        <v>26</v>
      </c>
      <c r="S14" s="18">
        <v>12</v>
      </c>
      <c r="V14" s="2"/>
      <c r="W14" s="2"/>
      <c r="X14" s="2">
        <v>4.72</v>
      </c>
      <c r="Y14" s="2">
        <v>2.0099999999999998</v>
      </c>
      <c r="Z14" s="2"/>
      <c r="AA14" s="2"/>
      <c r="AB14" s="2"/>
      <c r="AC14" s="2"/>
      <c r="AD14" s="2">
        <v>1.77</v>
      </c>
      <c r="AE14" s="2">
        <v>1.87</v>
      </c>
    </row>
    <row r="15" spans="1:31" x14ac:dyDescent="0.3">
      <c r="A15" t="s">
        <v>71</v>
      </c>
      <c r="B15" s="2">
        <f>AVERAGE(B3:B13)</f>
        <v>0.54650146959835244</v>
      </c>
      <c r="C15" s="2">
        <f>MAX(C3:C13)</f>
        <v>3.36553244906509</v>
      </c>
      <c r="D15" s="2">
        <f>SUM(D3:D13)</f>
        <v>35009.234288231353</v>
      </c>
      <c r="E15" s="2">
        <f>AVERAGE(E3:E13)</f>
        <v>5.6103026469094566</v>
      </c>
      <c r="G15" t="s">
        <v>27</v>
      </c>
      <c r="H15">
        <v>7088</v>
      </c>
      <c r="I15">
        <v>7088</v>
      </c>
      <c r="J15">
        <v>7.7804740406320496</v>
      </c>
      <c r="K15">
        <v>1669.1959534678399</v>
      </c>
      <c r="L15">
        <v>17.125844306790899</v>
      </c>
      <c r="M15">
        <v>9487.3842386548004</v>
      </c>
      <c r="N15">
        <v>4</v>
      </c>
      <c r="O15">
        <v>1</v>
      </c>
      <c r="P15">
        <v>20346.5678240001</v>
      </c>
      <c r="Q15">
        <v>18497.785671841099</v>
      </c>
    </row>
    <row r="16" spans="1:31" x14ac:dyDescent="0.3">
      <c r="B16" s="2"/>
      <c r="C16" s="2"/>
      <c r="D16" s="2"/>
      <c r="E16" s="2"/>
      <c r="G16" t="s">
        <v>28</v>
      </c>
      <c r="H16">
        <v>6921</v>
      </c>
      <c r="I16">
        <v>6921</v>
      </c>
      <c r="J16">
        <v>8.1381303279872803</v>
      </c>
      <c r="K16">
        <v>1520.9764513549701</v>
      </c>
      <c r="L16">
        <v>17.125844306790899</v>
      </c>
      <c r="M16">
        <v>9244.0183982169492</v>
      </c>
      <c r="N16">
        <v>3</v>
      </c>
      <c r="O16">
        <v>1</v>
      </c>
      <c r="P16">
        <v>18339.849802999801</v>
      </c>
      <c r="Q16">
        <v>16984.723601120098</v>
      </c>
    </row>
    <row r="17" spans="1:26" x14ac:dyDescent="0.3">
      <c r="A17" t="s">
        <v>37</v>
      </c>
      <c r="B17" s="2"/>
      <c r="C17" s="2"/>
      <c r="D17" s="2"/>
      <c r="E17" s="2"/>
      <c r="G17" t="s">
        <v>29</v>
      </c>
      <c r="H17">
        <v>6587</v>
      </c>
      <c r="I17">
        <v>6587</v>
      </c>
      <c r="J17">
        <v>8.3957795658114396</v>
      </c>
      <c r="K17">
        <v>1418.63110467103</v>
      </c>
      <c r="L17">
        <v>17.125844306790899</v>
      </c>
      <c r="M17">
        <v>8720.4793558603797</v>
      </c>
      <c r="N17">
        <v>3</v>
      </c>
      <c r="O17">
        <v>1</v>
      </c>
      <c r="P17">
        <v>18259.814263</v>
      </c>
      <c r="Q17">
        <v>17108.7431089001</v>
      </c>
      <c r="V17" s="1"/>
      <c r="W17" s="1"/>
      <c r="X17" s="1"/>
      <c r="Y17" s="1"/>
      <c r="Z17" s="1"/>
    </row>
    <row r="18" spans="1:26" x14ac:dyDescent="0.3">
      <c r="A18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G18" t="s">
        <v>30</v>
      </c>
      <c r="H18">
        <v>5838</v>
      </c>
      <c r="I18">
        <v>5838</v>
      </c>
      <c r="J18">
        <v>8.1774580335731404</v>
      </c>
      <c r="K18">
        <v>1274.67728190824</v>
      </c>
      <c r="L18">
        <v>17.125844306790899</v>
      </c>
      <c r="M18">
        <v>7724.6022134164896</v>
      </c>
      <c r="N18">
        <v>3</v>
      </c>
      <c r="O18">
        <v>1</v>
      </c>
      <c r="P18">
        <v>15844.393250999799</v>
      </c>
      <c r="Q18">
        <v>14714.6662742102</v>
      </c>
    </row>
    <row r="19" spans="1:26" x14ac:dyDescent="0.3">
      <c r="A19" t="s">
        <v>5</v>
      </c>
      <c r="B19" s="2">
        <v>1.0213768161550001</v>
      </c>
      <c r="C19" s="2">
        <v>1.14756065041306</v>
      </c>
      <c r="D19" s="2">
        <v>372.74564312711902</v>
      </c>
      <c r="E19" s="2">
        <v>13</v>
      </c>
    </row>
    <row r="20" spans="1:26" x14ac:dyDescent="0.3">
      <c r="A20" t="s">
        <v>6</v>
      </c>
      <c r="B20" s="2">
        <v>1.01966107248439</v>
      </c>
      <c r="C20" s="2">
        <v>1.1533555177309101</v>
      </c>
      <c r="D20" s="2">
        <v>372.13468052252301</v>
      </c>
      <c r="E20" s="2">
        <v>13</v>
      </c>
      <c r="G20" t="s">
        <v>32</v>
      </c>
      <c r="H20" s="2"/>
      <c r="J20" s="2"/>
      <c r="K20" s="2">
        <f>AVERAGE(K15:K18)</f>
        <v>1470.8701978505198</v>
      </c>
      <c r="L20" s="2">
        <f>AVERAGE(L15:L18)</f>
        <v>17.125844306790899</v>
      </c>
      <c r="M20" s="2">
        <f>AVERAGE(M15:M18)</f>
        <v>8794.1210515371549</v>
      </c>
      <c r="N20" s="2"/>
      <c r="O20" s="2"/>
      <c r="P20" s="2">
        <f>AVERAGE(P15:P18)</f>
        <v>18197.656285249926</v>
      </c>
      <c r="Q20" s="2">
        <f>AVERAGE(Q15:Q18)</f>
        <v>16826.479664017876</v>
      </c>
    </row>
    <row r="21" spans="1:26" x14ac:dyDescent="0.3">
      <c r="A21" t="s">
        <v>7</v>
      </c>
      <c r="B21" s="2">
        <v>1.0199880192615201</v>
      </c>
      <c r="C21" s="2">
        <v>1.19915973362805</v>
      </c>
      <c r="D21" s="2">
        <v>478.71797358459702</v>
      </c>
      <c r="E21" s="2">
        <v>13</v>
      </c>
      <c r="G21" t="s">
        <v>33</v>
      </c>
    </row>
    <row r="22" spans="1:26" x14ac:dyDescent="0.3">
      <c r="A22" t="s">
        <v>8</v>
      </c>
      <c r="B22" s="2">
        <v>1.02297511225126</v>
      </c>
      <c r="C22" s="2">
        <v>1.1721729650944701</v>
      </c>
      <c r="D22" s="2">
        <v>1573.6182847172799</v>
      </c>
      <c r="E22" s="2">
        <v>13</v>
      </c>
      <c r="G22" t="s">
        <v>34</v>
      </c>
      <c r="I22" s="2"/>
      <c r="K22" s="2">
        <f>SUM(K15:K18)</f>
        <v>5883.4807914020794</v>
      </c>
      <c r="M22" s="2">
        <f>SUM(M15:M18)</f>
        <v>35176.48420614862</v>
      </c>
      <c r="N22" s="2">
        <f>SUM(N15:N18)</f>
        <v>13</v>
      </c>
      <c r="O22" s="2">
        <f>SUM(O15:O18)</f>
        <v>4</v>
      </c>
      <c r="P22" s="2">
        <f>SUM(P15:P18)</f>
        <v>72790.625140999706</v>
      </c>
      <c r="Q22" s="2">
        <f>SUM(Q15:Q18)</f>
        <v>67305.918656071502</v>
      </c>
    </row>
    <row r="23" spans="1:26" x14ac:dyDescent="0.3">
      <c r="A23" t="s">
        <v>9</v>
      </c>
      <c r="B23" s="2">
        <v>1.0235531216571701</v>
      </c>
      <c r="C23" s="2">
        <v>1.2037216746813899</v>
      </c>
      <c r="D23" s="2">
        <v>1600.4700827261599</v>
      </c>
      <c r="E23" s="2">
        <v>13.0051249199231</v>
      </c>
      <c r="G23" t="s">
        <v>35</v>
      </c>
      <c r="K23" s="1">
        <f>K22/M22</f>
        <v>0.16725607814932469</v>
      </c>
      <c r="L23" s="1"/>
      <c r="M23" s="1"/>
      <c r="N23" s="1"/>
      <c r="O23" s="1"/>
      <c r="P23" s="1">
        <f>P22/M22</f>
        <v>2.0692979069317103</v>
      </c>
      <c r="Q23" s="1">
        <f>Q22/M22</f>
        <v>1.9133782177215672</v>
      </c>
    </row>
    <row r="24" spans="1:26" x14ac:dyDescent="0.3">
      <c r="A24" t="s">
        <v>10</v>
      </c>
      <c r="B24" s="2">
        <v>1.00498565780861</v>
      </c>
      <c r="C24" s="2">
        <v>1.20011806769865</v>
      </c>
      <c r="D24" s="2">
        <v>1919.2509007732599</v>
      </c>
      <c r="E24" s="2">
        <v>12.7611314824515</v>
      </c>
    </row>
    <row r="25" spans="1:26" x14ac:dyDescent="0.3">
      <c r="A25" t="s">
        <v>11</v>
      </c>
      <c r="B25" s="2">
        <v>1.0254796726694799</v>
      </c>
      <c r="C25" s="2">
        <v>1.2375828037726799</v>
      </c>
      <c r="D25" s="2">
        <v>1972.33548661241</v>
      </c>
      <c r="E25" s="2">
        <v>13.0439385918475</v>
      </c>
    </row>
    <row r="26" spans="1:26" s="7" customFormat="1" x14ac:dyDescent="0.3">
      <c r="A26" t="s">
        <v>12</v>
      </c>
      <c r="B26" s="2">
        <v>1.01979643236638</v>
      </c>
      <c r="C26" s="2">
        <v>1.2107356139630501</v>
      </c>
      <c r="D26" s="2">
        <v>2848.0442283580901</v>
      </c>
      <c r="E26" s="2">
        <v>12.9840445269016</v>
      </c>
      <c r="G26" s="7" t="s">
        <v>47</v>
      </c>
      <c r="K26" s="11">
        <f>K23-K11</f>
        <v>-0.27113902277920199</v>
      </c>
      <c r="P26" s="11">
        <f>P23-P11</f>
        <v>-3.5569593776852204</v>
      </c>
      <c r="Q26" s="11">
        <f>Q23-Q11</f>
        <v>-2.9358647571127858</v>
      </c>
    </row>
    <row r="27" spans="1:26" s="7" customFormat="1" x14ac:dyDescent="0.3">
      <c r="A27" t="s">
        <v>13</v>
      </c>
      <c r="B27" s="2">
        <v>1.53841424251869</v>
      </c>
      <c r="C27" s="2">
        <v>1.94245365220555</v>
      </c>
      <c r="D27" s="2">
        <v>6678.3163680253201</v>
      </c>
      <c r="E27" s="2">
        <v>13.0416072277698</v>
      </c>
      <c r="G27" s="7" t="s">
        <v>46</v>
      </c>
      <c r="I27" s="8"/>
      <c r="J27" s="8"/>
      <c r="K27" s="12">
        <f>K26/K11</f>
        <v>-0.61848095976648898</v>
      </c>
      <c r="L27" s="12"/>
      <c r="M27" s="12"/>
      <c r="N27" s="12"/>
      <c r="O27" s="12"/>
      <c r="P27" s="12">
        <f>P26/P11</f>
        <v>-0.63220702462550105</v>
      </c>
      <c r="Q27" s="12">
        <f>Q26/Q11</f>
        <v>-0.6054274393650223</v>
      </c>
    </row>
    <row r="28" spans="1:26" x14ac:dyDescent="0.3">
      <c r="A28" t="s">
        <v>14</v>
      </c>
      <c r="B28" s="2">
        <v>1.54440631496414</v>
      </c>
      <c r="C28" s="2">
        <v>2.1359015993475099</v>
      </c>
      <c r="D28" s="2">
        <v>8594.4811932459597</v>
      </c>
      <c r="E28" s="2">
        <v>13.1008666789599</v>
      </c>
    </row>
    <row r="29" spans="1:26" x14ac:dyDescent="0.3">
      <c r="A29" t="s">
        <v>15</v>
      </c>
      <c r="B29" s="2">
        <v>1.5506547246314599</v>
      </c>
      <c r="C29" s="2">
        <v>2.3496516471851798</v>
      </c>
      <c r="D29" s="2">
        <v>8599.4125630818799</v>
      </c>
      <c r="E29" s="2">
        <v>13.1484748254318</v>
      </c>
    </row>
    <row r="30" spans="1:26" x14ac:dyDescent="0.3">
      <c r="B30" s="2"/>
      <c r="C30" s="2"/>
      <c r="D30" s="2"/>
      <c r="E30" s="2"/>
    </row>
    <row r="31" spans="1:26" x14ac:dyDescent="0.3">
      <c r="A31" t="s">
        <v>71</v>
      </c>
      <c r="B31" s="2">
        <f>AVERAGE(B19:B29)</f>
        <v>1.1628446533425547</v>
      </c>
      <c r="C31" s="2">
        <f>MAX(C19:C29)</f>
        <v>2.3496516471851798</v>
      </c>
      <c r="D31" s="2">
        <f>SUM(D19:D29)</f>
        <v>35009.527404774599</v>
      </c>
      <c r="E31" s="2">
        <f>AVERAGE(E19:E29)</f>
        <v>13.007744386662294</v>
      </c>
    </row>
  </sheetData>
  <mergeCells count="5">
    <mergeCell ref="T7:U7"/>
    <mergeCell ref="V7:W7"/>
    <mergeCell ref="X7:Y7"/>
    <mergeCell ref="Z7:AA7"/>
    <mergeCell ref="AB7:A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00C4-23CC-4262-AEE9-FBF34658B156}">
  <dimension ref="A1:Q37"/>
  <sheetViews>
    <sheetView workbookViewId="0">
      <selection activeCell="D17" sqref="D17"/>
    </sheetView>
  </sheetViews>
  <sheetFormatPr defaultRowHeight="14.4" x14ac:dyDescent="0.3"/>
  <cols>
    <col min="1" max="1" width="11.77734375" bestFit="1" customWidth="1"/>
    <col min="2" max="2" width="27.44140625" bestFit="1" customWidth="1"/>
    <col min="3" max="3" width="27.88671875" bestFit="1" customWidth="1"/>
    <col min="4" max="4" width="22.109375" bestFit="1" customWidth="1"/>
    <col min="5" max="5" width="17.21875" bestFit="1" customWidth="1"/>
    <col min="8" max="8" width="13.77734375" customWidth="1"/>
    <col min="9" max="9" width="18.5546875" customWidth="1"/>
    <col min="10" max="10" width="19.44140625" customWidth="1"/>
    <col min="11" max="11" width="17.33203125" customWidth="1"/>
    <col min="12" max="12" width="25.77734375" bestFit="1" customWidth="1"/>
    <col min="13" max="13" width="18.44140625" bestFit="1" customWidth="1"/>
    <col min="14" max="14" width="19.88671875" bestFit="1" customWidth="1"/>
    <col min="15" max="15" width="20.5546875" bestFit="1" customWidth="1"/>
    <col min="16" max="16" width="20.44140625" bestFit="1" customWidth="1"/>
    <col min="17" max="17" width="14.6640625" bestFit="1" customWidth="1"/>
  </cols>
  <sheetData>
    <row r="1" spans="1:17" ht="18" x14ac:dyDescent="0.35">
      <c r="A1" s="3" t="s">
        <v>36</v>
      </c>
      <c r="G1" s="3" t="s">
        <v>36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 s="2">
        <v>0.50290367866305596</v>
      </c>
      <c r="C3" s="2">
        <v>0.636863497174191</v>
      </c>
      <c r="D3" s="2">
        <v>371.25043422754101</v>
      </c>
      <c r="E3" s="2">
        <v>5.9230769230769198</v>
      </c>
      <c r="G3" t="s">
        <v>27</v>
      </c>
      <c r="H3" s="2">
        <v>24812</v>
      </c>
      <c r="I3" s="2">
        <v>24748</v>
      </c>
      <c r="J3" s="2">
        <v>70.321940996292099</v>
      </c>
      <c r="K3" s="2">
        <v>4283.7962654333096</v>
      </c>
      <c r="L3" s="2">
        <v>7.1481563089283702</v>
      </c>
      <c r="M3" s="2">
        <v>11721.0422309647</v>
      </c>
      <c r="N3" s="2">
        <v>10</v>
      </c>
      <c r="O3" s="2">
        <v>3</v>
      </c>
      <c r="P3" s="2">
        <v>59453.210631526897</v>
      </c>
      <c r="Q3" s="2">
        <v>51888.438182126702</v>
      </c>
    </row>
    <row r="4" spans="1:17" x14ac:dyDescent="0.3">
      <c r="A4" t="s">
        <v>6</v>
      </c>
      <c r="B4" s="2">
        <v>0.51459715544889495</v>
      </c>
      <c r="C4" s="2">
        <v>0.98402153302219397</v>
      </c>
      <c r="D4" s="2">
        <v>373.53230326083599</v>
      </c>
      <c r="E4" s="2">
        <v>6.0392156862745097</v>
      </c>
      <c r="G4" t="s">
        <v>28</v>
      </c>
      <c r="H4" s="2">
        <v>22614</v>
      </c>
      <c r="I4" s="2">
        <v>22614</v>
      </c>
      <c r="J4" s="2">
        <v>66.134429999115596</v>
      </c>
      <c r="K4" s="2">
        <v>4055.2140464969698</v>
      </c>
      <c r="L4" s="2">
        <v>7.1481563089283702</v>
      </c>
      <c r="M4" s="2">
        <v>10361.6476087018</v>
      </c>
      <c r="N4" s="2">
        <v>9</v>
      </c>
      <c r="O4" s="2">
        <v>3</v>
      </c>
      <c r="P4" s="2">
        <v>54781.004599120002</v>
      </c>
      <c r="Q4" s="2">
        <v>47371.466166784099</v>
      </c>
    </row>
    <row r="5" spans="1:17" x14ac:dyDescent="0.3">
      <c r="A5" t="s">
        <v>7</v>
      </c>
      <c r="B5" s="2">
        <v>0.50825897120279795</v>
      </c>
      <c r="C5" s="2">
        <v>0.793314277454785</v>
      </c>
      <c r="D5" s="2">
        <v>479.59535275477299</v>
      </c>
      <c r="E5" s="2">
        <v>5.9615384615384599</v>
      </c>
      <c r="G5" t="s">
        <v>29</v>
      </c>
      <c r="H5" s="2">
        <v>16298</v>
      </c>
      <c r="I5" s="2">
        <v>16298</v>
      </c>
      <c r="J5" s="2">
        <v>73.160817278193605</v>
      </c>
      <c r="K5" s="2">
        <v>2742.46192937666</v>
      </c>
      <c r="L5" s="2">
        <v>7.1481563089283702</v>
      </c>
      <c r="M5" s="2">
        <v>5179.7563141693799</v>
      </c>
      <c r="N5" s="2">
        <v>6</v>
      </c>
      <c r="O5" s="2">
        <v>2</v>
      </c>
      <c r="P5" s="2">
        <v>32881.979108918102</v>
      </c>
      <c r="Q5" s="2">
        <v>28041.064066774899</v>
      </c>
    </row>
    <row r="6" spans="1:17" x14ac:dyDescent="0.3">
      <c r="A6" t="s">
        <v>8</v>
      </c>
      <c r="B6" s="2">
        <v>0.50468496947080399</v>
      </c>
      <c r="C6" s="2">
        <v>1.2179423547094601</v>
      </c>
      <c r="D6" s="2">
        <v>1577.14126415329</v>
      </c>
      <c r="E6" s="2">
        <v>5.8901527461813403</v>
      </c>
      <c r="G6" t="s">
        <v>30</v>
      </c>
      <c r="H6" s="2">
        <v>14989</v>
      </c>
      <c r="I6" s="2">
        <v>14989</v>
      </c>
      <c r="J6" s="2">
        <v>75.370404963639999</v>
      </c>
      <c r="K6" s="2">
        <v>2498.64530149647</v>
      </c>
      <c r="L6" s="2">
        <v>7.1481563089283702</v>
      </c>
      <c r="M6" s="2">
        <v>3978.5498288921299</v>
      </c>
      <c r="N6" s="2">
        <v>6</v>
      </c>
      <c r="O6" s="2">
        <v>1</v>
      </c>
      <c r="P6" s="2">
        <v>28728.0158413555</v>
      </c>
      <c r="Q6" s="2">
        <v>24339.495691892898</v>
      </c>
    </row>
    <row r="7" spans="1:17" x14ac:dyDescent="0.3">
      <c r="A7" t="s">
        <v>9</v>
      </c>
      <c r="B7" s="2">
        <v>0.50602038108896197</v>
      </c>
      <c r="C7" s="2">
        <v>0.97166201794005902</v>
      </c>
      <c r="D7" s="2">
        <v>1603.99695666969</v>
      </c>
      <c r="E7" s="2">
        <v>5.9102564102564097</v>
      </c>
      <c r="G7" t="s">
        <v>31</v>
      </c>
      <c r="H7" s="2">
        <v>11332</v>
      </c>
      <c r="I7" s="2">
        <v>11332</v>
      </c>
      <c r="J7" s="2">
        <v>52.377867984468701</v>
      </c>
      <c r="K7" s="2">
        <v>1597.4051154400699</v>
      </c>
      <c r="L7" s="2">
        <v>7.1481563089283702</v>
      </c>
      <c r="M7" s="2">
        <v>3520.48814759072</v>
      </c>
      <c r="N7" s="2">
        <v>3</v>
      </c>
      <c r="O7" s="2">
        <v>1</v>
      </c>
      <c r="P7" s="2">
        <v>18009.775438487999</v>
      </c>
      <c r="Q7" s="2">
        <v>15600.972766470901</v>
      </c>
    </row>
    <row r="8" spans="1:17" x14ac:dyDescent="0.3">
      <c r="A8" t="s">
        <v>10</v>
      </c>
      <c r="B8" s="2">
        <v>0.50603838009148805</v>
      </c>
      <c r="C8" s="2">
        <v>0.63960435654596104</v>
      </c>
      <c r="D8" s="2">
        <v>1920.6191670589801</v>
      </c>
      <c r="E8" s="2">
        <v>5.9230769230769198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3">
      <c r="A9" t="s">
        <v>11</v>
      </c>
      <c r="B9" s="2">
        <v>0.504146040818089</v>
      </c>
      <c r="C9" s="2">
        <v>0.64342966385120304</v>
      </c>
      <c r="D9" s="2">
        <v>1971.9232864629801</v>
      </c>
      <c r="E9" s="2">
        <v>5.9038461538461497</v>
      </c>
      <c r="G9" t="s">
        <v>32</v>
      </c>
      <c r="H9" s="2"/>
      <c r="J9" s="2"/>
      <c r="K9" s="2">
        <f>AVERAGE(K3:K7)</f>
        <v>3035.5045316486958</v>
      </c>
      <c r="L9" s="2">
        <f>AVERAGE(L3:L7)</f>
        <v>7.1481563089283693</v>
      </c>
      <c r="M9" s="2">
        <f t="shared" ref="M9:Q9" si="0">AVERAGE(M3:M7)</f>
        <v>6952.2968260637454</v>
      </c>
      <c r="N9" s="2"/>
      <c r="O9" s="2"/>
      <c r="P9" s="2">
        <f t="shared" si="0"/>
        <v>38770.797123881697</v>
      </c>
      <c r="Q9" s="2">
        <f t="shared" si="0"/>
        <v>33448.287374809894</v>
      </c>
    </row>
    <row r="10" spans="1:17" x14ac:dyDescent="0.3">
      <c r="A10" t="s">
        <v>12</v>
      </c>
      <c r="B10" s="2">
        <v>0.18395821647708099</v>
      </c>
      <c r="C10" s="2">
        <v>0.60893697347057296</v>
      </c>
      <c r="D10" s="2">
        <v>2848.32034858622</v>
      </c>
      <c r="E10" s="2">
        <v>1.5224700937600999</v>
      </c>
      <c r="G10" t="s">
        <v>33</v>
      </c>
    </row>
    <row r="11" spans="1:17" x14ac:dyDescent="0.3">
      <c r="A11" t="s">
        <v>13</v>
      </c>
      <c r="B11" s="2">
        <v>0.88613812481084397</v>
      </c>
      <c r="C11" s="2">
        <v>2.5979600380857799</v>
      </c>
      <c r="D11" s="2">
        <v>6677.8135175467796</v>
      </c>
      <c r="E11" s="2">
        <v>7.0886529528865196</v>
      </c>
      <c r="G11" t="s">
        <v>34</v>
      </c>
      <c r="I11" s="2"/>
      <c r="K11" s="2">
        <f>SUM(K3:K7)</f>
        <v>15177.522658243479</v>
      </c>
      <c r="M11" s="2">
        <f>SUM(M3:M7)</f>
        <v>34761.484130318728</v>
      </c>
      <c r="N11" s="2">
        <f>SUM(N3:N7)</f>
        <v>34</v>
      </c>
      <c r="O11" s="2">
        <f>SUM(O3:O7)</f>
        <v>10</v>
      </c>
      <c r="P11" s="2">
        <f>SUM(P3:P7)</f>
        <v>193853.98561940849</v>
      </c>
      <c r="Q11" s="2">
        <f>SUM(Q3:Q7)</f>
        <v>167241.43687404948</v>
      </c>
    </row>
    <row r="12" spans="1:17" x14ac:dyDescent="0.3">
      <c r="A12" t="s">
        <v>14</v>
      </c>
      <c r="B12" s="2">
        <v>0.76110544392705104</v>
      </c>
      <c r="C12" s="2">
        <v>1.9893037758537699</v>
      </c>
      <c r="D12" s="2">
        <v>8594.9150639539803</v>
      </c>
      <c r="E12" s="2">
        <v>5.9494135553764798</v>
      </c>
      <c r="G12" t="s">
        <v>35</v>
      </c>
      <c r="K12" s="1">
        <f>K11/M11</f>
        <v>0.43661894875787965</v>
      </c>
      <c r="L12" s="1"/>
      <c r="M12" s="1"/>
      <c r="N12" s="1"/>
      <c r="O12" s="1"/>
      <c r="P12" s="1">
        <f>P11/M11</f>
        <v>5.5766889840681566</v>
      </c>
      <c r="Q12" s="1">
        <f>Q11/M11</f>
        <v>4.8111132495687272</v>
      </c>
    </row>
    <row r="13" spans="1:17" x14ac:dyDescent="0.3">
      <c r="A13" t="s">
        <v>15</v>
      </c>
      <c r="B13" s="2">
        <v>0.31854792405836402</v>
      </c>
      <c r="C13" s="2">
        <v>1.44237494928725</v>
      </c>
      <c r="D13" s="2">
        <v>8586.8410313444001</v>
      </c>
      <c r="E13" s="2">
        <v>1.91120452347295</v>
      </c>
    </row>
    <row r="14" spans="1:17" ht="18" x14ac:dyDescent="0.35">
      <c r="D14" s="2"/>
      <c r="E14" s="2"/>
      <c r="G14" s="3" t="s">
        <v>37</v>
      </c>
    </row>
    <row r="15" spans="1:17" x14ac:dyDescent="0.3">
      <c r="A15" t="s">
        <v>71</v>
      </c>
      <c r="B15" s="2">
        <f>AVERAGE(B3:B13)</f>
        <v>0.51785448055067562</v>
      </c>
      <c r="C15" s="2">
        <f>MAX(C3:C13)</f>
        <v>2.5979600380857799</v>
      </c>
      <c r="D15" s="2">
        <f>SUM(D3:D13)</f>
        <v>35005.948726019473</v>
      </c>
      <c r="E15" s="2">
        <f>AVERAGE(E3:E13)</f>
        <v>5.2748094936133416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24</v>
      </c>
      <c r="P15" t="s">
        <v>25</v>
      </c>
      <c r="Q15" t="s">
        <v>26</v>
      </c>
    </row>
    <row r="16" spans="1:17" x14ac:dyDescent="0.3">
      <c r="G16" t="s">
        <v>27</v>
      </c>
      <c r="H16">
        <v>5925</v>
      </c>
      <c r="I16">
        <v>5925</v>
      </c>
      <c r="J16" s="2">
        <v>8.1994936708860706</v>
      </c>
      <c r="K16" s="2">
        <v>1315.24971845397</v>
      </c>
      <c r="L16" s="2">
        <v>17.5792487922958</v>
      </c>
      <c r="M16" s="2">
        <v>7759.1320418969099</v>
      </c>
      <c r="N16" s="13">
        <v>3</v>
      </c>
      <c r="O16" s="13">
        <v>1</v>
      </c>
      <c r="P16" s="2">
        <v>16007.399369999899</v>
      </c>
      <c r="Q16" s="2">
        <v>14767.300826071099</v>
      </c>
    </row>
    <row r="17" spans="1:17" ht="18" x14ac:dyDescent="0.35">
      <c r="A17" s="3" t="s">
        <v>37</v>
      </c>
      <c r="G17" t="s">
        <v>28</v>
      </c>
      <c r="H17">
        <v>5668</v>
      </c>
      <c r="I17">
        <v>5668</v>
      </c>
      <c r="J17" s="2">
        <v>7.9698306280875002</v>
      </c>
      <c r="K17" s="2">
        <v>1259.3080831910099</v>
      </c>
      <c r="L17" s="2">
        <v>17.5792487922958</v>
      </c>
      <c r="M17" s="2">
        <v>7640.2883491742105</v>
      </c>
      <c r="N17" s="13">
        <v>3</v>
      </c>
      <c r="O17" s="13">
        <v>1</v>
      </c>
      <c r="P17" s="2">
        <v>15253.038344999901</v>
      </c>
      <c r="Q17" s="2">
        <v>14098.1876593571</v>
      </c>
    </row>
    <row r="18" spans="1:17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G18" t="s">
        <v>29</v>
      </c>
      <c r="H18">
        <v>5352</v>
      </c>
      <c r="I18">
        <v>5352</v>
      </c>
      <c r="J18" s="2">
        <v>8.1664798206277993</v>
      </c>
      <c r="K18" s="2">
        <v>1152.07178089996</v>
      </c>
      <c r="L18" s="2">
        <v>17.5792487922958</v>
      </c>
      <c r="M18" s="2">
        <v>7117.6733590276999</v>
      </c>
      <c r="N18" s="13">
        <v>2</v>
      </c>
      <c r="O18" s="13">
        <v>0</v>
      </c>
      <c r="P18" s="2">
        <v>14877.0634949998</v>
      </c>
      <c r="Q18" s="2">
        <v>13914.5901842371</v>
      </c>
    </row>
    <row r="19" spans="1:17" x14ac:dyDescent="0.3">
      <c r="A19" t="s">
        <v>5</v>
      </c>
      <c r="B19">
        <v>1.0235535812802099</v>
      </c>
      <c r="C19">
        <v>1.19548554845524</v>
      </c>
      <c r="D19">
        <v>373.560629487097</v>
      </c>
      <c r="E19">
        <v>13</v>
      </c>
      <c r="G19" t="s">
        <v>30</v>
      </c>
      <c r="H19">
        <v>4935</v>
      </c>
      <c r="I19">
        <v>4935</v>
      </c>
      <c r="J19" s="2">
        <v>8.3734549138804404</v>
      </c>
      <c r="K19" s="2">
        <v>1086.85679445151</v>
      </c>
      <c r="L19" s="2">
        <v>17.5792487922958</v>
      </c>
      <c r="M19" s="2">
        <v>6572.3624872000601</v>
      </c>
      <c r="N19" s="13">
        <v>2</v>
      </c>
      <c r="O19" s="13">
        <v>0</v>
      </c>
      <c r="P19" s="2">
        <v>13313.005203999801</v>
      </c>
      <c r="Q19" s="2">
        <v>12328.269039192101</v>
      </c>
    </row>
    <row r="20" spans="1:17" x14ac:dyDescent="0.3">
      <c r="A20" t="s">
        <v>6</v>
      </c>
      <c r="B20">
        <v>1.01905840463583</v>
      </c>
      <c r="C20">
        <v>1.1737698603462801</v>
      </c>
      <c r="D20">
        <v>371.880576054654</v>
      </c>
      <c r="E20">
        <v>13</v>
      </c>
      <c r="G20" t="s">
        <v>31</v>
      </c>
      <c r="H20">
        <v>4540</v>
      </c>
      <c r="I20">
        <v>4540</v>
      </c>
      <c r="J20" s="2">
        <v>8.3083700440528592</v>
      </c>
      <c r="K20" s="2">
        <v>973.86993811883406</v>
      </c>
      <c r="L20" s="2">
        <v>17.5792487922958</v>
      </c>
      <c r="M20" s="2">
        <v>5945.9866057467198</v>
      </c>
      <c r="N20" s="13">
        <v>2</v>
      </c>
      <c r="O20" s="13">
        <v>0</v>
      </c>
      <c r="P20" s="2">
        <v>12246.5801179998</v>
      </c>
      <c r="Q20" s="2">
        <v>11435.895540857</v>
      </c>
    </row>
    <row r="21" spans="1:17" x14ac:dyDescent="0.3">
      <c r="A21" t="s">
        <v>7</v>
      </c>
      <c r="B21">
        <v>1.02362686993573</v>
      </c>
      <c r="C21">
        <v>1.2031683981716099</v>
      </c>
      <c r="D21">
        <v>480.33270784982102</v>
      </c>
      <c r="E21">
        <v>13</v>
      </c>
    </row>
    <row r="22" spans="1:17" x14ac:dyDescent="0.3">
      <c r="A22" t="s">
        <v>8</v>
      </c>
      <c r="B22">
        <v>1.02263891764329</v>
      </c>
      <c r="C22">
        <v>1.2340653167637601</v>
      </c>
      <c r="D22">
        <v>1572.95204537001</v>
      </c>
      <c r="E22">
        <v>13</v>
      </c>
      <c r="G22" t="s">
        <v>32</v>
      </c>
      <c r="H22" s="2"/>
      <c r="J22" s="2"/>
      <c r="K22" s="2">
        <f>AVERAGE(K16:K20)</f>
        <v>1157.4712630230567</v>
      </c>
      <c r="L22" s="2">
        <f>AVERAGE(L16:L20)</f>
        <v>17.5792487922958</v>
      </c>
      <c r="M22" s="2">
        <f t="shared" ref="M22:Q22" si="1">AVERAGE(M16:M20)</f>
        <v>7007.0885686091206</v>
      </c>
      <c r="N22" s="2">
        <f t="shared" si="1"/>
        <v>2.4</v>
      </c>
      <c r="O22" s="2">
        <f t="shared" si="1"/>
        <v>0.4</v>
      </c>
      <c r="P22" s="2">
        <f t="shared" si="1"/>
        <v>14339.417306399841</v>
      </c>
      <c r="Q22" s="2">
        <f t="shared" si="1"/>
        <v>13308.84864994288</v>
      </c>
    </row>
    <row r="23" spans="1:17" x14ac:dyDescent="0.3">
      <c r="A23" t="s">
        <v>9</v>
      </c>
      <c r="B23">
        <v>1.0212406251255699</v>
      </c>
      <c r="C23">
        <v>1.20214237337288</v>
      </c>
      <c r="D23">
        <v>1597.3678731857999</v>
      </c>
      <c r="E23">
        <v>13</v>
      </c>
      <c r="G23" t="s">
        <v>33</v>
      </c>
    </row>
    <row r="24" spans="1:17" x14ac:dyDescent="0.3">
      <c r="A24" t="s">
        <v>10</v>
      </c>
      <c r="B24">
        <v>1.01907341878044</v>
      </c>
      <c r="C24">
        <v>1.2521370327676</v>
      </c>
      <c r="D24">
        <v>1922.3341656898201</v>
      </c>
      <c r="E24">
        <v>12.932095490716099</v>
      </c>
      <c r="G24" t="s">
        <v>34</v>
      </c>
      <c r="I24" s="2"/>
      <c r="K24" s="2">
        <f>SUM(K16:K20)</f>
        <v>5787.3563151152839</v>
      </c>
      <c r="M24" s="2">
        <f>SUM(M16:M20)</f>
        <v>35035.442843045603</v>
      </c>
      <c r="N24" s="2">
        <f>SUM(N16:N20)</f>
        <v>12</v>
      </c>
      <c r="O24" s="2">
        <f>SUM(O16:O20)</f>
        <v>2</v>
      </c>
      <c r="P24" s="2">
        <f>SUM(P16:P20)</f>
        <v>71697.086531999201</v>
      </c>
      <c r="Q24" s="2">
        <f>SUM(Q16:Q20)</f>
        <v>66544.243249714404</v>
      </c>
    </row>
    <row r="25" spans="1:17" x14ac:dyDescent="0.3">
      <c r="A25" t="s">
        <v>11</v>
      </c>
      <c r="B25">
        <v>1.01785225189601</v>
      </c>
      <c r="C25">
        <v>1.1999429346847099</v>
      </c>
      <c r="D25">
        <v>1970.3856002861301</v>
      </c>
      <c r="E25">
        <v>12.9529715762273</v>
      </c>
      <c r="G25" t="s">
        <v>35</v>
      </c>
      <c r="K25" s="1">
        <f>K24/M24</f>
        <v>0.16518576177392463</v>
      </c>
      <c r="L25" s="1"/>
      <c r="M25" s="1"/>
      <c r="N25" s="1"/>
      <c r="O25" s="1"/>
      <c r="P25" s="1">
        <f>P24/M24</f>
        <v>2.0464158781492552</v>
      </c>
      <c r="Q25" s="1">
        <f>Q24/M24</f>
        <v>1.8993407204191561</v>
      </c>
    </row>
    <row r="26" spans="1:17" x14ac:dyDescent="0.3">
      <c r="A26" t="s">
        <v>12</v>
      </c>
      <c r="B26">
        <v>1.0249312903714101</v>
      </c>
      <c r="C26">
        <v>1.2537499000136201</v>
      </c>
      <c r="D26">
        <v>2847.8054982532499</v>
      </c>
      <c r="E26">
        <v>13.055039047973199</v>
      </c>
    </row>
    <row r="27" spans="1:17" x14ac:dyDescent="0.3">
      <c r="A27" t="s">
        <v>13</v>
      </c>
      <c r="B27">
        <v>1.5446349946730999</v>
      </c>
      <c r="C27">
        <v>1.92021004984118</v>
      </c>
      <c r="D27">
        <v>6679.23456483051</v>
      </c>
      <c r="E27">
        <v>13.095215311004701</v>
      </c>
    </row>
    <row r="28" spans="1:17" s="7" customFormat="1" x14ac:dyDescent="0.3">
      <c r="A28" t="s">
        <v>14</v>
      </c>
      <c r="B28">
        <v>1.5368915087043</v>
      </c>
      <c r="C28">
        <v>2.0235561684638999</v>
      </c>
      <c r="D28">
        <v>8595.0191856440306</v>
      </c>
      <c r="E28">
        <v>13.0335360235857</v>
      </c>
      <c r="G28" s="7" t="s">
        <v>47</v>
      </c>
      <c r="K28" s="11">
        <f>K25-K12</f>
        <v>-0.27143318698395502</v>
      </c>
      <c r="P28" s="11">
        <f t="shared" ref="P28:Q28" si="2">P25-P12</f>
        <v>-3.5302731059189014</v>
      </c>
      <c r="Q28" s="11">
        <f t="shared" si="2"/>
        <v>-2.9117725291495713</v>
      </c>
    </row>
    <row r="29" spans="1:17" s="7" customFormat="1" x14ac:dyDescent="0.3">
      <c r="A29" t="s">
        <v>15</v>
      </c>
      <c r="B29">
        <v>1.5565417607854599</v>
      </c>
      <c r="C29">
        <v>2.2749475413801501</v>
      </c>
      <c r="D29">
        <v>8599.0142321124695</v>
      </c>
      <c r="E29">
        <v>13.2027803521779</v>
      </c>
      <c r="G29" s="7" t="s">
        <v>46</v>
      </c>
      <c r="I29" s="8"/>
      <c r="J29" s="8"/>
      <c r="K29" s="12">
        <f>K28/K12</f>
        <v>-0.62167065299420643</v>
      </c>
      <c r="L29" s="12"/>
      <c r="M29" s="12"/>
      <c r="N29" s="12"/>
      <c r="O29" s="12"/>
      <c r="P29" s="12">
        <f t="shared" ref="P29:Q29" si="3">P28/P12</f>
        <v>-0.63304106002762794</v>
      </c>
      <c r="Q29" s="12">
        <f t="shared" si="3"/>
        <v>-0.60521803959002329</v>
      </c>
    </row>
    <row r="30" spans="1:17" s="7" customFormat="1" x14ac:dyDescent="0.3">
      <c r="A30"/>
      <c r="B30"/>
      <c r="C30"/>
      <c r="D30"/>
      <c r="E30"/>
      <c r="I30" s="8"/>
      <c r="J30" s="8"/>
      <c r="K30" s="12"/>
      <c r="L30" s="12"/>
      <c r="M30" s="12"/>
      <c r="N30" s="12"/>
      <c r="O30" s="12"/>
      <c r="P30" s="12"/>
      <c r="Q30" s="12"/>
    </row>
    <row r="31" spans="1:17" x14ac:dyDescent="0.3">
      <c r="A31" t="s">
        <v>71</v>
      </c>
      <c r="B31" s="2">
        <f>AVERAGE(B19:B29)</f>
        <v>1.1645494203483047</v>
      </c>
      <c r="C31" s="2">
        <f>MAX(C19:C29)</f>
        <v>2.2749475413801501</v>
      </c>
      <c r="D31" s="2">
        <f>SUM(D19:D29)</f>
        <v>35009.887078763597</v>
      </c>
      <c r="E31" s="2">
        <f>AVERAGE(E19:E29)</f>
        <v>13.024694345607719</v>
      </c>
      <c r="G31" s="36"/>
      <c r="H31" s="36"/>
      <c r="I31" s="4"/>
      <c r="J31" s="5"/>
    </row>
    <row r="32" spans="1:17" x14ac:dyDescent="0.3">
      <c r="G32" s="6"/>
      <c r="H32" s="6"/>
    </row>
    <row r="33" spans="7:10" x14ac:dyDescent="0.3">
      <c r="G33" s="36"/>
      <c r="H33" s="36"/>
      <c r="I33" s="4"/>
      <c r="J33" s="5"/>
    </row>
    <row r="34" spans="7:10" x14ac:dyDescent="0.3">
      <c r="G34" s="36"/>
      <c r="H34" s="36"/>
      <c r="I34" s="4"/>
      <c r="J34" s="5"/>
    </row>
    <row r="35" spans="7:10" x14ac:dyDescent="0.3">
      <c r="G35" s="6"/>
      <c r="H35" s="6"/>
    </row>
    <row r="36" spans="7:10" x14ac:dyDescent="0.3">
      <c r="G36" s="36"/>
      <c r="H36" s="36"/>
      <c r="I36" s="4"/>
      <c r="J36" s="5"/>
    </row>
    <row r="37" spans="7:10" x14ac:dyDescent="0.3">
      <c r="G37" s="36"/>
      <c r="H37" s="36"/>
      <c r="I37" s="4"/>
      <c r="J37" s="5"/>
    </row>
  </sheetData>
  <mergeCells count="5">
    <mergeCell ref="G37:H37"/>
    <mergeCell ref="G31:H31"/>
    <mergeCell ref="G33:H33"/>
    <mergeCell ref="G34:H34"/>
    <mergeCell ref="G36:H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1B68-F592-4D48-8268-385A3C6E4552}">
  <dimension ref="A1:Q31"/>
  <sheetViews>
    <sheetView workbookViewId="0">
      <selection activeCell="I16" sqref="I16"/>
    </sheetView>
  </sheetViews>
  <sheetFormatPr defaultRowHeight="14.4" x14ac:dyDescent="0.3"/>
  <cols>
    <col min="1" max="1" width="11.77734375" bestFit="1" customWidth="1"/>
    <col min="2" max="2" width="27.44140625" bestFit="1" customWidth="1"/>
    <col min="3" max="3" width="27.88671875" bestFit="1" customWidth="1"/>
    <col min="4" max="4" width="22.109375" bestFit="1" customWidth="1"/>
    <col min="5" max="5" width="17.21875" bestFit="1" customWidth="1"/>
    <col min="11" max="11" width="17.77734375" bestFit="1" customWidth="1"/>
    <col min="13" max="13" width="20.33203125" customWidth="1"/>
    <col min="16" max="16" width="20.109375" bestFit="1" customWidth="1"/>
    <col min="17" max="17" width="12.109375" bestFit="1" customWidth="1"/>
  </cols>
  <sheetData>
    <row r="1" spans="1:17" x14ac:dyDescent="0.3">
      <c r="A1" t="s">
        <v>36</v>
      </c>
      <c r="G1" t="s">
        <v>36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 s="2">
        <v>0.50433407007206299</v>
      </c>
      <c r="C3" s="2">
        <v>0.62147182996041705</v>
      </c>
      <c r="D3" s="2">
        <v>372.33804764143702</v>
      </c>
      <c r="E3" s="2">
        <v>5.9230769230769198</v>
      </c>
      <c r="G3" t="s">
        <v>27</v>
      </c>
      <c r="H3">
        <v>27098</v>
      </c>
      <c r="I3">
        <v>27051</v>
      </c>
      <c r="J3">
        <v>54.291534430585202</v>
      </c>
      <c r="K3">
        <v>4562.3794937470102</v>
      </c>
      <c r="L3">
        <v>8.62474791360221</v>
      </c>
      <c r="M3">
        <v>11863.7855254922</v>
      </c>
      <c r="N3">
        <v>11</v>
      </c>
      <c r="O3">
        <v>3</v>
      </c>
      <c r="P3">
        <v>59776.618459000099</v>
      </c>
      <c r="Q3">
        <v>52073.255433185099</v>
      </c>
    </row>
    <row r="4" spans="1:17" x14ac:dyDescent="0.3">
      <c r="A4" t="s">
        <v>6</v>
      </c>
      <c r="B4" s="2">
        <v>0.50836714529071603</v>
      </c>
      <c r="C4" s="2">
        <v>0.74967921159499795</v>
      </c>
      <c r="D4" s="2">
        <v>374.317630599366</v>
      </c>
      <c r="E4" s="2">
        <v>5.9423076923076898</v>
      </c>
      <c r="G4" t="s">
        <v>28</v>
      </c>
      <c r="H4">
        <v>25635</v>
      </c>
      <c r="I4">
        <v>25635</v>
      </c>
      <c r="J4">
        <v>52.743397698459098</v>
      </c>
      <c r="K4">
        <v>4118.7604641996504</v>
      </c>
      <c r="L4">
        <v>8.62474791360221</v>
      </c>
      <c r="M4">
        <v>11022.3257242277</v>
      </c>
      <c r="N4">
        <v>10</v>
      </c>
      <c r="O4">
        <v>3</v>
      </c>
      <c r="P4">
        <v>53681.758723999803</v>
      </c>
      <c r="Q4">
        <v>46875.7406949332</v>
      </c>
    </row>
    <row r="5" spans="1:17" x14ac:dyDescent="0.3">
      <c r="A5" t="s">
        <v>7</v>
      </c>
      <c r="B5" s="2">
        <v>0.50803418673712697</v>
      </c>
      <c r="C5" s="2">
        <v>0.73351999449918504</v>
      </c>
      <c r="D5" s="2">
        <v>480.70931157561</v>
      </c>
      <c r="E5" s="2">
        <v>5.9423076923076898</v>
      </c>
      <c r="G5" t="s">
        <v>29</v>
      </c>
      <c r="H5">
        <v>21501</v>
      </c>
      <c r="I5">
        <v>21501</v>
      </c>
      <c r="J5">
        <v>48.655318357285701</v>
      </c>
      <c r="K5">
        <v>3275.2324068542098</v>
      </c>
      <c r="L5">
        <v>8.62474791360221</v>
      </c>
      <c r="M5">
        <v>8713.8901602939204</v>
      </c>
      <c r="N5">
        <v>7</v>
      </c>
      <c r="O5">
        <v>2</v>
      </c>
      <c r="P5">
        <v>41845.979797</v>
      </c>
      <c r="Q5">
        <v>36684.199164487603</v>
      </c>
    </row>
    <row r="6" spans="1:17" x14ac:dyDescent="0.3">
      <c r="A6" t="s">
        <v>8</v>
      </c>
      <c r="B6" s="2">
        <v>0.501596997578871</v>
      </c>
      <c r="C6" s="2">
        <v>0.80845101907942996</v>
      </c>
      <c r="D6" s="2">
        <v>1568.96490993834</v>
      </c>
      <c r="E6" s="2">
        <v>5.8862314156431799</v>
      </c>
      <c r="G6" t="s">
        <v>30</v>
      </c>
      <c r="H6">
        <v>9538</v>
      </c>
      <c r="I6">
        <v>9538</v>
      </c>
      <c r="J6">
        <v>50.969385615432998</v>
      </c>
      <c r="K6">
        <v>1371.9371202334701</v>
      </c>
      <c r="L6">
        <v>8.62474791360221</v>
      </c>
      <c r="M6">
        <v>2585.48182869111</v>
      </c>
      <c r="N6">
        <v>3</v>
      </c>
      <c r="O6">
        <v>1</v>
      </c>
      <c r="P6">
        <v>16369.1017949999</v>
      </c>
      <c r="Q6">
        <v>14268.8377832281</v>
      </c>
    </row>
    <row r="7" spans="1:17" x14ac:dyDescent="0.3">
      <c r="A7" t="s">
        <v>9</v>
      </c>
      <c r="B7" s="2">
        <v>0.50501874582191297</v>
      </c>
      <c r="C7" s="2">
        <v>0.91254896369734095</v>
      </c>
      <c r="D7" s="2">
        <v>1600.71417371595</v>
      </c>
      <c r="E7" s="2">
        <v>5.9112179487179404</v>
      </c>
      <c r="G7" t="s">
        <v>31</v>
      </c>
      <c r="H7">
        <v>2437</v>
      </c>
      <c r="I7">
        <v>2437</v>
      </c>
      <c r="J7">
        <v>52.7607714402954</v>
      </c>
      <c r="K7">
        <v>339.822887427902</v>
      </c>
      <c r="L7">
        <v>8.62474791360221</v>
      </c>
      <c r="M7">
        <v>426.43157720931799</v>
      </c>
      <c r="N7">
        <v>0</v>
      </c>
      <c r="O7">
        <v>0</v>
      </c>
      <c r="P7">
        <v>3843.694246</v>
      </c>
      <c r="Q7">
        <v>3341.2720118539801</v>
      </c>
    </row>
    <row r="8" spans="1:17" x14ac:dyDescent="0.3">
      <c r="A8" t="s">
        <v>10</v>
      </c>
      <c r="B8" s="2">
        <v>0.50530290584670501</v>
      </c>
      <c r="C8" s="2">
        <v>0.63948659359277604</v>
      </c>
      <c r="D8" s="2">
        <v>1918.4203462157</v>
      </c>
      <c r="E8" s="2">
        <v>5.9230769230769198</v>
      </c>
      <c r="G8" t="s">
        <v>38</v>
      </c>
      <c r="H8">
        <v>676</v>
      </c>
      <c r="I8">
        <v>676</v>
      </c>
      <c r="J8">
        <v>51.165680473372703</v>
      </c>
      <c r="K8">
        <v>101.152755692225</v>
      </c>
      <c r="L8">
        <v>8.62474791360221</v>
      </c>
      <c r="M8">
        <v>154.44402381607</v>
      </c>
      <c r="N8">
        <v>0</v>
      </c>
      <c r="O8">
        <v>0</v>
      </c>
      <c r="P8">
        <v>1179.9732199999901</v>
      </c>
      <c r="Q8">
        <v>1022.946794567</v>
      </c>
    </row>
    <row r="9" spans="1:17" x14ac:dyDescent="0.3">
      <c r="A9" t="s">
        <v>11</v>
      </c>
      <c r="B9" s="2">
        <v>0.50391675842096295</v>
      </c>
      <c r="C9" s="2">
        <v>0.64386145176397003</v>
      </c>
      <c r="D9" s="2">
        <v>1971.1421302753499</v>
      </c>
      <c r="E9" s="2">
        <v>5.9038461538461497</v>
      </c>
    </row>
    <row r="10" spans="1:17" x14ac:dyDescent="0.3">
      <c r="A10" t="s">
        <v>12</v>
      </c>
      <c r="B10" s="2">
        <v>0.172120475504284</v>
      </c>
      <c r="C10" s="2">
        <v>0.53290450211259599</v>
      </c>
      <c r="D10" s="2">
        <v>2853.0475831899498</v>
      </c>
      <c r="E10" s="2">
        <v>1.35620084694494</v>
      </c>
      <c r="G10" t="s">
        <v>32</v>
      </c>
      <c r="H10" s="2"/>
      <c r="J10" s="2"/>
      <c r="K10" s="2">
        <f>AVERAGE(K3:K8)</f>
        <v>2294.8808546924106</v>
      </c>
      <c r="L10" s="2">
        <f>AVERAGE(L3:L8)</f>
        <v>8.6247479136022083</v>
      </c>
      <c r="M10" s="2">
        <f>AVERAGE(M3:M8)</f>
        <v>5794.3931399550529</v>
      </c>
      <c r="N10" s="2"/>
      <c r="O10" s="2"/>
      <c r="P10" s="2">
        <f>AVERAGE(P3:P8)</f>
        <v>29449.52104016663</v>
      </c>
      <c r="Q10" s="2">
        <f>AVERAGE(Q3:Q8)</f>
        <v>25711.04198037583</v>
      </c>
    </row>
    <row r="11" spans="1:17" x14ac:dyDescent="0.3">
      <c r="A11" t="s">
        <v>13</v>
      </c>
      <c r="B11" s="2">
        <v>0.758960644762536</v>
      </c>
      <c r="C11" s="2">
        <v>1.7230548398719401</v>
      </c>
      <c r="D11" s="2">
        <v>6677.3186353953197</v>
      </c>
      <c r="E11" s="2">
        <v>5.9282710014777704</v>
      </c>
      <c r="G11" t="s">
        <v>33</v>
      </c>
    </row>
    <row r="12" spans="1:17" x14ac:dyDescent="0.3">
      <c r="A12" t="s">
        <v>14</v>
      </c>
      <c r="B12" s="2">
        <v>0.76410216827398902</v>
      </c>
      <c r="C12" s="2">
        <v>1.7617203210388399</v>
      </c>
      <c r="D12" s="2">
        <v>8597.5252319871906</v>
      </c>
      <c r="E12" s="2">
        <v>5.9741170126718703</v>
      </c>
      <c r="G12" t="s">
        <v>34</v>
      </c>
      <c r="I12" s="2"/>
      <c r="K12" s="2">
        <f>SUM(K3:K8)</f>
        <v>13769.285128154464</v>
      </c>
      <c r="M12" s="2">
        <f t="shared" ref="M12:Q12" si="0">SUM(M3:M8)</f>
        <v>34766.358839730317</v>
      </c>
      <c r="N12" s="2">
        <f t="shared" si="0"/>
        <v>31</v>
      </c>
      <c r="O12" s="2">
        <f t="shared" si="0"/>
        <v>9</v>
      </c>
      <c r="P12" s="2">
        <f t="shared" si="0"/>
        <v>176697.12624099979</v>
      </c>
      <c r="Q12" s="2">
        <f t="shared" si="0"/>
        <v>154266.25188225499</v>
      </c>
    </row>
    <row r="13" spans="1:17" x14ac:dyDescent="0.3">
      <c r="A13" t="s">
        <v>15</v>
      </c>
      <c r="B13" s="2">
        <v>0.256744965083471</v>
      </c>
      <c r="C13" s="2">
        <v>0.77749675215356395</v>
      </c>
      <c r="D13" s="2">
        <v>8594.6853515115199</v>
      </c>
      <c r="E13" s="2">
        <v>1.3442367601246099</v>
      </c>
      <c r="G13" t="s">
        <v>35</v>
      </c>
      <c r="K13" s="1">
        <f>K12/M12</f>
        <v>0.39605197632658595</v>
      </c>
      <c r="L13" s="1"/>
      <c r="M13" s="1"/>
      <c r="N13" s="1"/>
      <c r="O13" s="1"/>
      <c r="P13" s="1">
        <f>P12/M12</f>
        <v>5.0824167999748582</v>
      </c>
      <c r="Q13" s="1">
        <f>Q12/M12</f>
        <v>4.4372277405697869</v>
      </c>
    </row>
    <row r="15" spans="1:17" x14ac:dyDescent="0.3">
      <c r="A15" t="s">
        <v>71</v>
      </c>
      <c r="B15" s="2">
        <f>AVERAGE(B3:B13)</f>
        <v>0.49895446030842161</v>
      </c>
      <c r="C15" s="2">
        <f>MAX(C3:C13)</f>
        <v>1.7617203210388399</v>
      </c>
      <c r="D15" s="2">
        <f>SUM(D3:D13)</f>
        <v>35009.183352045729</v>
      </c>
      <c r="E15" s="2">
        <f>AVERAGE(E3:E13)</f>
        <v>5.0940809427450606</v>
      </c>
      <c r="G15" t="s">
        <v>37</v>
      </c>
    </row>
    <row r="16" spans="1:17" x14ac:dyDescent="0.3"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24</v>
      </c>
      <c r="P16" t="s">
        <v>25</v>
      </c>
      <c r="Q16" t="s">
        <v>26</v>
      </c>
    </row>
    <row r="17" spans="1:17" x14ac:dyDescent="0.3">
      <c r="A17" t="s">
        <v>37</v>
      </c>
      <c r="G17" t="s">
        <v>27</v>
      </c>
      <c r="H17">
        <v>4592</v>
      </c>
      <c r="I17">
        <v>4592</v>
      </c>
      <c r="J17">
        <v>7.5633710801393699</v>
      </c>
      <c r="K17">
        <v>1071.9410251769</v>
      </c>
      <c r="L17">
        <v>17.6873170159746</v>
      </c>
      <c r="M17">
        <v>6171.3069819277298</v>
      </c>
      <c r="N17">
        <v>2</v>
      </c>
      <c r="O17">
        <v>0</v>
      </c>
      <c r="P17">
        <v>13262.933294999801</v>
      </c>
      <c r="Q17">
        <v>12099.770970582</v>
      </c>
    </row>
    <row r="18" spans="1:17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G18" t="s">
        <v>28</v>
      </c>
      <c r="H18">
        <v>4770</v>
      </c>
      <c r="I18">
        <v>4770</v>
      </c>
      <c r="J18">
        <v>8.3524109014675005</v>
      </c>
      <c r="K18">
        <v>1023.46662832325</v>
      </c>
      <c r="L18">
        <v>17.6873170159746</v>
      </c>
      <c r="M18">
        <v>6271.0862685058501</v>
      </c>
      <c r="N18">
        <v>2</v>
      </c>
      <c r="O18">
        <v>0</v>
      </c>
      <c r="P18">
        <v>12406.424267999901</v>
      </c>
      <c r="Q18">
        <v>11521.700079645099</v>
      </c>
    </row>
    <row r="19" spans="1:17" x14ac:dyDescent="0.3">
      <c r="A19" t="s">
        <v>5</v>
      </c>
      <c r="B19" s="2">
        <v>1.0232864923369001</v>
      </c>
      <c r="C19" s="2">
        <v>1.17653713190411</v>
      </c>
      <c r="D19" s="2">
        <v>373.41468224315003</v>
      </c>
      <c r="E19" s="2">
        <v>13</v>
      </c>
      <c r="G19" t="s">
        <v>29</v>
      </c>
      <c r="H19">
        <v>4706</v>
      </c>
      <c r="I19">
        <v>4706</v>
      </c>
      <c r="J19">
        <v>8.4094772630684194</v>
      </c>
      <c r="K19">
        <v>995.66523886223399</v>
      </c>
      <c r="L19">
        <v>17.6873170159746</v>
      </c>
      <c r="M19">
        <v>6120.4692371169504</v>
      </c>
      <c r="N19">
        <v>2</v>
      </c>
      <c r="O19">
        <v>0</v>
      </c>
      <c r="P19">
        <v>12428.9302209998</v>
      </c>
      <c r="Q19">
        <v>11621.429194615001</v>
      </c>
    </row>
    <row r="20" spans="1:17" x14ac:dyDescent="0.3">
      <c r="A20" t="s">
        <v>6</v>
      </c>
      <c r="B20" s="2">
        <v>1.0226881384748201</v>
      </c>
      <c r="C20" s="2">
        <v>1.1805205662329401</v>
      </c>
      <c r="D20" s="2">
        <v>373.25889854904</v>
      </c>
      <c r="E20" s="2">
        <v>13</v>
      </c>
      <c r="G20" t="s">
        <v>30</v>
      </c>
      <c r="H20">
        <v>4437</v>
      </c>
      <c r="I20">
        <v>4437</v>
      </c>
      <c r="J20">
        <v>8.5393283750281697</v>
      </c>
      <c r="K20">
        <v>940.62116417376001</v>
      </c>
      <c r="L20">
        <v>17.6873170159746</v>
      </c>
      <c r="M20">
        <v>5848.1278884283001</v>
      </c>
      <c r="N20">
        <v>2</v>
      </c>
      <c r="O20">
        <v>0</v>
      </c>
      <c r="P20">
        <v>11841.0062699999</v>
      </c>
      <c r="Q20">
        <v>11093.952714687999</v>
      </c>
    </row>
    <row r="21" spans="1:17" x14ac:dyDescent="0.3">
      <c r="A21" t="s">
        <v>7</v>
      </c>
      <c r="B21" s="2">
        <v>1.0214045751572001</v>
      </c>
      <c r="C21" s="2">
        <v>1.1452836236255199</v>
      </c>
      <c r="D21" s="2">
        <v>479.244040642794</v>
      </c>
      <c r="E21" s="2">
        <v>13</v>
      </c>
      <c r="G21" t="s">
        <v>31</v>
      </c>
      <c r="H21">
        <v>4104</v>
      </c>
      <c r="I21">
        <v>4104</v>
      </c>
      <c r="J21">
        <v>8.2782651072124693</v>
      </c>
      <c r="K21">
        <v>894.98779804314199</v>
      </c>
      <c r="L21">
        <v>17.6873170159746</v>
      </c>
      <c r="M21">
        <v>5484.9433461785002</v>
      </c>
      <c r="N21">
        <v>2</v>
      </c>
      <c r="O21">
        <v>0</v>
      </c>
      <c r="P21">
        <v>11101.1460049999</v>
      </c>
      <c r="Q21">
        <v>10319.39671755</v>
      </c>
    </row>
    <row r="22" spans="1:17" x14ac:dyDescent="0.3">
      <c r="A22" t="s">
        <v>8</v>
      </c>
      <c r="B22" s="2">
        <v>1.02313151248357</v>
      </c>
      <c r="C22" s="2">
        <v>1.1775673471180601</v>
      </c>
      <c r="D22" s="2">
        <v>1573.7385926043601</v>
      </c>
      <c r="E22" s="2">
        <v>13</v>
      </c>
      <c r="G22" t="s">
        <v>38</v>
      </c>
      <c r="H22">
        <v>4010</v>
      </c>
      <c r="I22">
        <v>4010</v>
      </c>
      <c r="J22">
        <v>8.2182044887780492</v>
      </c>
      <c r="K22">
        <v>883.17783253926405</v>
      </c>
      <c r="L22">
        <v>17.6873170159746</v>
      </c>
      <c r="M22">
        <v>5337.2017736642301</v>
      </c>
      <c r="N22">
        <v>1</v>
      </c>
      <c r="O22">
        <v>0</v>
      </c>
      <c r="P22">
        <v>11165.802352999901</v>
      </c>
      <c r="Q22">
        <v>10411.40760814</v>
      </c>
    </row>
    <row r="23" spans="1:17" x14ac:dyDescent="0.3">
      <c r="A23" t="s">
        <v>9</v>
      </c>
      <c r="B23" s="2">
        <v>1.02217645215449</v>
      </c>
      <c r="C23" s="2">
        <v>1.22606801649106</v>
      </c>
      <c r="D23" s="2">
        <v>1598.89812641803</v>
      </c>
      <c r="E23" s="2">
        <v>13</v>
      </c>
    </row>
    <row r="24" spans="1:17" x14ac:dyDescent="0.3">
      <c r="A24" t="s">
        <v>10</v>
      </c>
      <c r="B24" s="2">
        <v>1.0209332646671401</v>
      </c>
      <c r="C24" s="2">
        <v>1.1885571444018801</v>
      </c>
      <c r="D24" s="2">
        <v>1920.1841859937899</v>
      </c>
      <c r="E24" s="2">
        <v>12.973880597014899</v>
      </c>
      <c r="G24" t="s">
        <v>32</v>
      </c>
      <c r="H24" s="2"/>
      <c r="J24" s="2"/>
      <c r="K24" s="2">
        <f>AVERAGE(K17:K22)</f>
        <v>968.30994785309167</v>
      </c>
      <c r="L24" s="2">
        <f>AVERAGE(L17:L22)</f>
        <v>17.6873170159746</v>
      </c>
      <c r="M24" s="2">
        <f>AVERAGE(M17:M22)</f>
        <v>5872.189249303593</v>
      </c>
      <c r="N24" s="2"/>
      <c r="O24" s="2"/>
      <c r="P24" s="2">
        <f>AVERAGE(P17:P22)</f>
        <v>12034.373735333202</v>
      </c>
      <c r="Q24" s="2">
        <f>AVERAGE(Q17:Q22)</f>
        <v>11177.942880870016</v>
      </c>
    </row>
    <row r="25" spans="1:17" x14ac:dyDescent="0.3">
      <c r="A25" t="s">
        <v>11</v>
      </c>
      <c r="B25" s="2">
        <v>1.0042596517786999</v>
      </c>
      <c r="C25" s="2">
        <v>1.2167790742931399</v>
      </c>
      <c r="D25" s="2">
        <v>1970.1514844129999</v>
      </c>
      <c r="E25" s="2">
        <v>12.7684854665986</v>
      </c>
      <c r="G25" t="s">
        <v>33</v>
      </c>
    </row>
    <row r="26" spans="1:17" x14ac:dyDescent="0.3">
      <c r="A26" t="s">
        <v>12</v>
      </c>
      <c r="B26" s="2">
        <v>1.0168918820370001</v>
      </c>
      <c r="C26" s="2">
        <v>1.25108002981443</v>
      </c>
      <c r="D26" s="2">
        <v>2848.0206886994101</v>
      </c>
      <c r="E26" s="2">
        <v>12.944642857142799</v>
      </c>
      <c r="G26" t="s">
        <v>34</v>
      </c>
      <c r="I26" s="2"/>
      <c r="K26" s="2">
        <f>SUM(K17:K22)</f>
        <v>5809.85968711855</v>
      </c>
      <c r="M26" s="2">
        <f t="shared" ref="M26:P26" si="1">SUM(M17:M22)</f>
        <v>35233.13549582156</v>
      </c>
      <c r="N26" s="2">
        <f t="shared" si="1"/>
        <v>11</v>
      </c>
      <c r="O26" s="2">
        <f t="shared" si="1"/>
        <v>0</v>
      </c>
      <c r="P26" s="2">
        <f t="shared" si="1"/>
        <v>72206.242411999207</v>
      </c>
      <c r="Q26" s="2">
        <f>SUM(Q17:Q22)</f>
        <v>67067.657285220092</v>
      </c>
    </row>
    <row r="27" spans="1:17" x14ac:dyDescent="0.3">
      <c r="A27" t="s">
        <v>13</v>
      </c>
      <c r="B27" s="2">
        <v>1.53612534841599</v>
      </c>
      <c r="C27" s="2">
        <v>1.85418978993405</v>
      </c>
      <c r="D27" s="2">
        <v>6677.4914620733798</v>
      </c>
      <c r="E27" s="2">
        <v>13.0209175184216</v>
      </c>
      <c r="G27" t="s">
        <v>35</v>
      </c>
      <c r="K27" s="1">
        <f>K26/M26</f>
        <v>0.16489760577248552</v>
      </c>
      <c r="L27" s="1"/>
      <c r="M27" s="1"/>
      <c r="N27" s="1"/>
      <c r="O27" s="1"/>
      <c r="P27" s="1">
        <f>P26/M26</f>
        <v>2.0493845181778512</v>
      </c>
      <c r="Q27" s="1">
        <f>Q26/M26</f>
        <v>1.9035392774842284</v>
      </c>
    </row>
    <row r="28" spans="1:17" x14ac:dyDescent="0.3">
      <c r="A28" t="s">
        <v>14</v>
      </c>
      <c r="B28" s="2">
        <v>1.5333486156002101</v>
      </c>
      <c r="C28" s="2">
        <v>2.0524670860313199</v>
      </c>
      <c r="D28" s="2">
        <v>8595.8314032053004</v>
      </c>
      <c r="E28" s="2">
        <v>12.9994470046082</v>
      </c>
    </row>
    <row r="29" spans="1:17" x14ac:dyDescent="0.3">
      <c r="A29" t="s">
        <v>15</v>
      </c>
      <c r="B29" s="2">
        <v>1.5366281194918801</v>
      </c>
      <c r="C29" s="2">
        <v>2.1017561583181998</v>
      </c>
      <c r="D29" s="2">
        <v>8598.6204769199794</v>
      </c>
      <c r="E29" s="2">
        <v>13.021879021879</v>
      </c>
    </row>
    <row r="30" spans="1:17" s="7" customFormat="1" x14ac:dyDescent="0.3">
      <c r="A30"/>
      <c r="B30"/>
      <c r="C30"/>
      <c r="D30"/>
      <c r="E30"/>
      <c r="G30" s="7" t="s">
        <v>47</v>
      </c>
      <c r="K30" s="11">
        <f>K27-K13</f>
        <v>-0.23115437055410043</v>
      </c>
      <c r="P30" s="11">
        <f>P27-P13</f>
        <v>-3.033032281797007</v>
      </c>
      <c r="Q30" s="11">
        <f>Q27-Q13</f>
        <v>-2.5336884630855585</v>
      </c>
    </row>
    <row r="31" spans="1:17" s="7" customFormat="1" x14ac:dyDescent="0.3">
      <c r="A31" t="s">
        <v>71</v>
      </c>
      <c r="B31" s="2">
        <f>AVERAGE(B19:B29)</f>
        <v>1.1600794593270818</v>
      </c>
      <c r="C31" s="2">
        <f>MAX(C19:C29)</f>
        <v>2.1017561583181998</v>
      </c>
      <c r="D31" s="2">
        <f>SUM(D19:D29)</f>
        <v>35008.854041762228</v>
      </c>
      <c r="E31" s="2">
        <f>AVERAGE(E19:E29)</f>
        <v>12.975386587787733</v>
      </c>
      <c r="G31" s="7" t="s">
        <v>46</v>
      </c>
      <c r="I31" s="8"/>
      <c r="J31" s="8"/>
      <c r="K31" s="12">
        <f>K30/K13</f>
        <v>-0.58364655239970242</v>
      </c>
      <c r="L31" s="12"/>
      <c r="M31" s="12"/>
      <c r="N31" s="12"/>
      <c r="O31" s="12"/>
      <c r="P31" s="12">
        <f>P30/P13</f>
        <v>-0.59676968677815068</v>
      </c>
      <c r="Q31" s="12">
        <f>Q30/Q13</f>
        <v>-0.57100708172355519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114B-EBB0-4FC4-AA3D-9986DD72E8B8}">
  <dimension ref="A1:Q34"/>
  <sheetViews>
    <sheetView topLeftCell="J1" workbookViewId="0">
      <selection activeCell="E19" sqref="E19"/>
    </sheetView>
  </sheetViews>
  <sheetFormatPr defaultRowHeight="14.4" x14ac:dyDescent="0.3"/>
  <cols>
    <col min="2" max="2" width="27.44140625" bestFit="1" customWidth="1"/>
    <col min="3" max="3" width="27.88671875" bestFit="1" customWidth="1"/>
    <col min="4" max="4" width="22.109375" bestFit="1" customWidth="1"/>
    <col min="5" max="5" width="17.21875" bestFit="1" customWidth="1"/>
    <col min="11" max="11" width="13.88671875" customWidth="1"/>
    <col min="12" max="12" width="25.6640625" bestFit="1" customWidth="1"/>
    <col min="13" max="13" width="11.77734375" customWidth="1"/>
    <col min="16" max="16" width="20.109375" bestFit="1" customWidth="1"/>
    <col min="17" max="17" width="12.109375" bestFit="1" customWidth="1"/>
  </cols>
  <sheetData>
    <row r="1" spans="1:17" x14ac:dyDescent="0.3">
      <c r="A1" t="s">
        <v>36</v>
      </c>
      <c r="G1" t="s">
        <v>36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 s="2">
        <v>0.50563612460744101</v>
      </c>
      <c r="C3" s="2">
        <v>0.652025841293423</v>
      </c>
      <c r="D3" s="2">
        <v>373.35806620520202</v>
      </c>
      <c r="E3" s="2">
        <v>5.9230769230769198</v>
      </c>
      <c r="G3" t="s">
        <v>27</v>
      </c>
      <c r="H3">
        <v>24846</v>
      </c>
      <c r="I3">
        <v>24846</v>
      </c>
      <c r="J3">
        <v>37.8112372212831</v>
      </c>
      <c r="K3">
        <v>3253.1600808240701</v>
      </c>
      <c r="L3">
        <v>15.222316374684301</v>
      </c>
      <c r="M3">
        <v>10214.919878564</v>
      </c>
      <c r="N3">
        <v>7</v>
      </c>
      <c r="O3">
        <v>2</v>
      </c>
      <c r="P3">
        <v>43258.2678389996</v>
      </c>
      <c r="Q3">
        <v>38712.702329568703</v>
      </c>
    </row>
    <row r="4" spans="1:17" x14ac:dyDescent="0.3">
      <c r="A4" t="s">
        <v>6</v>
      </c>
      <c r="B4" s="2">
        <v>0.50352944804951405</v>
      </c>
      <c r="C4" s="2">
        <v>0.62885663528956304</v>
      </c>
      <c r="D4" s="2">
        <v>373.61885045273999</v>
      </c>
      <c r="E4" s="2">
        <v>5.8867924528301803</v>
      </c>
      <c r="G4" t="s">
        <v>28</v>
      </c>
      <c r="H4">
        <v>24424</v>
      </c>
      <c r="I4">
        <v>24424</v>
      </c>
      <c r="J4">
        <v>37.454593842122499</v>
      </c>
      <c r="K4">
        <v>3215.0214359796801</v>
      </c>
      <c r="L4">
        <v>15.222316374684301</v>
      </c>
      <c r="M4">
        <v>9881.7962577556591</v>
      </c>
      <c r="N4">
        <v>7</v>
      </c>
      <c r="O4">
        <v>2</v>
      </c>
      <c r="P4">
        <v>43584.412107001102</v>
      </c>
      <c r="Q4">
        <v>38979.8870352335</v>
      </c>
    </row>
    <row r="5" spans="1:17" x14ac:dyDescent="0.3">
      <c r="A5" t="s">
        <v>7</v>
      </c>
      <c r="B5" s="2">
        <v>0.507446899228153</v>
      </c>
      <c r="C5" s="2">
        <v>0.62028382401972104</v>
      </c>
      <c r="D5" s="2">
        <v>480.20685667028499</v>
      </c>
      <c r="E5" s="2">
        <v>5.9423076923076898</v>
      </c>
      <c r="G5" t="s">
        <v>29</v>
      </c>
      <c r="H5">
        <v>18613</v>
      </c>
      <c r="I5">
        <v>18613</v>
      </c>
      <c r="J5">
        <v>35.890184279804402</v>
      </c>
      <c r="K5">
        <v>2437.1294120391799</v>
      </c>
      <c r="L5">
        <v>15.222316374684301</v>
      </c>
      <c r="M5">
        <v>7149.6702296752701</v>
      </c>
      <c r="N5">
        <v>0</v>
      </c>
      <c r="O5">
        <v>0</v>
      </c>
      <c r="P5">
        <v>32359.262758000299</v>
      </c>
      <c r="Q5">
        <v>28824.738314855102</v>
      </c>
    </row>
    <row r="6" spans="1:17" x14ac:dyDescent="0.3">
      <c r="A6" t="s">
        <v>8</v>
      </c>
      <c r="B6" s="2">
        <v>0.50686031429863598</v>
      </c>
      <c r="C6" s="2">
        <v>1.1531967694609999</v>
      </c>
      <c r="D6" s="2">
        <v>1571.74514177431</v>
      </c>
      <c r="E6" s="2">
        <v>5.9445161290322499</v>
      </c>
      <c r="G6" t="s">
        <v>30</v>
      </c>
      <c r="H6">
        <v>18583</v>
      </c>
      <c r="I6">
        <v>18583</v>
      </c>
      <c r="J6">
        <v>35.852607221654203</v>
      </c>
      <c r="K6">
        <v>2407.8379079851502</v>
      </c>
      <c r="L6">
        <v>15.222316374684301</v>
      </c>
      <c r="M6">
        <v>7166.4125279243399</v>
      </c>
      <c r="N6">
        <v>0</v>
      </c>
      <c r="O6">
        <v>0</v>
      </c>
      <c r="P6">
        <v>30486.1056360002</v>
      </c>
      <c r="Q6">
        <v>27193.904213317699</v>
      </c>
    </row>
    <row r="7" spans="1:17" x14ac:dyDescent="0.3">
      <c r="A7" t="s">
        <v>9</v>
      </c>
      <c r="B7" s="2">
        <v>0.50416667400307802</v>
      </c>
      <c r="C7" s="2">
        <v>0.64505432126769202</v>
      </c>
      <c r="D7" s="2">
        <v>1598.7317901936899</v>
      </c>
      <c r="E7" s="2">
        <v>5.9038461538461497</v>
      </c>
      <c r="G7" t="s">
        <v>31</v>
      </c>
      <c r="H7">
        <v>322</v>
      </c>
      <c r="I7">
        <v>322</v>
      </c>
      <c r="J7">
        <v>27.335403726708002</v>
      </c>
      <c r="K7">
        <v>46.530847588855799</v>
      </c>
      <c r="L7">
        <v>15.222316374684301</v>
      </c>
      <c r="M7">
        <v>246.006748005726</v>
      </c>
      <c r="N7">
        <v>0</v>
      </c>
      <c r="O7">
        <v>0</v>
      </c>
      <c r="P7">
        <v>658.87901899999997</v>
      </c>
      <c r="Q7">
        <v>595.659767515</v>
      </c>
    </row>
    <row r="8" spans="1:17" x14ac:dyDescent="0.3">
      <c r="A8" t="s">
        <v>10</v>
      </c>
      <c r="B8" s="2">
        <v>0.50590268600334998</v>
      </c>
      <c r="C8" s="2">
        <v>0.63025948649225905</v>
      </c>
      <c r="D8" s="2">
        <v>1920.49592570305</v>
      </c>
      <c r="E8" s="2">
        <v>5.9230769230769198</v>
      </c>
      <c r="G8" t="s">
        <v>38</v>
      </c>
      <c r="H8">
        <v>161</v>
      </c>
      <c r="I8">
        <v>161</v>
      </c>
      <c r="J8">
        <v>27.335403726708002</v>
      </c>
      <c r="K8">
        <v>22.724421953825701</v>
      </c>
      <c r="L8">
        <v>15.222316374684301</v>
      </c>
      <c r="M8">
        <v>124.18727422860201</v>
      </c>
      <c r="N8">
        <v>0</v>
      </c>
      <c r="O8">
        <v>0</v>
      </c>
      <c r="P8">
        <v>312.304801</v>
      </c>
      <c r="Q8">
        <v>283.04371063299902</v>
      </c>
    </row>
    <row r="9" spans="1:17" x14ac:dyDescent="0.3">
      <c r="A9" t="s">
        <v>11</v>
      </c>
      <c r="B9" s="2">
        <v>0.504678075659584</v>
      </c>
      <c r="C9" s="2">
        <v>0.64637369590985205</v>
      </c>
      <c r="D9" s="2">
        <v>1974.1552650301201</v>
      </c>
      <c r="E9" s="2">
        <v>5.9038461538461497</v>
      </c>
    </row>
    <row r="10" spans="1:17" x14ac:dyDescent="0.3">
      <c r="A10" t="s">
        <v>12</v>
      </c>
      <c r="B10" s="2">
        <v>0.17278609711131099</v>
      </c>
      <c r="C10" s="2">
        <v>0.53534915074443201</v>
      </c>
      <c r="D10" s="2">
        <v>2851.5808922961101</v>
      </c>
      <c r="E10" s="2">
        <v>1.36650868878357</v>
      </c>
      <c r="G10" t="s">
        <v>32</v>
      </c>
      <c r="H10" s="2"/>
      <c r="J10" s="2"/>
      <c r="K10" s="2">
        <f>AVERAGE(K3:K8)</f>
        <v>1897.0673510617937</v>
      </c>
      <c r="L10" s="2">
        <f>AVERAGE(L3:L8)</f>
        <v>15.222316374684299</v>
      </c>
      <c r="M10" s="2">
        <f>AVERAGE(M3:M8)</f>
        <v>5797.1654860255985</v>
      </c>
      <c r="N10" s="2"/>
      <c r="O10" s="2"/>
      <c r="P10" s="2">
        <f>AVERAGE(P3:P8)</f>
        <v>25109.872026666864</v>
      </c>
      <c r="Q10" s="2">
        <f>AVERAGE(Q3:Q8)</f>
        <v>22431.655895187167</v>
      </c>
    </row>
    <row r="11" spans="1:17" x14ac:dyDescent="0.3">
      <c r="A11" t="s">
        <v>13</v>
      </c>
      <c r="B11" s="2">
        <v>0.76002225032376303</v>
      </c>
      <c r="C11" s="2">
        <v>1.7202959944456899</v>
      </c>
      <c r="D11" s="2">
        <v>6667.7021589518499</v>
      </c>
      <c r="E11" s="2">
        <v>5.9480045610034198</v>
      </c>
      <c r="G11" t="s">
        <v>33</v>
      </c>
    </row>
    <row r="12" spans="1:17" x14ac:dyDescent="0.3">
      <c r="A12" t="s">
        <v>14</v>
      </c>
      <c r="B12" s="2">
        <v>0.76579876170137795</v>
      </c>
      <c r="C12" s="2">
        <v>1.7959947494605899</v>
      </c>
      <c r="D12" s="2">
        <v>8595.8883265648892</v>
      </c>
      <c r="E12" s="2">
        <v>5.9910826878039902</v>
      </c>
      <c r="G12" t="s">
        <v>34</v>
      </c>
      <c r="I12" s="2"/>
      <c r="K12" s="2">
        <f>SUM(K3:K8)</f>
        <v>11382.404106370763</v>
      </c>
      <c r="M12" s="2">
        <f t="shared" ref="M12:Q12" si="0">SUM(M3:M8)</f>
        <v>34782.992916153591</v>
      </c>
      <c r="N12" s="2">
        <f t="shared" si="0"/>
        <v>14</v>
      </c>
      <c r="O12" s="2">
        <f t="shared" si="0"/>
        <v>4</v>
      </c>
      <c r="P12" s="2">
        <f t="shared" si="0"/>
        <v>150659.23216000118</v>
      </c>
      <c r="Q12" s="2">
        <f t="shared" si="0"/>
        <v>134589.93537112299</v>
      </c>
    </row>
    <row r="13" spans="1:17" x14ac:dyDescent="0.3">
      <c r="A13" t="s">
        <v>15</v>
      </c>
      <c r="B13" s="2">
        <v>0.257458902496641</v>
      </c>
      <c r="C13" s="2">
        <v>0.77975259525042495</v>
      </c>
      <c r="D13" s="2">
        <v>8599.1130935835499</v>
      </c>
      <c r="E13" s="2">
        <v>1.3497267759562801</v>
      </c>
      <c r="G13" t="s">
        <v>35</v>
      </c>
      <c r="K13" s="1">
        <f>K12/M12</f>
        <v>0.32724050324848997</v>
      </c>
      <c r="L13" s="1"/>
      <c r="M13" s="1"/>
      <c r="N13" s="1"/>
      <c r="O13" s="1"/>
      <c r="P13" s="1">
        <f>P12/M12</f>
        <v>4.3314050784293903</v>
      </c>
      <c r="Q13" s="1">
        <f>Q12/M12</f>
        <v>3.8694178990163319</v>
      </c>
    </row>
    <row r="15" spans="1:17" x14ac:dyDescent="0.3">
      <c r="A15" t="s">
        <v>71</v>
      </c>
      <c r="B15" s="2">
        <f>AVERAGE(B3:B13)</f>
        <v>0.49948056668025897</v>
      </c>
      <c r="C15" s="2">
        <f>MAX(C3:C13)</f>
        <v>1.7959947494605899</v>
      </c>
      <c r="D15" s="2">
        <f>SUM(D3:D13)</f>
        <v>35006.596367425795</v>
      </c>
      <c r="E15" s="2">
        <f>AVERAGE(E3:E13)</f>
        <v>5.0984350128694098</v>
      </c>
    </row>
    <row r="16" spans="1:17" x14ac:dyDescent="0.3">
      <c r="G16" t="s">
        <v>37</v>
      </c>
    </row>
    <row r="17" spans="1:17" x14ac:dyDescent="0.3"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24</v>
      </c>
      <c r="P17" t="s">
        <v>25</v>
      </c>
      <c r="Q17" t="s">
        <v>26</v>
      </c>
    </row>
    <row r="18" spans="1:17" x14ac:dyDescent="0.3">
      <c r="A18" t="s">
        <v>37</v>
      </c>
      <c r="G18" t="s">
        <v>27</v>
      </c>
      <c r="H18">
        <v>3481</v>
      </c>
      <c r="I18">
        <v>3478</v>
      </c>
      <c r="J18">
        <v>7.4297615627693103</v>
      </c>
      <c r="K18">
        <v>824.17204954446197</v>
      </c>
      <c r="L18">
        <v>17.7383172726258</v>
      </c>
      <c r="M18">
        <v>4594.5860500423596</v>
      </c>
      <c r="N18">
        <v>2</v>
      </c>
      <c r="O18">
        <v>0</v>
      </c>
      <c r="P18">
        <v>10078.169646999901</v>
      </c>
      <c r="Q18">
        <v>9144.6818273610406</v>
      </c>
    </row>
    <row r="19" spans="1:17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G19" t="s">
        <v>28</v>
      </c>
      <c r="H19">
        <v>3565</v>
      </c>
      <c r="I19">
        <v>3565</v>
      </c>
      <c r="J19">
        <v>7.9826086956521696</v>
      </c>
      <c r="K19">
        <v>821.62587156034499</v>
      </c>
      <c r="L19">
        <v>17.7383172726258</v>
      </c>
      <c r="M19">
        <v>4685.45889665909</v>
      </c>
      <c r="N19">
        <v>2</v>
      </c>
      <c r="O19">
        <v>0</v>
      </c>
      <c r="P19">
        <v>10329.9107359999</v>
      </c>
      <c r="Q19">
        <v>9489.1515267700706</v>
      </c>
    </row>
    <row r="20" spans="1:17" x14ac:dyDescent="0.3">
      <c r="A20" t="s">
        <v>5</v>
      </c>
      <c r="B20">
        <v>1.01943523074986</v>
      </c>
      <c r="C20">
        <v>1.1600303689406299</v>
      </c>
      <c r="D20">
        <v>372.03478656930702</v>
      </c>
      <c r="E20">
        <v>13</v>
      </c>
      <c r="G20" t="s">
        <v>29</v>
      </c>
      <c r="H20">
        <v>3646</v>
      </c>
      <c r="I20">
        <v>3646</v>
      </c>
      <c r="J20">
        <v>8.4462424574876493</v>
      </c>
      <c r="K20">
        <v>801.32429066461805</v>
      </c>
      <c r="L20">
        <v>17.7383172726258</v>
      </c>
      <c r="M20">
        <v>4784.7703797883896</v>
      </c>
      <c r="N20">
        <v>1</v>
      </c>
      <c r="O20">
        <v>0</v>
      </c>
      <c r="P20">
        <v>10586.6491049999</v>
      </c>
      <c r="Q20">
        <v>9890.9969912180295</v>
      </c>
    </row>
    <row r="21" spans="1:17" x14ac:dyDescent="0.3">
      <c r="A21" t="s">
        <v>6</v>
      </c>
      <c r="B21">
        <v>1.0264587530050799</v>
      </c>
      <c r="C21">
        <v>1.2278005492942801</v>
      </c>
      <c r="D21">
        <v>374.61196126162298</v>
      </c>
      <c r="E21">
        <v>13</v>
      </c>
      <c r="G21" t="s">
        <v>30</v>
      </c>
      <c r="H21">
        <v>3674</v>
      </c>
      <c r="I21">
        <v>3674</v>
      </c>
      <c r="J21">
        <v>8.5911812738159998</v>
      </c>
      <c r="K21">
        <v>775.76537874034204</v>
      </c>
      <c r="L21">
        <v>17.7383172726258</v>
      </c>
      <c r="M21">
        <v>4849.6213981401297</v>
      </c>
      <c r="N21">
        <v>1</v>
      </c>
      <c r="O21">
        <v>0</v>
      </c>
      <c r="P21">
        <v>9471.774163</v>
      </c>
      <c r="Q21">
        <v>8843.8570439140094</v>
      </c>
    </row>
    <row r="22" spans="1:17" x14ac:dyDescent="0.3">
      <c r="A22" t="s">
        <v>7</v>
      </c>
      <c r="B22">
        <v>1.0221831473036</v>
      </c>
      <c r="C22">
        <v>1.1632161129474501</v>
      </c>
      <c r="D22">
        <v>479.69669672902</v>
      </c>
      <c r="E22">
        <v>13</v>
      </c>
      <c r="G22" t="s">
        <v>31</v>
      </c>
      <c r="H22">
        <v>3283</v>
      </c>
      <c r="I22">
        <v>3283</v>
      </c>
      <c r="J22">
        <v>8.2896740785866498</v>
      </c>
      <c r="K22">
        <v>697.91265329902001</v>
      </c>
      <c r="L22">
        <v>17.7383172726258</v>
      </c>
      <c r="M22">
        <v>4348.1109252693404</v>
      </c>
      <c r="N22">
        <v>1</v>
      </c>
      <c r="O22">
        <v>0</v>
      </c>
      <c r="P22">
        <v>8610.7053090000099</v>
      </c>
      <c r="Q22">
        <v>8011.7553557049896</v>
      </c>
    </row>
    <row r="23" spans="1:17" x14ac:dyDescent="0.3">
      <c r="A23" t="s">
        <v>8</v>
      </c>
      <c r="B23">
        <v>1.02078399365646</v>
      </c>
      <c r="C23">
        <v>1.1959775172089699</v>
      </c>
      <c r="D23">
        <v>1569.9942550318301</v>
      </c>
      <c r="E23">
        <v>13</v>
      </c>
      <c r="G23" t="s">
        <v>38</v>
      </c>
      <c r="H23">
        <v>3174</v>
      </c>
      <c r="I23">
        <v>3174</v>
      </c>
      <c r="J23">
        <v>8.4984247006931302</v>
      </c>
      <c r="K23">
        <v>657.39771465527201</v>
      </c>
      <c r="L23">
        <v>17.7383172726258</v>
      </c>
      <c r="M23">
        <v>4155.1980376168403</v>
      </c>
      <c r="N23">
        <v>1</v>
      </c>
      <c r="O23">
        <v>0</v>
      </c>
      <c r="P23">
        <v>7841.5191199999699</v>
      </c>
      <c r="Q23">
        <v>7346.7970711930102</v>
      </c>
    </row>
    <row r="24" spans="1:17" x14ac:dyDescent="0.3">
      <c r="A24" t="s">
        <v>9</v>
      </c>
      <c r="B24">
        <v>1.0238393781477499</v>
      </c>
      <c r="C24">
        <v>1.2009882030390999</v>
      </c>
      <c r="D24">
        <v>1601.60023782696</v>
      </c>
      <c r="E24">
        <v>13</v>
      </c>
      <c r="G24" t="s">
        <v>39</v>
      </c>
      <c r="H24">
        <v>2995</v>
      </c>
      <c r="I24">
        <v>2995</v>
      </c>
      <c r="J24">
        <v>8.3549248747913101</v>
      </c>
      <c r="K24">
        <v>633.43350066661799</v>
      </c>
      <c r="L24">
        <v>17.7383172726258</v>
      </c>
      <c r="M24">
        <v>4006.3313878437302</v>
      </c>
      <c r="N24">
        <v>1</v>
      </c>
      <c r="O24">
        <v>0</v>
      </c>
      <c r="P24">
        <v>7805.0305240000298</v>
      </c>
      <c r="Q24">
        <v>7313.3963511879701</v>
      </c>
    </row>
    <row r="25" spans="1:17" x14ac:dyDescent="0.3">
      <c r="A25" t="s">
        <v>10</v>
      </c>
      <c r="B25">
        <v>1.02286173335342</v>
      </c>
      <c r="C25">
        <v>1.2187197828516501</v>
      </c>
      <c r="D25">
        <v>1920.2584693133899</v>
      </c>
      <c r="E25">
        <v>13</v>
      </c>
      <c r="G25" t="s">
        <v>40</v>
      </c>
      <c r="H25">
        <v>2840</v>
      </c>
      <c r="I25">
        <v>2840</v>
      </c>
      <c r="J25">
        <v>8.2700704225352109</v>
      </c>
      <c r="K25">
        <v>596.58243435183999</v>
      </c>
      <c r="L25">
        <v>17.7383172726258</v>
      </c>
      <c r="M25">
        <v>3839.69766262024</v>
      </c>
      <c r="N25">
        <v>1</v>
      </c>
      <c r="O25">
        <v>0</v>
      </c>
      <c r="P25">
        <v>7503.6846760000199</v>
      </c>
      <c r="Q25">
        <v>7036.5841895069598</v>
      </c>
    </row>
    <row r="26" spans="1:17" x14ac:dyDescent="0.3">
      <c r="A26" t="s">
        <v>11</v>
      </c>
      <c r="B26">
        <v>1.0196710032682601</v>
      </c>
      <c r="C26">
        <v>1.2069581171552599</v>
      </c>
      <c r="D26">
        <v>1970.97099718707</v>
      </c>
      <c r="E26">
        <v>12.973561430793101</v>
      </c>
    </row>
    <row r="27" spans="1:17" x14ac:dyDescent="0.3">
      <c r="A27" t="s">
        <v>12</v>
      </c>
      <c r="B27">
        <v>1.00947002418762</v>
      </c>
      <c r="C27">
        <v>1.19383640809155</v>
      </c>
      <c r="D27">
        <v>2848.3060951139</v>
      </c>
      <c r="E27">
        <v>12.8415455512229</v>
      </c>
      <c r="G27" t="s">
        <v>32</v>
      </c>
      <c r="H27" s="2"/>
      <c r="J27" s="2"/>
      <c r="K27" s="2">
        <f>AVERAGE(K18:K25)</f>
        <v>726.02673668531463</v>
      </c>
      <c r="L27" s="2">
        <f t="shared" ref="L27:M27" si="1">AVERAGE(L18:L25)</f>
        <v>17.738317272625803</v>
      </c>
      <c r="M27" s="2">
        <f t="shared" si="1"/>
        <v>4407.9718422475144</v>
      </c>
      <c r="N27" s="2"/>
      <c r="O27" s="2"/>
      <c r="P27" s="2">
        <f t="shared" ref="P27:Q27" si="2">AVERAGE(P18:P25)</f>
        <v>9028.4304099999663</v>
      </c>
      <c r="Q27" s="2">
        <f t="shared" si="2"/>
        <v>8384.65254460701</v>
      </c>
    </row>
    <row r="28" spans="1:17" x14ac:dyDescent="0.3">
      <c r="A28" t="s">
        <v>13</v>
      </c>
      <c r="B28">
        <v>1.5246025547664901</v>
      </c>
      <c r="C28">
        <v>1.8372041129385701</v>
      </c>
      <c r="D28">
        <v>6674.7121715910498</v>
      </c>
      <c r="E28">
        <v>12.9223681179451</v>
      </c>
      <c r="G28" t="s">
        <v>33</v>
      </c>
    </row>
    <row r="29" spans="1:17" x14ac:dyDescent="0.3">
      <c r="A29" t="s">
        <v>14</v>
      </c>
      <c r="B29">
        <v>1.5346659059801999</v>
      </c>
      <c r="C29">
        <v>1.84329115657875</v>
      </c>
      <c r="D29">
        <v>8598.85653722186</v>
      </c>
      <c r="E29">
        <v>13.006645744877201</v>
      </c>
      <c r="G29" t="s">
        <v>34</v>
      </c>
      <c r="I29" s="2"/>
      <c r="K29" s="2">
        <f>SUM(K18:K25)</f>
        <v>5808.2138934825171</v>
      </c>
      <c r="M29" s="2">
        <f t="shared" ref="M29:Q29" si="3">SUM(M18:M25)</f>
        <v>35263.774737980115</v>
      </c>
      <c r="N29" s="2">
        <f t="shared" si="3"/>
        <v>10</v>
      </c>
      <c r="O29" s="2">
        <f t="shared" si="3"/>
        <v>0</v>
      </c>
      <c r="P29" s="2">
        <f t="shared" si="3"/>
        <v>72227.44327999973</v>
      </c>
      <c r="Q29" s="2">
        <f t="shared" si="3"/>
        <v>67077.22035685608</v>
      </c>
    </row>
    <row r="30" spans="1:17" x14ac:dyDescent="0.3">
      <c r="A30" t="s">
        <v>15</v>
      </c>
      <c r="B30">
        <v>1.5284614029247301</v>
      </c>
      <c r="C30">
        <v>2.0405185152871801</v>
      </c>
      <c r="D30">
        <v>8598.9628773748791</v>
      </c>
      <c r="E30">
        <v>12.947455144635599</v>
      </c>
      <c r="G30" t="s">
        <v>35</v>
      </c>
      <c r="K30" s="1">
        <f>K29/M29</f>
        <v>0.16470766208777138</v>
      </c>
      <c r="L30" s="1"/>
      <c r="M30" s="1"/>
      <c r="N30" s="1"/>
      <c r="O30" s="1"/>
      <c r="P30" s="1">
        <f>P29/M29</f>
        <v>2.0482051004655681</v>
      </c>
      <c r="Q30" s="1">
        <f>Q29/M29</f>
        <v>1.9021565574093791</v>
      </c>
    </row>
    <row r="32" spans="1:17" x14ac:dyDescent="0.3">
      <c r="A32" t="s">
        <v>71</v>
      </c>
      <c r="B32" s="2">
        <f>AVERAGE(B20:B30)</f>
        <v>1.15931210248577</v>
      </c>
      <c r="C32" s="2">
        <f>MAX(C20:C30)</f>
        <v>2.0405185152871801</v>
      </c>
      <c r="D32" s="2">
        <f>SUM(D20:D30)</f>
        <v>35010.005085220888</v>
      </c>
      <c r="E32" s="2">
        <f>AVERAGE(E20:E30)</f>
        <v>12.971961453588536</v>
      </c>
    </row>
    <row r="33" spans="1:17" s="7" customFormat="1" x14ac:dyDescent="0.3">
      <c r="A33"/>
      <c r="B33"/>
      <c r="C33"/>
      <c r="D33"/>
      <c r="E33"/>
      <c r="G33" s="7" t="s">
        <v>47</v>
      </c>
      <c r="K33" s="11">
        <f>K30-K13</f>
        <v>-0.16253284116071859</v>
      </c>
      <c r="P33" s="11">
        <f>P30-P13</f>
        <v>-2.2831999779638221</v>
      </c>
      <c r="Q33" s="11">
        <f>Q30-Q13</f>
        <v>-1.9672613416069529</v>
      </c>
    </row>
    <row r="34" spans="1:17" s="7" customFormat="1" x14ac:dyDescent="0.3">
      <c r="A34"/>
      <c r="B34"/>
      <c r="C34"/>
      <c r="D34"/>
      <c r="E34"/>
      <c r="G34" s="7" t="s">
        <v>46</v>
      </c>
      <c r="I34" s="8"/>
      <c r="J34" s="8"/>
      <c r="K34" s="12">
        <f>K33/K13</f>
        <v>-0.49667702972971939</v>
      </c>
      <c r="L34" s="12"/>
      <c r="M34" s="12"/>
      <c r="N34" s="12"/>
      <c r="O34" s="12"/>
      <c r="P34" s="12">
        <f>P33/P13</f>
        <v>-0.52712686452123125</v>
      </c>
      <c r="Q34" s="12">
        <f>Q33/Q13</f>
        <v>-0.50841273621726468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9EE6-530C-4A1B-89A8-F41633BB1D47}">
  <dimension ref="A1:Q45"/>
  <sheetViews>
    <sheetView topLeftCell="D12" workbookViewId="0">
      <selection activeCell="O2" sqref="O2"/>
    </sheetView>
  </sheetViews>
  <sheetFormatPr defaultRowHeight="14.4" x14ac:dyDescent="0.3"/>
  <cols>
    <col min="1" max="1" width="11.77734375" bestFit="1" customWidth="1"/>
    <col min="2" max="2" width="19.33203125" customWidth="1"/>
    <col min="3" max="3" width="18.88671875" customWidth="1"/>
    <col min="4" max="4" width="19.109375" customWidth="1"/>
    <col min="5" max="5" width="17.77734375" bestFit="1" customWidth="1"/>
    <col min="7" max="7" width="18.33203125" bestFit="1" customWidth="1"/>
    <col min="8" max="9" width="10.21875" bestFit="1" customWidth="1"/>
    <col min="10" max="10" width="20.21875" bestFit="1" customWidth="1"/>
    <col min="11" max="11" width="12.21875" bestFit="1" customWidth="1"/>
    <col min="12" max="12" width="9" bestFit="1" customWidth="1"/>
    <col min="13" max="13" width="18.44140625" bestFit="1" customWidth="1"/>
    <col min="14" max="15" width="9" bestFit="1" customWidth="1"/>
    <col min="16" max="16" width="12.33203125" customWidth="1"/>
    <col min="17" max="17" width="12.21875" bestFit="1" customWidth="1"/>
  </cols>
  <sheetData>
    <row r="1" spans="1:17" x14ac:dyDescent="0.3">
      <c r="A1" t="s">
        <v>36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5</v>
      </c>
      <c r="B3">
        <v>0.36987717873278902</v>
      </c>
      <c r="C3">
        <v>0.68662291837164702</v>
      </c>
      <c r="D3">
        <v>373.091913041807</v>
      </c>
      <c r="E3">
        <v>4.06532663316582</v>
      </c>
      <c r="G3" t="s">
        <v>27</v>
      </c>
      <c r="H3" s="19">
        <v>27098</v>
      </c>
      <c r="I3" s="19">
        <v>27051</v>
      </c>
      <c r="J3" s="2">
        <v>54.291534430585202</v>
      </c>
      <c r="K3" s="2">
        <v>4562.3794937470102</v>
      </c>
      <c r="L3" s="2">
        <v>8.62474791360221</v>
      </c>
      <c r="M3" s="2">
        <v>11863.7855254922</v>
      </c>
      <c r="N3" s="2">
        <v>11</v>
      </c>
      <c r="O3" s="2">
        <v>3</v>
      </c>
      <c r="P3" s="2">
        <v>59776.618459000099</v>
      </c>
      <c r="Q3" s="2">
        <v>52073.255433185099</v>
      </c>
    </row>
    <row r="4" spans="1:17" x14ac:dyDescent="0.3">
      <c r="A4" t="s">
        <v>6</v>
      </c>
      <c r="B4">
        <v>0.35296386184543599</v>
      </c>
      <c r="C4">
        <v>0.72610670870859995</v>
      </c>
      <c r="D4">
        <v>372.63779653448</v>
      </c>
      <c r="E4">
        <v>3.8404966571155601</v>
      </c>
      <c r="G4" t="s">
        <v>28</v>
      </c>
      <c r="H4" s="19">
        <v>25635</v>
      </c>
      <c r="I4" s="19">
        <v>25635</v>
      </c>
      <c r="J4" s="2">
        <v>52.743397698459098</v>
      </c>
      <c r="K4" s="2">
        <v>4118.7604641996504</v>
      </c>
      <c r="L4" s="2">
        <v>8.62474791360221</v>
      </c>
      <c r="M4" s="2">
        <v>11022.3257242277</v>
      </c>
      <c r="N4" s="2">
        <v>10</v>
      </c>
      <c r="O4" s="2">
        <v>3</v>
      </c>
      <c r="P4" s="2">
        <v>53681.758723999803</v>
      </c>
      <c r="Q4" s="2">
        <v>46875.7406949332</v>
      </c>
    </row>
    <row r="5" spans="1:17" x14ac:dyDescent="0.3">
      <c r="A5" t="s">
        <v>7</v>
      </c>
      <c r="B5">
        <v>0.40739509706393801</v>
      </c>
      <c r="C5">
        <v>0.67423501624515003</v>
      </c>
      <c r="D5">
        <v>480.31234414854299</v>
      </c>
      <c r="E5">
        <v>4.5728987993138901</v>
      </c>
      <c r="G5" t="s">
        <v>29</v>
      </c>
      <c r="H5" s="19">
        <v>21501</v>
      </c>
      <c r="I5" s="19">
        <v>21501</v>
      </c>
      <c r="J5" s="2">
        <v>48.655318357285701</v>
      </c>
      <c r="K5" s="2">
        <v>3275.2324068542098</v>
      </c>
      <c r="L5" s="2">
        <v>8.62474791360221</v>
      </c>
      <c r="M5" s="2">
        <v>8713.8901602939204</v>
      </c>
      <c r="N5" s="2">
        <v>7</v>
      </c>
      <c r="O5" s="2">
        <v>2</v>
      </c>
      <c r="P5" s="2">
        <v>41845.979797</v>
      </c>
      <c r="Q5" s="2">
        <v>36684.199164487603</v>
      </c>
    </row>
    <row r="6" spans="1:17" x14ac:dyDescent="0.3">
      <c r="A6" t="s">
        <v>8</v>
      </c>
      <c r="B6">
        <v>0.319709243623994</v>
      </c>
      <c r="C6">
        <v>0.80997373979031895</v>
      </c>
      <c r="D6">
        <v>1571.1415182381099</v>
      </c>
      <c r="E6">
        <v>3.3824611610793101</v>
      </c>
      <c r="G6" t="s">
        <v>30</v>
      </c>
      <c r="H6" s="19">
        <v>9538</v>
      </c>
      <c r="I6" s="19">
        <v>9538</v>
      </c>
      <c r="J6" s="2">
        <v>50.969385615432998</v>
      </c>
      <c r="K6" s="2">
        <v>1371.9371202334701</v>
      </c>
      <c r="L6" s="2">
        <v>8.62474791360221</v>
      </c>
      <c r="M6" s="2">
        <v>2585.48182869111</v>
      </c>
      <c r="N6" s="2">
        <v>3</v>
      </c>
      <c r="O6" s="2">
        <v>1</v>
      </c>
      <c r="P6" s="2">
        <v>16369.1017949999</v>
      </c>
      <c r="Q6" s="2">
        <v>14268.8377832281</v>
      </c>
    </row>
    <row r="7" spans="1:17" x14ac:dyDescent="0.3">
      <c r="A7" t="s">
        <v>9</v>
      </c>
      <c r="B7">
        <v>0.410701399993461</v>
      </c>
      <c r="C7">
        <v>1.0595031023518999</v>
      </c>
      <c r="D7">
        <v>1597.5624016880699</v>
      </c>
      <c r="E7">
        <v>4.63045181509532</v>
      </c>
      <c r="G7" t="s">
        <v>31</v>
      </c>
      <c r="H7" s="19">
        <v>2437</v>
      </c>
      <c r="I7" s="19">
        <v>2437</v>
      </c>
      <c r="J7" s="2">
        <v>52.7607714402954</v>
      </c>
      <c r="K7" s="2">
        <v>339.822887427902</v>
      </c>
      <c r="L7" s="2">
        <v>8.62474791360221</v>
      </c>
      <c r="M7" s="2">
        <v>426.43157720931799</v>
      </c>
      <c r="N7" s="2">
        <v>0</v>
      </c>
      <c r="O7" s="2">
        <v>0</v>
      </c>
      <c r="P7" s="2">
        <v>3843.694246</v>
      </c>
      <c r="Q7" s="2">
        <v>3341.2720118539801</v>
      </c>
    </row>
    <row r="8" spans="1:17" x14ac:dyDescent="0.3">
      <c r="A8" t="s">
        <v>10</v>
      </c>
      <c r="B8">
        <v>0.44894505276103602</v>
      </c>
      <c r="C8">
        <v>0.70282479203982695</v>
      </c>
      <c r="D8">
        <v>1920.9076173666199</v>
      </c>
      <c r="E8">
        <v>5.1421800947867302</v>
      </c>
      <c r="G8" t="s">
        <v>38</v>
      </c>
      <c r="H8" s="19">
        <v>676</v>
      </c>
      <c r="I8" s="19">
        <v>676</v>
      </c>
      <c r="J8" s="2">
        <v>51.165680473372703</v>
      </c>
      <c r="K8" s="2">
        <v>101.152755692225</v>
      </c>
      <c r="L8" s="2">
        <v>8.62474791360221</v>
      </c>
      <c r="M8" s="2">
        <v>154.44402381607</v>
      </c>
      <c r="N8" s="2">
        <v>0</v>
      </c>
      <c r="O8" s="2">
        <v>0</v>
      </c>
      <c r="P8" s="2">
        <v>1179.9732199999901</v>
      </c>
      <c r="Q8" s="2">
        <v>1022.946794567</v>
      </c>
    </row>
    <row r="9" spans="1:17" x14ac:dyDescent="0.3">
      <c r="A9" t="s">
        <v>11</v>
      </c>
      <c r="B9">
        <v>0.49502740282709501</v>
      </c>
      <c r="C9">
        <v>1.1371204699281701</v>
      </c>
      <c r="D9">
        <v>1970.8185051519899</v>
      </c>
      <c r="E9">
        <v>5.7839632277834498</v>
      </c>
    </row>
    <row r="10" spans="1:17" x14ac:dyDescent="0.3">
      <c r="A10" t="s">
        <v>12</v>
      </c>
      <c r="B10">
        <v>0.157652571974714</v>
      </c>
      <c r="C10">
        <v>0.57451111202446703</v>
      </c>
      <c r="D10">
        <v>2852.2305649929899</v>
      </c>
      <c r="E10">
        <v>1.15876974231088</v>
      </c>
      <c r="G10" t="s">
        <v>32</v>
      </c>
      <c r="H10" s="2"/>
      <c r="J10" s="2"/>
      <c r="K10" s="2">
        <f>AVERAGE(K3:K8)</f>
        <v>2294.8808546924106</v>
      </c>
      <c r="L10" s="2">
        <f>AVERAGE(L3:L8)</f>
        <v>8.6247479136022083</v>
      </c>
      <c r="M10" s="2">
        <f>AVERAGE(M3:M8)</f>
        <v>5794.3931399550529</v>
      </c>
      <c r="N10" s="2"/>
      <c r="O10" s="2"/>
      <c r="P10" s="2">
        <f>AVERAGE(P3:P8)</f>
        <v>29449.52104016663</v>
      </c>
      <c r="Q10" s="2">
        <f>AVERAGE(Q3:Q8)</f>
        <v>25711.04198037583</v>
      </c>
    </row>
    <row r="11" spans="1:17" x14ac:dyDescent="0.3">
      <c r="A11" t="s">
        <v>13</v>
      </c>
      <c r="B11">
        <v>0.74530111395661203</v>
      </c>
      <c r="C11">
        <v>1.76027742678435</v>
      </c>
      <c r="D11">
        <v>6679.3885832790802</v>
      </c>
      <c r="E11">
        <v>5.8014952019638404</v>
      </c>
      <c r="G11" t="s">
        <v>33</v>
      </c>
    </row>
    <row r="12" spans="1:17" x14ac:dyDescent="0.3">
      <c r="A12" t="s">
        <v>14</v>
      </c>
      <c r="B12">
        <v>0.74911380466729105</v>
      </c>
      <c r="C12">
        <v>1.8613487551693999</v>
      </c>
      <c r="D12">
        <v>8600.3434514134606</v>
      </c>
      <c r="E12">
        <v>5.8359168574951497</v>
      </c>
      <c r="G12" t="s">
        <v>34</v>
      </c>
      <c r="I12" s="2"/>
      <c r="K12" s="2">
        <f>SUM(K3:K8)</f>
        <v>13769.285128154464</v>
      </c>
      <c r="M12" s="2">
        <f t="shared" ref="M12:O12" si="0">SUM(M3:M8)</f>
        <v>34766.358839730317</v>
      </c>
      <c r="N12" s="2">
        <f t="shared" si="0"/>
        <v>31</v>
      </c>
      <c r="O12" s="2">
        <f t="shared" si="0"/>
        <v>9</v>
      </c>
      <c r="P12" s="2">
        <f>SUM(P3:P8)</f>
        <v>176697.12624099979</v>
      </c>
      <c r="Q12" s="2">
        <f>SUM(Q3:Q8)</f>
        <v>154266.25188225499</v>
      </c>
    </row>
    <row r="13" spans="1:17" x14ac:dyDescent="0.3">
      <c r="A13" t="s">
        <v>15</v>
      </c>
      <c r="B13">
        <v>0.28108141683225302</v>
      </c>
      <c r="C13">
        <v>0.87530529948471403</v>
      </c>
      <c r="D13">
        <v>8593.4437634886999</v>
      </c>
      <c r="E13">
        <v>1.5668273803666799</v>
      </c>
      <c r="G13" t="s">
        <v>35</v>
      </c>
      <c r="K13" s="1">
        <f>K12/M12</f>
        <v>0.39605197632658595</v>
      </c>
      <c r="L13" s="1"/>
      <c r="M13" s="1"/>
      <c r="N13" s="1"/>
      <c r="O13" s="1"/>
      <c r="P13" s="1">
        <f>P12/M12</f>
        <v>5.0824167999748582</v>
      </c>
      <c r="Q13" s="1">
        <f>Q12/M12</f>
        <v>4.4372277405697869</v>
      </c>
    </row>
    <row r="15" spans="1:17" x14ac:dyDescent="0.3">
      <c r="A15" t="s">
        <v>71</v>
      </c>
      <c r="B15" s="2">
        <f>AVERAGE(B3:B13)</f>
        <v>0.43070619493441992</v>
      </c>
      <c r="C15" s="2">
        <f>MAX(C3:C13)</f>
        <v>1.8613487551693999</v>
      </c>
      <c r="D15" s="2">
        <f>SUM(D3:D13)</f>
        <v>35011.878459343847</v>
      </c>
      <c r="E15" s="2">
        <f>AVERAGE(E3:E13)</f>
        <v>4.1618897791342384</v>
      </c>
      <c r="F15" s="2"/>
      <c r="G15" s="2"/>
    </row>
    <row r="16" spans="1:17" x14ac:dyDescent="0.3">
      <c r="A16" t="s">
        <v>37</v>
      </c>
    </row>
    <row r="17" spans="1:17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24</v>
      </c>
      <c r="P17" t="s">
        <v>25</v>
      </c>
      <c r="Q17" t="s">
        <v>26</v>
      </c>
    </row>
    <row r="18" spans="1:17" x14ac:dyDescent="0.3">
      <c r="A18" t="s">
        <v>5</v>
      </c>
      <c r="B18">
        <v>1.0232864923369001</v>
      </c>
      <c r="C18">
        <v>1.17653713190411</v>
      </c>
      <c r="D18">
        <v>373.41468224315003</v>
      </c>
      <c r="E18">
        <v>13</v>
      </c>
      <c r="G18" t="s">
        <v>27</v>
      </c>
      <c r="H18">
        <v>4592</v>
      </c>
      <c r="I18">
        <v>4592</v>
      </c>
      <c r="J18">
        <v>7.5633710801393699</v>
      </c>
      <c r="K18">
        <v>1071.9410251769</v>
      </c>
      <c r="L18">
        <v>17.6873170159746</v>
      </c>
      <c r="M18">
        <v>6171.3069819277298</v>
      </c>
      <c r="N18">
        <v>2</v>
      </c>
      <c r="O18">
        <v>0</v>
      </c>
      <c r="P18">
        <v>13262.933294999801</v>
      </c>
      <c r="Q18">
        <v>12099.770970582</v>
      </c>
    </row>
    <row r="19" spans="1:17" x14ac:dyDescent="0.3">
      <c r="A19" t="s">
        <v>6</v>
      </c>
      <c r="B19">
        <v>1.0226881384748201</v>
      </c>
      <c r="C19">
        <v>1.1805205662329401</v>
      </c>
      <c r="D19">
        <v>373.25889854904</v>
      </c>
      <c r="E19">
        <v>13</v>
      </c>
      <c r="G19" t="s">
        <v>28</v>
      </c>
      <c r="H19">
        <v>4770</v>
      </c>
      <c r="I19">
        <v>4770</v>
      </c>
      <c r="J19">
        <v>8.3524109014675005</v>
      </c>
      <c r="K19">
        <v>1023.46662832325</v>
      </c>
      <c r="L19">
        <v>17.6873170159746</v>
      </c>
      <c r="M19">
        <v>6271.0862685058501</v>
      </c>
      <c r="N19">
        <v>2</v>
      </c>
      <c r="O19">
        <v>0</v>
      </c>
      <c r="P19">
        <v>12406.424267999901</v>
      </c>
      <c r="Q19">
        <v>11521.700079645099</v>
      </c>
    </row>
    <row r="20" spans="1:17" x14ac:dyDescent="0.3">
      <c r="A20" t="s">
        <v>7</v>
      </c>
      <c r="B20">
        <v>1.0214045751572001</v>
      </c>
      <c r="C20">
        <v>1.1452836236255199</v>
      </c>
      <c r="D20">
        <v>479.244040642794</v>
      </c>
      <c r="E20">
        <v>13</v>
      </c>
      <c r="G20" t="s">
        <v>29</v>
      </c>
      <c r="H20">
        <v>4706</v>
      </c>
      <c r="I20">
        <v>4706</v>
      </c>
      <c r="J20">
        <v>8.4094772630684194</v>
      </c>
      <c r="K20">
        <v>995.66523886223399</v>
      </c>
      <c r="L20">
        <v>17.6873170159746</v>
      </c>
      <c r="M20">
        <v>6120.4692371169504</v>
      </c>
      <c r="N20">
        <v>2</v>
      </c>
      <c r="O20">
        <v>0</v>
      </c>
      <c r="P20">
        <v>12428.9302209998</v>
      </c>
      <c r="Q20">
        <v>11621.429194615001</v>
      </c>
    </row>
    <row r="21" spans="1:17" x14ac:dyDescent="0.3">
      <c r="A21" t="s">
        <v>8</v>
      </c>
      <c r="B21">
        <v>1.02313151248357</v>
      </c>
      <c r="C21">
        <v>1.1775673471180601</v>
      </c>
      <c r="D21">
        <v>1573.7385926043601</v>
      </c>
      <c r="E21">
        <v>13</v>
      </c>
      <c r="G21" t="s">
        <v>30</v>
      </c>
      <c r="H21">
        <v>4437</v>
      </c>
      <c r="I21">
        <v>4437</v>
      </c>
      <c r="J21">
        <v>8.5393283750281697</v>
      </c>
      <c r="K21">
        <v>940.62116417376001</v>
      </c>
      <c r="L21">
        <v>17.6873170159746</v>
      </c>
      <c r="M21">
        <v>5848.1278884283001</v>
      </c>
      <c r="N21">
        <v>2</v>
      </c>
      <c r="O21">
        <v>0</v>
      </c>
      <c r="P21">
        <v>11841.0062699999</v>
      </c>
      <c r="Q21">
        <v>11093.952714687999</v>
      </c>
    </row>
    <row r="22" spans="1:17" x14ac:dyDescent="0.3">
      <c r="A22" t="s">
        <v>9</v>
      </c>
      <c r="B22">
        <v>1.02217645215449</v>
      </c>
      <c r="C22">
        <v>1.22606801649106</v>
      </c>
      <c r="D22">
        <v>1598.89812641803</v>
      </c>
      <c r="E22">
        <v>13</v>
      </c>
      <c r="G22" t="s">
        <v>31</v>
      </c>
      <c r="H22">
        <v>4104</v>
      </c>
      <c r="I22">
        <v>4104</v>
      </c>
      <c r="J22">
        <v>8.2782651072124693</v>
      </c>
      <c r="K22">
        <v>894.98779804314199</v>
      </c>
      <c r="L22">
        <v>17.6873170159746</v>
      </c>
      <c r="M22">
        <v>5484.9433461785002</v>
      </c>
      <c r="N22">
        <v>2</v>
      </c>
      <c r="O22">
        <v>0</v>
      </c>
      <c r="P22">
        <v>11101.1460049999</v>
      </c>
      <c r="Q22">
        <v>10319.39671755</v>
      </c>
    </row>
    <row r="23" spans="1:17" x14ac:dyDescent="0.3">
      <c r="A23" t="s">
        <v>10</v>
      </c>
      <c r="B23">
        <v>1.0209332646671401</v>
      </c>
      <c r="C23">
        <v>1.1885571444018801</v>
      </c>
      <c r="D23">
        <v>1920.1841859937899</v>
      </c>
      <c r="E23">
        <v>12.973880597014899</v>
      </c>
      <c r="G23" t="s">
        <v>38</v>
      </c>
      <c r="H23">
        <v>4010</v>
      </c>
      <c r="I23">
        <v>4010</v>
      </c>
      <c r="J23">
        <v>8.2182044887780492</v>
      </c>
      <c r="K23">
        <v>883.17783253926405</v>
      </c>
      <c r="L23">
        <v>17.6873170159746</v>
      </c>
      <c r="M23">
        <v>5337.2017736642301</v>
      </c>
      <c r="N23">
        <v>1</v>
      </c>
      <c r="O23">
        <v>0</v>
      </c>
      <c r="P23">
        <v>11165.802352999901</v>
      </c>
      <c r="Q23">
        <v>10411.40760814</v>
      </c>
    </row>
    <row r="24" spans="1:17" x14ac:dyDescent="0.3">
      <c r="A24" t="s">
        <v>11</v>
      </c>
      <c r="B24">
        <v>1.0042596517786999</v>
      </c>
      <c r="C24">
        <v>1.2167790742931399</v>
      </c>
      <c r="D24">
        <v>1970.1514844129999</v>
      </c>
      <c r="E24">
        <v>12.7684854665986</v>
      </c>
    </row>
    <row r="25" spans="1:17" x14ac:dyDescent="0.3">
      <c r="A25" t="s">
        <v>12</v>
      </c>
      <c r="B25">
        <v>1.0168918820370001</v>
      </c>
      <c r="C25">
        <v>1.25108002981443</v>
      </c>
      <c r="D25">
        <v>2848.0206886994101</v>
      </c>
      <c r="E25">
        <v>12.944642857142799</v>
      </c>
      <c r="G25" t="s">
        <v>32</v>
      </c>
      <c r="J25" s="2"/>
      <c r="K25" s="2">
        <f>AVERAGE(K18:K23)</f>
        <v>968.30994785309167</v>
      </c>
      <c r="L25" s="2">
        <f>AVERAGE(L18:L23)</f>
        <v>17.6873170159746</v>
      </c>
      <c r="M25" s="2">
        <f>AVERAGE(M18:M23)</f>
        <v>5872.189249303593</v>
      </c>
      <c r="N25" s="2"/>
      <c r="O25" s="2"/>
      <c r="P25" s="2">
        <f>AVERAGE(P18:P23)</f>
        <v>12034.373735333202</v>
      </c>
      <c r="Q25" s="2">
        <f>AVERAGE(Q18:Q23)</f>
        <v>11177.942880870016</v>
      </c>
    </row>
    <row r="26" spans="1:17" x14ac:dyDescent="0.3">
      <c r="A26" t="s">
        <v>13</v>
      </c>
      <c r="B26">
        <v>1.53612534841599</v>
      </c>
      <c r="C26">
        <v>1.85418978993405</v>
      </c>
      <c r="D26">
        <v>6677.4914620733798</v>
      </c>
      <c r="E26">
        <v>13.0209175184216</v>
      </c>
      <c r="G26" t="s">
        <v>33</v>
      </c>
    </row>
    <row r="27" spans="1:17" x14ac:dyDescent="0.3">
      <c r="A27" t="s">
        <v>14</v>
      </c>
      <c r="B27">
        <v>1.5333486156002101</v>
      </c>
      <c r="C27">
        <v>2.0524670860313199</v>
      </c>
      <c r="D27">
        <v>8595.8314032053004</v>
      </c>
      <c r="E27">
        <v>12.9994470046082</v>
      </c>
      <c r="G27" t="s">
        <v>34</v>
      </c>
      <c r="K27" s="2">
        <f>SUM(K18:K23)</f>
        <v>5809.85968711855</v>
      </c>
      <c r="M27" s="2">
        <f t="shared" ref="M27:P27" si="1">SUM(M18:M23)</f>
        <v>35233.13549582156</v>
      </c>
      <c r="N27" s="2">
        <f t="shared" si="1"/>
        <v>11</v>
      </c>
      <c r="O27" s="2">
        <f t="shared" si="1"/>
        <v>0</v>
      </c>
      <c r="P27" s="2">
        <f t="shared" si="1"/>
        <v>72206.242411999207</v>
      </c>
      <c r="Q27" s="2">
        <f>SUM(Q18:Q23)</f>
        <v>67067.657285220092</v>
      </c>
    </row>
    <row r="28" spans="1:17" x14ac:dyDescent="0.3">
      <c r="A28" t="s">
        <v>15</v>
      </c>
      <c r="B28">
        <v>1.5366281194918801</v>
      </c>
      <c r="C28">
        <v>2.1017561583181998</v>
      </c>
      <c r="D28">
        <v>8598.6204769199794</v>
      </c>
      <c r="E28">
        <v>13.021879021879</v>
      </c>
      <c r="G28" t="s">
        <v>35</v>
      </c>
      <c r="K28" s="1">
        <f>K27/M27</f>
        <v>0.16489760577248552</v>
      </c>
      <c r="L28" s="1"/>
      <c r="M28" s="1"/>
      <c r="N28" s="1"/>
      <c r="O28" s="1"/>
      <c r="P28" s="1">
        <f>P27/M27</f>
        <v>2.0493845181778512</v>
      </c>
      <c r="Q28" s="1">
        <f>Q27/M27</f>
        <v>1.9035392774842284</v>
      </c>
    </row>
    <row r="30" spans="1:17" x14ac:dyDescent="0.3">
      <c r="A30" t="s">
        <v>71</v>
      </c>
      <c r="B30" s="2">
        <f>AVERAGE(B18:B28)</f>
        <v>1.1600794593270818</v>
      </c>
      <c r="C30" s="2">
        <f>MAX(C18:C28)</f>
        <v>2.1017561583181998</v>
      </c>
      <c r="D30" s="2">
        <f>SUM(D18:D28)</f>
        <v>35008.854041762228</v>
      </c>
      <c r="E30" s="2">
        <f>AVERAGE(E18:E28)</f>
        <v>12.975386587787733</v>
      </c>
      <c r="F30" s="2"/>
      <c r="G30" s="2"/>
    </row>
    <row r="31" spans="1:17" x14ac:dyDescent="0.3">
      <c r="G31" s="7" t="s">
        <v>47</v>
      </c>
      <c r="H31" s="7"/>
      <c r="I31" s="7"/>
      <c r="J31" s="7"/>
      <c r="K31" s="11">
        <f>K28-K13</f>
        <v>-0.23115437055410043</v>
      </c>
      <c r="L31" s="7"/>
      <c r="M31" s="7"/>
      <c r="N31" s="7"/>
      <c r="O31" s="7"/>
      <c r="P31" s="11">
        <f>P28-P13</f>
        <v>-3.033032281797007</v>
      </c>
      <c r="Q31" s="11">
        <f>Q28-Q13</f>
        <v>-2.5336884630855585</v>
      </c>
    </row>
    <row r="32" spans="1:17" x14ac:dyDescent="0.3">
      <c r="G32" s="7" t="s">
        <v>46</v>
      </c>
      <c r="H32" s="7"/>
      <c r="I32" s="8"/>
      <c r="J32" s="8"/>
      <c r="K32" s="12">
        <f>K31/K13</f>
        <v>-0.58364655239970242</v>
      </c>
      <c r="L32" s="12"/>
      <c r="M32" s="12"/>
      <c r="N32" s="12"/>
      <c r="O32" s="12"/>
      <c r="P32" s="12">
        <f>P31/P13</f>
        <v>-0.59676968677815068</v>
      </c>
      <c r="Q32" s="12">
        <f>Q31/Q13</f>
        <v>-0.57100708172355519</v>
      </c>
    </row>
    <row r="34" spans="1:1" s="7" customFormat="1" x14ac:dyDescent="0.3"/>
    <row r="35" spans="1:1" s="7" customFormat="1" x14ac:dyDescent="0.3"/>
    <row r="45" spans="1:1" x14ac:dyDescent="0.3">
      <c r="A45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F1AD-27A2-462F-8246-1193E1332915}">
  <dimension ref="B1:M19"/>
  <sheetViews>
    <sheetView workbookViewId="0">
      <selection activeCell="L12" sqref="L12"/>
    </sheetView>
  </sheetViews>
  <sheetFormatPr defaultRowHeight="14.4" x14ac:dyDescent="0.3"/>
  <cols>
    <col min="3" max="3" width="16.6640625" bestFit="1" customWidth="1"/>
    <col min="4" max="4" width="11.5546875" bestFit="1" customWidth="1"/>
    <col min="7" max="7" width="20.77734375" bestFit="1" customWidth="1"/>
    <col min="8" max="8" width="15.6640625" bestFit="1" customWidth="1"/>
    <col min="11" max="11" width="20.77734375" bestFit="1" customWidth="1"/>
    <col min="12" max="12" width="15.6640625" bestFit="1" customWidth="1"/>
  </cols>
  <sheetData>
    <row r="1" spans="2:13" x14ac:dyDescent="0.3">
      <c r="C1" t="s">
        <v>60</v>
      </c>
      <c r="G1" t="s">
        <v>59</v>
      </c>
      <c r="K1" t="s">
        <v>61</v>
      </c>
    </row>
    <row r="2" spans="2:13" x14ac:dyDescent="0.3">
      <c r="C2" t="s">
        <v>52</v>
      </c>
      <c r="D2" t="s">
        <v>53</v>
      </c>
      <c r="G2" t="s">
        <v>52</v>
      </c>
      <c r="H2" t="s">
        <v>53</v>
      </c>
      <c r="K2" t="s">
        <v>52</v>
      </c>
      <c r="L2" t="s">
        <v>53</v>
      </c>
    </row>
    <row r="3" spans="2:13" x14ac:dyDescent="0.3">
      <c r="B3" t="s">
        <v>55</v>
      </c>
      <c r="C3">
        <v>5</v>
      </c>
      <c r="D3">
        <v>11</v>
      </c>
      <c r="F3" t="s">
        <v>55</v>
      </c>
      <c r="G3">
        <v>5</v>
      </c>
      <c r="H3">
        <v>11</v>
      </c>
      <c r="J3" t="s">
        <v>55</v>
      </c>
      <c r="K3">
        <v>5</v>
      </c>
      <c r="L3">
        <v>11</v>
      </c>
    </row>
    <row r="4" spans="2:13" x14ac:dyDescent="0.3">
      <c r="B4" t="s">
        <v>49</v>
      </c>
      <c r="C4">
        <v>6</v>
      </c>
      <c r="D4">
        <v>12</v>
      </c>
      <c r="F4" t="s">
        <v>49</v>
      </c>
      <c r="G4">
        <v>6</v>
      </c>
      <c r="H4">
        <v>12</v>
      </c>
      <c r="J4" t="s">
        <v>49</v>
      </c>
      <c r="K4">
        <v>6</v>
      </c>
      <c r="L4">
        <v>12</v>
      </c>
    </row>
    <row r="5" spans="2:13" x14ac:dyDescent="0.3">
      <c r="B5" t="s">
        <v>50</v>
      </c>
      <c r="C5">
        <v>2061.85</v>
      </c>
      <c r="D5">
        <v>479.08</v>
      </c>
      <c r="F5" t="s">
        <v>50</v>
      </c>
      <c r="G5">
        <v>27349.65</v>
      </c>
      <c r="H5">
        <v>5951.41</v>
      </c>
      <c r="J5" t="s">
        <v>50</v>
      </c>
      <c r="K5">
        <v>23803.21</v>
      </c>
      <c r="L5">
        <v>5551.75</v>
      </c>
    </row>
    <row r="6" spans="2:13" x14ac:dyDescent="0.3">
      <c r="B6" t="s">
        <v>54</v>
      </c>
      <c r="C6">
        <v>445.49</v>
      </c>
      <c r="D6">
        <v>68.06</v>
      </c>
      <c r="F6" t="s">
        <v>54</v>
      </c>
      <c r="G6">
        <v>6611.77</v>
      </c>
      <c r="H6">
        <v>796.11</v>
      </c>
      <c r="J6" t="s">
        <v>54</v>
      </c>
      <c r="K6">
        <v>5852.62</v>
      </c>
      <c r="L6">
        <v>711.65</v>
      </c>
    </row>
    <row r="7" spans="2:13" x14ac:dyDescent="0.3">
      <c r="B7" t="s">
        <v>51</v>
      </c>
      <c r="C7">
        <f>C6*C6</f>
        <v>198461.3401</v>
      </c>
      <c r="D7">
        <f>D6*D6</f>
        <v>4632.1635999999999</v>
      </c>
      <c r="F7" t="s">
        <v>51</v>
      </c>
      <c r="G7">
        <f>G6*G6</f>
        <v>43715502.532900006</v>
      </c>
      <c r="H7">
        <f>H6*H6</f>
        <v>633791.13210000005</v>
      </c>
      <c r="J7" t="s">
        <v>51</v>
      </c>
      <c r="K7">
        <f>K6*K6</f>
        <v>34253160.864399999</v>
      </c>
      <c r="L7">
        <f>L6*L6</f>
        <v>506445.72249999997</v>
      </c>
    </row>
    <row r="8" spans="2:13" x14ac:dyDescent="0.3">
      <c r="B8" t="s">
        <v>48</v>
      </c>
      <c r="C8" s="15">
        <f>(C5-D5)/SQRT((C6*C6/(C4-1))+D6*D6/(D4-1))</f>
        <v>7.9026584940618259</v>
      </c>
      <c r="D8" s="15"/>
      <c r="E8" s="15"/>
      <c r="F8" s="15" t="s">
        <v>48</v>
      </c>
      <c r="G8" s="15">
        <f>(G5-H5)/SQRT((G6*G6/(G4-1))+H6*H6/(H4-1))</f>
        <v>7.2130510270502599</v>
      </c>
      <c r="H8" s="15"/>
      <c r="I8" s="15"/>
      <c r="J8" s="15" t="s">
        <v>48</v>
      </c>
      <c r="K8" s="15">
        <f>(K5-L5)/SQRT((K6*K6/(K4-1))+L6*L6/(L4-1))</f>
        <v>6.9498879585480298</v>
      </c>
      <c r="L8" s="15"/>
      <c r="M8" s="15"/>
    </row>
    <row r="9" spans="2:13" x14ac:dyDescent="0.3"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2:13" x14ac:dyDescent="0.3">
      <c r="B10" t="s">
        <v>56</v>
      </c>
      <c r="C10" s="15">
        <f>(C7/C4+D7/D4)*(C7/C4+D7/D4)</f>
        <v>1119765920.6891832</v>
      </c>
      <c r="D10" s="15"/>
      <c r="E10" s="15"/>
      <c r="F10" s="15" t="s">
        <v>56</v>
      </c>
      <c r="G10" s="15">
        <f>(G7/G4+H7/H4)*(G7/G4+H7/H4)</f>
        <v>53857002287344.898</v>
      </c>
      <c r="H10" s="15"/>
      <c r="I10" s="15"/>
      <c r="J10" s="15" t="s">
        <v>56</v>
      </c>
      <c r="K10" s="15">
        <f>(K7/K4+L7/L4)*(K7/K4+L7/L4)</f>
        <v>33074736606161.199</v>
      </c>
      <c r="L10" s="15"/>
      <c r="M10" s="15"/>
    </row>
    <row r="11" spans="2:13" x14ac:dyDescent="0.3">
      <c r="B11" t="s">
        <v>57</v>
      </c>
      <c r="C11" s="15">
        <f>(C7/C4)*(C7/C4)/C3</f>
        <v>218816130.63493258</v>
      </c>
      <c r="D11" s="15">
        <f>(D7/D4)*(D7/D4)/D3</f>
        <v>13546.04773810919</v>
      </c>
      <c r="E11" s="15"/>
      <c r="F11" s="15" t="s">
        <v>57</v>
      </c>
      <c r="G11" s="15">
        <f>(G7/G4)*(G7/G4)/G3</f>
        <v>10616917565022.15</v>
      </c>
      <c r="H11" s="15">
        <f>(H7/H4)*(H7/H4)/H3</f>
        <v>253592928.74280289</v>
      </c>
      <c r="I11" s="15"/>
      <c r="J11" s="15" t="s">
        <v>57</v>
      </c>
      <c r="K11" s="15">
        <f>(K7/K4)*(K7/K4)/K3</f>
        <v>6518216828902.5762</v>
      </c>
      <c r="L11" s="15">
        <f>(L7/L4)*(L7/L4)/L3</f>
        <v>161923781.46372914</v>
      </c>
      <c r="M11" s="15"/>
    </row>
    <row r="12" spans="2:13" x14ac:dyDescent="0.3"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2:13" x14ac:dyDescent="0.3">
      <c r="B13" t="s">
        <v>58</v>
      </c>
      <c r="C13" s="15">
        <f>C10/(C11+D11)</f>
        <v>5.1170661021127328</v>
      </c>
      <c r="D13" s="15"/>
      <c r="E13" s="15"/>
      <c r="F13" s="15" t="s">
        <v>58</v>
      </c>
      <c r="G13" s="15">
        <f>G10/(G11+H11)</f>
        <v>5.0726320114951662</v>
      </c>
      <c r="H13" s="15"/>
      <c r="I13" s="15"/>
      <c r="J13" s="15" t="s">
        <v>58</v>
      </c>
      <c r="K13" s="15">
        <f>K10/(K11+L11)</f>
        <v>5.074074069804885</v>
      </c>
      <c r="L13" s="15"/>
      <c r="M13" s="15"/>
    </row>
    <row r="14" spans="2:13" x14ac:dyDescent="0.3"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2:13" x14ac:dyDescent="0.3">
      <c r="B15" t="s">
        <v>62</v>
      </c>
      <c r="C15" s="15">
        <v>2.0150000000000001</v>
      </c>
      <c r="D15" s="15"/>
      <c r="E15" s="15"/>
      <c r="F15" s="15"/>
      <c r="G15" s="15">
        <v>2.0150000000000001</v>
      </c>
      <c r="H15" s="15"/>
      <c r="I15" s="15"/>
      <c r="J15" s="15">
        <v>2.0150000000000001</v>
      </c>
      <c r="K15" s="15"/>
      <c r="L15" s="15"/>
      <c r="M15" s="15"/>
    </row>
    <row r="16" spans="2:13" x14ac:dyDescent="0.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x14ac:dyDescent="0.3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3" x14ac:dyDescent="0.3">
      <c r="B18" t="s">
        <v>63</v>
      </c>
      <c r="C18" s="15">
        <f>_xlfn.T.DIST.RT(C8,C13)</f>
        <v>2.6100236051291594E-4</v>
      </c>
      <c r="D18" s="15"/>
      <c r="E18" s="15"/>
      <c r="F18" s="15"/>
      <c r="G18" s="15">
        <f>_xlfn.T.DIST.RT(G8,G13)</f>
        <v>3.9917090866916239E-4</v>
      </c>
      <c r="H18" s="15"/>
      <c r="I18" s="15"/>
      <c r="J18" s="15"/>
      <c r="K18" s="15">
        <f>_xlfn.T.DIST.RT(K8,K13)</f>
        <v>4.7377346116758858E-4</v>
      </c>
      <c r="L18" s="15"/>
      <c r="M18" s="15"/>
    </row>
    <row r="19" spans="2:13" x14ac:dyDescent="0.3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303C-F660-4205-86FB-A8B556F05E97}">
  <dimension ref="A3:W10"/>
  <sheetViews>
    <sheetView tabSelected="1" topLeftCell="G1" workbookViewId="0">
      <selection activeCell="U14" sqref="U14"/>
    </sheetView>
  </sheetViews>
  <sheetFormatPr defaultRowHeight="14.4" x14ac:dyDescent="0.3"/>
  <cols>
    <col min="1" max="1" width="14" bestFit="1" customWidth="1"/>
    <col min="2" max="2" width="10" customWidth="1"/>
    <col min="3" max="3" width="7.88671875" customWidth="1"/>
    <col min="6" max="6" width="8.21875" customWidth="1"/>
    <col min="7" max="7" width="9.44140625" customWidth="1"/>
    <col min="8" max="8" width="7.44140625" customWidth="1"/>
    <col min="9" max="9" width="8.5546875" customWidth="1"/>
    <col min="10" max="10" width="10.5546875" customWidth="1"/>
    <col min="11" max="11" width="10.44140625" customWidth="1"/>
    <col min="12" max="12" width="7.88671875" customWidth="1"/>
    <col min="13" max="13" width="7.5546875" customWidth="1"/>
    <col min="15" max="15" width="14.6640625" bestFit="1" customWidth="1"/>
    <col min="16" max="16" width="7.33203125" customWidth="1"/>
    <col min="17" max="17" width="6.88671875" customWidth="1"/>
  </cols>
  <sheetData>
    <row r="3" spans="1:23" s="35" customFormat="1" x14ac:dyDescent="0.3">
      <c r="A3" s="34" t="s">
        <v>64</v>
      </c>
      <c r="B3" s="38" t="s">
        <v>65</v>
      </c>
      <c r="C3" s="39"/>
      <c r="D3" s="38" t="s">
        <v>72</v>
      </c>
      <c r="E3" s="39"/>
      <c r="F3" s="38" t="s">
        <v>73</v>
      </c>
      <c r="G3" s="39"/>
      <c r="H3" s="38" t="s">
        <v>74</v>
      </c>
      <c r="I3" s="39"/>
      <c r="J3" s="38" t="s">
        <v>69</v>
      </c>
      <c r="K3" s="39"/>
      <c r="L3" s="38" t="s">
        <v>70</v>
      </c>
      <c r="M3" s="39"/>
      <c r="N3"/>
      <c r="O3" s="34" t="s">
        <v>64</v>
      </c>
      <c r="P3" s="38" t="s">
        <v>65</v>
      </c>
      <c r="Q3" s="39"/>
      <c r="R3" s="38" t="s">
        <v>73</v>
      </c>
      <c r="S3" s="39"/>
      <c r="T3" s="38" t="s">
        <v>76</v>
      </c>
      <c r="U3" s="39"/>
      <c r="V3" s="38" t="s">
        <v>75</v>
      </c>
      <c r="W3" s="39"/>
    </row>
    <row r="4" spans="1:23" x14ac:dyDescent="0.3">
      <c r="A4" s="20"/>
      <c r="B4" s="22" t="s">
        <v>36</v>
      </c>
      <c r="C4" s="23" t="s">
        <v>37</v>
      </c>
      <c r="D4" s="22" t="s">
        <v>36</v>
      </c>
      <c r="E4" s="23" t="s">
        <v>37</v>
      </c>
      <c r="F4" s="22" t="s">
        <v>36</v>
      </c>
      <c r="G4" s="23" t="s">
        <v>37</v>
      </c>
      <c r="H4" s="22" t="s">
        <v>36</v>
      </c>
      <c r="I4" s="23" t="s">
        <v>37</v>
      </c>
      <c r="J4" s="22" t="s">
        <v>36</v>
      </c>
      <c r="K4" s="23" t="s">
        <v>37</v>
      </c>
      <c r="L4" s="22" t="s">
        <v>36</v>
      </c>
      <c r="M4" s="23" t="s">
        <v>37</v>
      </c>
      <c r="O4" s="20"/>
      <c r="P4" s="22" t="s">
        <v>36</v>
      </c>
      <c r="Q4" s="23" t="s">
        <v>37</v>
      </c>
      <c r="R4" s="22" t="s">
        <v>36</v>
      </c>
      <c r="S4" s="23" t="s">
        <v>37</v>
      </c>
      <c r="T4" s="22" t="s">
        <v>36</v>
      </c>
      <c r="U4" s="23" t="s">
        <v>37</v>
      </c>
      <c r="V4" s="22" t="s">
        <v>36</v>
      </c>
      <c r="W4" s="23" t="s">
        <v>37</v>
      </c>
    </row>
    <row r="5" spans="1:23" x14ac:dyDescent="0.3">
      <c r="A5" s="20">
        <v>2</v>
      </c>
      <c r="B5" s="22">
        <v>2</v>
      </c>
      <c r="C5" s="23">
        <v>2</v>
      </c>
      <c r="D5" s="26">
        <v>0.43204342265427675</v>
      </c>
      <c r="E5" s="27">
        <v>0.17</v>
      </c>
      <c r="F5" s="26">
        <v>5.4244489586392914</v>
      </c>
      <c r="G5" s="27">
        <v>2.06</v>
      </c>
      <c r="H5" s="26">
        <v>4.5571131360834674</v>
      </c>
      <c r="I5" s="27">
        <v>1.9</v>
      </c>
      <c r="J5" s="22">
        <v>11</v>
      </c>
      <c r="K5" s="23">
        <v>3</v>
      </c>
      <c r="L5" s="26">
        <v>18.759777823317599</v>
      </c>
      <c r="M5" s="31">
        <v>4.4680855969538698</v>
      </c>
      <c r="O5" s="20">
        <v>2</v>
      </c>
      <c r="P5" s="22">
        <v>2</v>
      </c>
      <c r="Q5" s="23">
        <v>2</v>
      </c>
      <c r="R5" s="26">
        <v>5.4244489586392914</v>
      </c>
      <c r="S5" s="27">
        <v>2.06</v>
      </c>
      <c r="T5" s="26">
        <v>18.759777823317599</v>
      </c>
      <c r="U5" s="31">
        <v>4.4680855969538698</v>
      </c>
      <c r="V5" s="22">
        <v>11</v>
      </c>
      <c r="W5" s="23">
        <v>3</v>
      </c>
    </row>
    <row r="6" spans="1:23" x14ac:dyDescent="0.3">
      <c r="A6" s="20">
        <v>3</v>
      </c>
      <c r="B6" s="22">
        <v>3</v>
      </c>
      <c r="C6" s="23">
        <v>3</v>
      </c>
      <c r="D6" s="28">
        <v>0.52550754337771888</v>
      </c>
      <c r="E6" s="27">
        <v>0.17</v>
      </c>
      <c r="F6" s="28">
        <v>6.489519113562876</v>
      </c>
      <c r="G6" s="27">
        <v>2.0699999999999998</v>
      </c>
      <c r="H6" s="28">
        <v>5.4303052855149039</v>
      </c>
      <c r="I6" s="27">
        <v>1.91</v>
      </c>
      <c r="J6" s="22">
        <v>7</v>
      </c>
      <c r="K6" s="23">
        <v>3</v>
      </c>
      <c r="L6" s="26">
        <v>8.56</v>
      </c>
      <c r="M6" s="31">
        <v>2.70920754167014</v>
      </c>
      <c r="O6" s="20">
        <v>3</v>
      </c>
      <c r="P6" s="22">
        <v>3</v>
      </c>
      <c r="Q6" s="23">
        <v>3</v>
      </c>
      <c r="R6" s="28">
        <v>6.489519113562876</v>
      </c>
      <c r="S6" s="27">
        <v>2.0699999999999998</v>
      </c>
      <c r="T6" s="26">
        <v>8.56</v>
      </c>
      <c r="U6" s="31">
        <v>2.70920754167014</v>
      </c>
      <c r="V6" s="22">
        <v>7</v>
      </c>
      <c r="W6" s="23">
        <v>3</v>
      </c>
    </row>
    <row r="7" spans="1:23" x14ac:dyDescent="0.3">
      <c r="A7" s="20">
        <v>4</v>
      </c>
      <c r="B7" s="22">
        <v>4</v>
      </c>
      <c r="C7" s="23">
        <v>4</v>
      </c>
      <c r="D7" s="28">
        <v>0.43839510092852668</v>
      </c>
      <c r="E7" s="27">
        <v>0.16725607814932469</v>
      </c>
      <c r="F7" s="28">
        <v>5.63</v>
      </c>
      <c r="G7" s="27">
        <v>2.0699999999999998</v>
      </c>
      <c r="H7" s="28">
        <v>4.8492429748343531</v>
      </c>
      <c r="I7" s="27">
        <v>1.9133782177215672</v>
      </c>
      <c r="J7" s="22">
        <v>1</v>
      </c>
      <c r="K7" s="23">
        <v>2</v>
      </c>
      <c r="L7" s="26">
        <v>3.37</v>
      </c>
      <c r="M7" s="31">
        <v>2.35</v>
      </c>
      <c r="O7" s="20">
        <v>4</v>
      </c>
      <c r="P7" s="22">
        <v>4</v>
      </c>
      <c r="Q7" s="23">
        <v>4</v>
      </c>
      <c r="R7" s="28">
        <v>5.63</v>
      </c>
      <c r="S7" s="27">
        <v>2.0699999999999998</v>
      </c>
      <c r="T7" s="26">
        <v>3.37</v>
      </c>
      <c r="U7" s="31">
        <v>2.35</v>
      </c>
      <c r="V7" s="22">
        <v>1</v>
      </c>
      <c r="W7" s="23">
        <v>2</v>
      </c>
    </row>
    <row r="8" spans="1:23" x14ac:dyDescent="0.3">
      <c r="A8" s="20">
        <v>6</v>
      </c>
      <c r="B8" s="22">
        <v>6</v>
      </c>
      <c r="C8" s="23">
        <v>6</v>
      </c>
      <c r="D8" s="28">
        <v>0.39605197632658595</v>
      </c>
      <c r="E8" s="27">
        <v>0.16489760577248552</v>
      </c>
      <c r="F8" s="28">
        <v>5.08</v>
      </c>
      <c r="G8" s="27">
        <v>2.0499999999999998</v>
      </c>
      <c r="H8" s="28">
        <v>4.4372277405697869</v>
      </c>
      <c r="I8" s="27">
        <v>1.9035392774842284</v>
      </c>
      <c r="J8" s="22">
        <v>0</v>
      </c>
      <c r="K8" s="23">
        <v>0</v>
      </c>
      <c r="L8" s="26">
        <v>1.76</v>
      </c>
      <c r="M8" s="31">
        <v>2.1</v>
      </c>
      <c r="O8" s="20">
        <v>6</v>
      </c>
      <c r="P8" s="22">
        <v>6</v>
      </c>
      <c r="Q8" s="23">
        <v>6</v>
      </c>
      <c r="R8" s="28">
        <v>5.08</v>
      </c>
      <c r="S8" s="27">
        <v>2.0499999999999998</v>
      </c>
      <c r="T8" s="26">
        <v>1.76</v>
      </c>
      <c r="U8" s="31">
        <v>2.1</v>
      </c>
      <c r="V8" s="22">
        <v>0</v>
      </c>
      <c r="W8" s="23">
        <v>0</v>
      </c>
    </row>
    <row r="9" spans="1:23" x14ac:dyDescent="0.3">
      <c r="A9" s="20">
        <v>8</v>
      </c>
      <c r="B9" s="22">
        <v>6</v>
      </c>
      <c r="C9" s="23">
        <v>8</v>
      </c>
      <c r="D9" s="28">
        <v>0.32724050324848997</v>
      </c>
      <c r="E9" s="27">
        <v>0.16470766208777138</v>
      </c>
      <c r="F9" s="28">
        <v>4.33</v>
      </c>
      <c r="G9" s="27">
        <v>2.0499999999999998</v>
      </c>
      <c r="H9" s="28">
        <v>3.8694178990163319</v>
      </c>
      <c r="I9" s="27">
        <v>1.9021565574093791</v>
      </c>
      <c r="J9" s="22">
        <v>0</v>
      </c>
      <c r="K9" s="23">
        <v>0</v>
      </c>
      <c r="L9" s="26">
        <v>1.8</v>
      </c>
      <c r="M9" s="31">
        <v>2.04</v>
      </c>
      <c r="O9" s="20">
        <v>8</v>
      </c>
      <c r="P9" s="22">
        <v>6</v>
      </c>
      <c r="Q9" s="23">
        <v>8</v>
      </c>
      <c r="R9" s="28">
        <v>4.33</v>
      </c>
      <c r="S9" s="27">
        <v>2.0499999999999998</v>
      </c>
      <c r="T9" s="26">
        <v>1.8</v>
      </c>
      <c r="U9" s="31">
        <v>2.04</v>
      </c>
      <c r="V9" s="22">
        <v>0</v>
      </c>
      <c r="W9" s="23">
        <v>0</v>
      </c>
    </row>
    <row r="10" spans="1:23" x14ac:dyDescent="0.3">
      <c r="A10" s="21">
        <v>12</v>
      </c>
      <c r="B10" s="24">
        <v>6</v>
      </c>
      <c r="C10" s="25">
        <v>12</v>
      </c>
      <c r="D10" s="29">
        <v>0.35566038194264532</v>
      </c>
      <c r="E10" s="30">
        <v>0.16215572297484196</v>
      </c>
      <c r="F10" s="29">
        <v>4.72</v>
      </c>
      <c r="G10" s="30">
        <v>2.0099999999999998</v>
      </c>
      <c r="H10" s="29">
        <v>4.1059511057532374</v>
      </c>
      <c r="I10" s="30">
        <v>1.8791240398010789</v>
      </c>
      <c r="J10" s="24">
        <v>0</v>
      </c>
      <c r="K10" s="25">
        <v>0</v>
      </c>
      <c r="L10" s="32">
        <v>1.77</v>
      </c>
      <c r="M10" s="33">
        <v>1.87</v>
      </c>
      <c r="O10" s="21"/>
      <c r="P10" s="24"/>
      <c r="Q10" s="25"/>
      <c r="R10" s="29"/>
      <c r="S10" s="30"/>
      <c r="T10" s="32"/>
      <c r="U10" s="33"/>
      <c r="V10" s="24"/>
      <c r="W10" s="25"/>
    </row>
  </sheetData>
  <mergeCells count="10">
    <mergeCell ref="T3:U3"/>
    <mergeCell ref="P3:Q3"/>
    <mergeCell ref="R3:S3"/>
    <mergeCell ref="V3:W3"/>
    <mergeCell ref="L3:M3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 1 (12 trucks) - Base</vt:lpstr>
      <vt:lpstr>Scenario 2 (2 trucks)</vt:lpstr>
      <vt:lpstr>Scenario 3 (3 trucks)</vt:lpstr>
      <vt:lpstr>Scenario 4 (4 trucks)</vt:lpstr>
      <vt:lpstr>Scenario 5(5 trucks)</vt:lpstr>
      <vt:lpstr>Scenario 6 (6 trucks)</vt:lpstr>
      <vt:lpstr>Scenario 7 (8 trucks)</vt:lpstr>
      <vt:lpstr>6 trucks with 2.4 pup cap</vt:lpstr>
      <vt:lpstr>Sheet1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Magbiti Monzambe</dc:creator>
  <cp:lastModifiedBy>Magbiti Monzambe</cp:lastModifiedBy>
  <dcterms:created xsi:type="dcterms:W3CDTF">2026-02-26T09:01:53Z</dcterms:created>
  <dcterms:modified xsi:type="dcterms:W3CDTF">2026-03-09T12:55:39Z</dcterms:modified>
</cp:coreProperties>
</file>