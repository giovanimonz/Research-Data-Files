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ovani Monzambe\Dropbox\My Dropbox Move\Documents\PhD RESEARCH\Dissertation and Notes\"/>
    </mc:Choice>
  </mc:AlternateContent>
  <bookViews>
    <workbookView xWindow="-108" yWindow="-108" windowWidth="15468" windowHeight="7224" tabRatio="704" firstSheet="5" activeTab="11"/>
  </bookViews>
  <sheets>
    <sheet name="Sheet1" sheetId="1" r:id="rId1"/>
    <sheet name="pups" sheetId="7" r:id="rId2"/>
    <sheet name="Sheet3" sheetId="12" r:id="rId3"/>
    <sheet name="Clusters" sheetId="2" r:id="rId4"/>
    <sheet name="optimalRoutes" sheetId="9" r:id="rId5"/>
    <sheet name="pupsBackup" sheetId="8" r:id="rId6"/>
    <sheet name="Case study app data" sheetId="13" r:id="rId7"/>
    <sheet name="Case study app data 2" sheetId="17" r:id="rId8"/>
    <sheet name="col requests" sheetId="14" r:id="rId9"/>
    <sheet name="Sheet4" sheetId="16" r:id="rId10"/>
    <sheet name="optimalRoutes rawdata (2)" sheetId="18" r:id="rId11"/>
    <sheet name="optimalRoutes rawdata" sheetId="15" r:id="rId12"/>
    <sheet name="pupsOriginalBackup" sheetId="10" r:id="rId13"/>
    <sheet name="Sheet2" sheetId="3" r:id="rId14"/>
    <sheet name="Landfills" sheetId="4" r:id="rId15"/>
    <sheet name="Contact Nos" sheetId="5" r:id="rId16"/>
    <sheet name="clusters_original" sheetId="6" r:id="rId17"/>
    <sheet name="Experiments" sheetId="11" r:id="rId18"/>
  </sheets>
  <externalReferences>
    <externalReference r:id="rId19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3" l="1"/>
  <c r="L5" i="13"/>
  <c r="L6" i="13"/>
  <c r="L7" i="13"/>
  <c r="L8" i="13"/>
  <c r="L9" i="13"/>
  <c r="L10" i="13"/>
  <c r="L11" i="13"/>
  <c r="L12" i="13"/>
  <c r="L3" i="13"/>
  <c r="F62" i="13"/>
  <c r="I38" i="13"/>
  <c r="J38" i="13"/>
  <c r="I35" i="13"/>
  <c r="I16" i="13"/>
  <c r="J14" i="13"/>
  <c r="I14" i="13"/>
  <c r="H14" i="13"/>
  <c r="F14" i="13"/>
  <c r="C56" i="17"/>
  <c r="D46" i="13" l="1"/>
  <c r="D47" i="13"/>
  <c r="D48" i="13"/>
  <c r="D49" i="13"/>
  <c r="D50" i="13"/>
  <c r="D51" i="13"/>
  <c r="D52" i="13"/>
  <c r="D45" i="13"/>
  <c r="G82" i="17"/>
  <c r="D82" i="17"/>
  <c r="G81" i="17"/>
  <c r="D81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M48" i="17"/>
  <c r="M49" i="17"/>
  <c r="K40" i="18"/>
  <c r="L40" i="18"/>
  <c r="K41" i="18"/>
  <c r="L41" i="18"/>
  <c r="K42" i="18"/>
  <c r="L42" i="18"/>
  <c r="K43" i="18"/>
  <c r="L43" i="18"/>
  <c r="K44" i="18"/>
  <c r="L44" i="18"/>
  <c r="K45" i="18"/>
  <c r="L45" i="18"/>
  <c r="K46" i="18"/>
  <c r="L46" i="18"/>
  <c r="K47" i="18"/>
  <c r="L47" i="18"/>
  <c r="K48" i="18"/>
  <c r="L48" i="18"/>
  <c r="L39" i="18"/>
  <c r="K39" i="18"/>
  <c r="G28" i="18"/>
  <c r="G29" i="18"/>
  <c r="G30" i="18"/>
  <c r="G31" i="18"/>
  <c r="G32" i="18"/>
  <c r="G33" i="18"/>
  <c r="G34" i="18"/>
  <c r="G35" i="18"/>
  <c r="G36" i="18"/>
  <c r="G27" i="18"/>
  <c r="D55" i="13" l="1"/>
  <c r="F55" i="13"/>
  <c r="F54" i="13"/>
  <c r="D54" i="13"/>
  <c r="D62" i="13" s="1"/>
  <c r="D63" i="17" l="1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62" i="17"/>
  <c r="M47" i="17" l="1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25" i="17"/>
  <c r="M24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3" i="17"/>
  <c r="M1" i="17"/>
  <c r="M54" i="17" l="1"/>
  <c r="M53" i="17"/>
  <c r="I51" i="17"/>
  <c r="I22" i="17"/>
  <c r="M40" i="18"/>
  <c r="M41" i="18"/>
  <c r="M42" i="18"/>
  <c r="M43" i="18"/>
  <c r="M44" i="18"/>
  <c r="M45" i="18"/>
  <c r="M46" i="18"/>
  <c r="M47" i="18"/>
  <c r="M48" i="18"/>
  <c r="M39" i="18"/>
  <c r="F40" i="18"/>
  <c r="F41" i="18"/>
  <c r="F42" i="18"/>
  <c r="F43" i="18"/>
  <c r="F44" i="18"/>
  <c r="F45" i="18"/>
  <c r="F46" i="18"/>
  <c r="F47" i="18"/>
  <c r="F48" i="18"/>
  <c r="F39" i="18"/>
  <c r="F28" i="18"/>
  <c r="F29" i="18"/>
  <c r="F30" i="18"/>
  <c r="F31" i="18"/>
  <c r="F32" i="18"/>
  <c r="F33" i="18"/>
  <c r="F34" i="18"/>
  <c r="F35" i="18"/>
  <c r="F36" i="18"/>
  <c r="F27" i="18"/>
  <c r="M28" i="18"/>
  <c r="M29" i="18"/>
  <c r="M30" i="18"/>
  <c r="M31" i="18"/>
  <c r="M32" i="18"/>
  <c r="M33" i="18"/>
  <c r="M34" i="18"/>
  <c r="M35" i="18"/>
  <c r="M36" i="18"/>
  <c r="M27" i="18"/>
  <c r="T28" i="18"/>
  <c r="T29" i="18"/>
  <c r="T30" i="18"/>
  <c r="T31" i="18"/>
  <c r="T32" i="18"/>
  <c r="T33" i="18"/>
  <c r="T34" i="18"/>
  <c r="T35" i="18"/>
  <c r="T36" i="18"/>
  <c r="T27" i="18"/>
  <c r="AA15" i="18"/>
  <c r="AA16" i="18"/>
  <c r="AA17" i="18"/>
  <c r="AA18" i="18"/>
  <c r="AA19" i="18"/>
  <c r="AA20" i="18"/>
  <c r="AA21" i="18"/>
  <c r="AA22" i="18"/>
  <c r="AA23" i="18"/>
  <c r="AA14" i="18"/>
  <c r="T15" i="18"/>
  <c r="T16" i="18"/>
  <c r="T17" i="18"/>
  <c r="T18" i="18"/>
  <c r="T19" i="18"/>
  <c r="T20" i="18"/>
  <c r="T21" i="18"/>
  <c r="T22" i="18"/>
  <c r="T23" i="18"/>
  <c r="T14" i="18"/>
  <c r="N40" i="18"/>
  <c r="N41" i="18"/>
  <c r="N42" i="18"/>
  <c r="N43" i="18"/>
  <c r="N44" i="18"/>
  <c r="N45" i="18"/>
  <c r="N46" i="18"/>
  <c r="N47" i="18"/>
  <c r="N48" i="18"/>
  <c r="N39" i="18"/>
  <c r="U28" i="18"/>
  <c r="U29" i="18"/>
  <c r="U30" i="18"/>
  <c r="U31" i="18"/>
  <c r="U32" i="18"/>
  <c r="U33" i="18"/>
  <c r="U34" i="18"/>
  <c r="U35" i="18"/>
  <c r="U36" i="18"/>
  <c r="U27" i="18"/>
  <c r="N28" i="18"/>
  <c r="N29" i="18"/>
  <c r="N30" i="18"/>
  <c r="N31" i="18"/>
  <c r="N32" i="18"/>
  <c r="N33" i="18"/>
  <c r="N34" i="18"/>
  <c r="N35" i="18"/>
  <c r="N36" i="18"/>
  <c r="N27" i="18"/>
  <c r="AB15" i="18"/>
  <c r="AB16" i="18"/>
  <c r="AB17" i="18"/>
  <c r="AB18" i="18"/>
  <c r="AB19" i="18"/>
  <c r="AB20" i="18"/>
  <c r="AB21" i="18"/>
  <c r="AB22" i="18"/>
  <c r="AB23" i="18"/>
  <c r="AB14" i="18"/>
  <c r="U15" i="18"/>
  <c r="U16" i="18"/>
  <c r="U17" i="18"/>
  <c r="U18" i="18"/>
  <c r="U19" i="18"/>
  <c r="U20" i="18"/>
  <c r="U21" i="18"/>
  <c r="U22" i="18"/>
  <c r="U23" i="18"/>
  <c r="U14" i="18"/>
  <c r="N23" i="18"/>
  <c r="N22" i="18"/>
  <c r="N21" i="18"/>
  <c r="N20" i="18"/>
  <c r="N19" i="18"/>
  <c r="N18" i="18"/>
  <c r="N17" i="18"/>
  <c r="N16" i="18"/>
  <c r="N15" i="18"/>
  <c r="N14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S36" i="18"/>
  <c r="R36" i="18"/>
  <c r="L36" i="18"/>
  <c r="K36" i="18"/>
  <c r="E36" i="18"/>
  <c r="D36" i="18"/>
  <c r="S35" i="18"/>
  <c r="R35" i="18"/>
  <c r="L35" i="18"/>
  <c r="K35" i="18"/>
  <c r="E35" i="18"/>
  <c r="D35" i="18"/>
  <c r="S34" i="18"/>
  <c r="R34" i="18"/>
  <c r="L34" i="18"/>
  <c r="K34" i="18"/>
  <c r="E34" i="18"/>
  <c r="D34" i="18"/>
  <c r="S33" i="18"/>
  <c r="R33" i="18"/>
  <c r="L33" i="18"/>
  <c r="K33" i="18"/>
  <c r="E33" i="18"/>
  <c r="D33" i="18"/>
  <c r="S32" i="18"/>
  <c r="R32" i="18"/>
  <c r="L32" i="18"/>
  <c r="K32" i="18"/>
  <c r="E32" i="18"/>
  <c r="D32" i="18"/>
  <c r="S31" i="18"/>
  <c r="R31" i="18"/>
  <c r="L31" i="18"/>
  <c r="K31" i="18"/>
  <c r="E31" i="18"/>
  <c r="D31" i="18"/>
  <c r="S30" i="18"/>
  <c r="R30" i="18"/>
  <c r="L30" i="18"/>
  <c r="K30" i="18"/>
  <c r="E30" i="18"/>
  <c r="D30" i="18"/>
  <c r="S29" i="18"/>
  <c r="R29" i="18"/>
  <c r="L29" i="18"/>
  <c r="K29" i="18"/>
  <c r="E29" i="18"/>
  <c r="D29" i="18"/>
  <c r="S28" i="18"/>
  <c r="R28" i="18"/>
  <c r="L28" i="18"/>
  <c r="K28" i="18"/>
  <c r="E28" i="18"/>
  <c r="D28" i="18"/>
  <c r="S27" i="18"/>
  <c r="R27" i="18"/>
  <c r="L27" i="18"/>
  <c r="K27" i="18"/>
  <c r="E27" i="18"/>
  <c r="D27" i="18"/>
  <c r="Z23" i="18"/>
  <c r="Y23" i="18"/>
  <c r="S23" i="18"/>
  <c r="R23" i="18"/>
  <c r="M23" i="18"/>
  <c r="L23" i="18"/>
  <c r="K23" i="18"/>
  <c r="Z22" i="18"/>
  <c r="Y22" i="18"/>
  <c r="S22" i="18"/>
  <c r="R22" i="18"/>
  <c r="M22" i="18"/>
  <c r="L22" i="18"/>
  <c r="K22" i="18"/>
  <c r="Z21" i="18"/>
  <c r="Y21" i="18"/>
  <c r="S21" i="18"/>
  <c r="R21" i="18"/>
  <c r="M21" i="18"/>
  <c r="L21" i="18"/>
  <c r="K21" i="18"/>
  <c r="Z20" i="18"/>
  <c r="Y20" i="18"/>
  <c r="S20" i="18"/>
  <c r="R20" i="18"/>
  <c r="M20" i="18"/>
  <c r="L20" i="18"/>
  <c r="K20" i="18"/>
  <c r="Z19" i="18"/>
  <c r="Y19" i="18"/>
  <c r="S19" i="18"/>
  <c r="R19" i="18"/>
  <c r="M19" i="18"/>
  <c r="L19" i="18"/>
  <c r="K19" i="18"/>
  <c r="Z18" i="18"/>
  <c r="Y18" i="18"/>
  <c r="S18" i="18"/>
  <c r="R18" i="18"/>
  <c r="M18" i="18"/>
  <c r="L18" i="18"/>
  <c r="K18" i="18"/>
  <c r="Z17" i="18"/>
  <c r="Y17" i="18"/>
  <c r="S17" i="18"/>
  <c r="R17" i="18"/>
  <c r="M17" i="18"/>
  <c r="L17" i="18"/>
  <c r="K17" i="18"/>
  <c r="Z16" i="18"/>
  <c r="Y16" i="18"/>
  <c r="S16" i="18"/>
  <c r="R16" i="18"/>
  <c r="M16" i="18"/>
  <c r="L16" i="18"/>
  <c r="K16" i="18"/>
  <c r="Z15" i="18"/>
  <c r="Y15" i="18"/>
  <c r="S15" i="18"/>
  <c r="R15" i="18"/>
  <c r="M15" i="18"/>
  <c r="L15" i="18"/>
  <c r="K15" i="18"/>
  <c r="Z14" i="18"/>
  <c r="Y14" i="18"/>
  <c r="S14" i="18"/>
  <c r="R14" i="18"/>
  <c r="M14" i="18"/>
  <c r="L14" i="18"/>
  <c r="K14" i="18"/>
  <c r="F23" i="18"/>
  <c r="E23" i="18"/>
  <c r="D23" i="18"/>
  <c r="F22" i="18"/>
  <c r="E22" i="18"/>
  <c r="D22" i="18"/>
  <c r="F21" i="18"/>
  <c r="E21" i="18"/>
  <c r="D21" i="18"/>
  <c r="F20" i="18"/>
  <c r="E20" i="18"/>
  <c r="D20" i="18"/>
  <c r="F19" i="18"/>
  <c r="E19" i="18"/>
  <c r="D19" i="18"/>
  <c r="F18" i="18"/>
  <c r="E18" i="18"/>
  <c r="D18" i="18"/>
  <c r="F17" i="18"/>
  <c r="E17" i="18"/>
  <c r="D17" i="18"/>
  <c r="F16" i="18"/>
  <c r="E16" i="18"/>
  <c r="D16" i="18"/>
  <c r="F15" i="18"/>
  <c r="E15" i="18"/>
  <c r="D15" i="18"/>
  <c r="F14" i="18"/>
  <c r="E14" i="18"/>
  <c r="D14" i="18"/>
  <c r="J25" i="17" l="1"/>
  <c r="I25" i="17"/>
  <c r="J24" i="17"/>
  <c r="I24" i="17"/>
  <c r="J22" i="17"/>
  <c r="H25" i="17"/>
  <c r="H24" i="17"/>
  <c r="H22" i="17"/>
  <c r="F25" i="17"/>
  <c r="F24" i="17"/>
  <c r="F22" i="17"/>
  <c r="J53" i="17" l="1"/>
  <c r="F54" i="17"/>
  <c r="I53" i="17"/>
  <c r="F53" i="17"/>
  <c r="H51" i="17"/>
  <c r="F51" i="17"/>
  <c r="J51" i="17"/>
  <c r="C58" i="17" s="1"/>
  <c r="I54" i="17"/>
  <c r="J54" i="17"/>
  <c r="F37" i="13" l="1"/>
  <c r="J37" i="13"/>
  <c r="F17" i="13"/>
  <c r="F16" i="13"/>
  <c r="J17" i="13"/>
  <c r="I17" i="13"/>
  <c r="F38" i="13" l="1"/>
  <c r="I37" i="13"/>
  <c r="J16" i="13"/>
  <c r="M5" i="13"/>
  <c r="M27" i="13"/>
  <c r="S18" i="15" l="1"/>
  <c r="S19" i="15"/>
  <c r="S20" i="15"/>
  <c r="S21" i="15"/>
  <c r="S22" i="15"/>
  <c r="S23" i="15"/>
  <c r="S24" i="15"/>
  <c r="S25" i="15"/>
  <c r="S26" i="15"/>
  <c r="S27" i="15"/>
  <c r="S28" i="15"/>
  <c r="S29" i="15"/>
  <c r="S30" i="15"/>
  <c r="S17" i="15"/>
  <c r="J35" i="13"/>
  <c r="C40" i="13"/>
  <c r="H35" i="13"/>
  <c r="F35" i="13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49" i="15"/>
  <c r="AA34" i="15"/>
  <c r="AA35" i="15"/>
  <c r="AA36" i="15"/>
  <c r="AA37" i="15"/>
  <c r="AA38" i="15"/>
  <c r="AA39" i="15"/>
  <c r="AA40" i="15"/>
  <c r="AA41" i="15"/>
  <c r="AA42" i="15"/>
  <c r="AA43" i="15"/>
  <c r="AA44" i="15"/>
  <c r="AA45" i="15"/>
  <c r="AA46" i="15"/>
  <c r="AA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33" i="15"/>
  <c r="F34" i="15"/>
  <c r="F35" i="15"/>
  <c r="F36" i="15"/>
  <c r="F37" i="15"/>
  <c r="F38" i="15"/>
  <c r="F39" i="15"/>
  <c r="F40" i="15"/>
  <c r="F41" i="15"/>
  <c r="F42" i="15"/>
  <c r="F43" i="15"/>
  <c r="F33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17" i="15"/>
  <c r="K50" i="15"/>
  <c r="L50" i="15"/>
  <c r="K51" i="15"/>
  <c r="L51" i="15"/>
  <c r="K52" i="15"/>
  <c r="L52" i="15"/>
  <c r="K53" i="15"/>
  <c r="L53" i="15"/>
  <c r="K54" i="15"/>
  <c r="L54" i="15"/>
  <c r="K55" i="15"/>
  <c r="L55" i="15"/>
  <c r="K56" i="15"/>
  <c r="L56" i="15"/>
  <c r="K57" i="15"/>
  <c r="L57" i="15"/>
  <c r="K58" i="15"/>
  <c r="L58" i="15"/>
  <c r="K59" i="15"/>
  <c r="L59" i="15"/>
  <c r="K60" i="15"/>
  <c r="L60" i="15"/>
  <c r="K61" i="15"/>
  <c r="L61" i="15"/>
  <c r="K62" i="15"/>
  <c r="L62" i="15"/>
  <c r="L49" i="15"/>
  <c r="K49" i="15"/>
  <c r="D50" i="15"/>
  <c r="E50" i="15"/>
  <c r="D51" i="15"/>
  <c r="E51" i="15"/>
  <c r="D52" i="15"/>
  <c r="E52" i="15"/>
  <c r="D53" i="15"/>
  <c r="E53" i="15"/>
  <c r="D54" i="15"/>
  <c r="E54" i="15"/>
  <c r="D55" i="15"/>
  <c r="E55" i="15"/>
  <c r="D56" i="15"/>
  <c r="E56" i="15"/>
  <c r="D57" i="15"/>
  <c r="E57" i="15"/>
  <c r="D58" i="15"/>
  <c r="E58" i="15"/>
  <c r="D59" i="15"/>
  <c r="E59" i="15"/>
  <c r="D60" i="15"/>
  <c r="E60" i="15"/>
  <c r="D61" i="15"/>
  <c r="E61" i="15"/>
  <c r="D62" i="15"/>
  <c r="E62" i="15"/>
  <c r="E49" i="15"/>
  <c r="D49" i="15"/>
  <c r="Y34" i="15"/>
  <c r="Z34" i="15"/>
  <c r="Y35" i="15"/>
  <c r="Z35" i="15"/>
  <c r="Y36" i="15"/>
  <c r="Z36" i="15"/>
  <c r="Y37" i="15"/>
  <c r="Z37" i="15"/>
  <c r="Y38" i="15"/>
  <c r="Z38" i="15"/>
  <c r="Y39" i="15"/>
  <c r="Z39" i="15"/>
  <c r="Y40" i="15"/>
  <c r="Z40" i="15"/>
  <c r="Y41" i="15"/>
  <c r="Z41" i="15"/>
  <c r="Y42" i="15"/>
  <c r="Z42" i="15"/>
  <c r="Y43" i="15"/>
  <c r="Z43" i="15"/>
  <c r="Y44" i="15"/>
  <c r="Z44" i="15"/>
  <c r="Y45" i="15"/>
  <c r="Z45" i="15"/>
  <c r="Y46" i="15"/>
  <c r="Z46" i="15"/>
  <c r="Z33" i="15"/>
  <c r="Y33" i="15"/>
  <c r="R34" i="15"/>
  <c r="S34" i="15"/>
  <c r="R35" i="15"/>
  <c r="S35" i="15"/>
  <c r="R36" i="15"/>
  <c r="S36" i="15"/>
  <c r="R37" i="15"/>
  <c r="S37" i="15"/>
  <c r="R38" i="15"/>
  <c r="S38" i="15"/>
  <c r="R39" i="15"/>
  <c r="S39" i="15"/>
  <c r="R40" i="15"/>
  <c r="S40" i="15"/>
  <c r="R41" i="15"/>
  <c r="S41" i="15"/>
  <c r="R42" i="15"/>
  <c r="S42" i="15"/>
  <c r="R43" i="15"/>
  <c r="S43" i="15"/>
  <c r="R44" i="15"/>
  <c r="S44" i="15"/>
  <c r="R45" i="15"/>
  <c r="S45" i="15"/>
  <c r="R46" i="15"/>
  <c r="S46" i="15"/>
  <c r="S33" i="15"/>
  <c r="R33" i="15"/>
  <c r="K34" i="15"/>
  <c r="L34" i="15"/>
  <c r="K35" i="15"/>
  <c r="L35" i="15"/>
  <c r="K36" i="15"/>
  <c r="L36" i="15"/>
  <c r="K37" i="15"/>
  <c r="L37" i="15"/>
  <c r="K38" i="15"/>
  <c r="L38" i="15"/>
  <c r="K39" i="15"/>
  <c r="L39" i="15"/>
  <c r="K40" i="15"/>
  <c r="L40" i="15"/>
  <c r="K41" i="15"/>
  <c r="L41" i="15"/>
  <c r="K42" i="15"/>
  <c r="L42" i="15"/>
  <c r="K43" i="15"/>
  <c r="L43" i="15"/>
  <c r="K44" i="15"/>
  <c r="L44" i="15"/>
  <c r="K45" i="15"/>
  <c r="L45" i="15"/>
  <c r="K46" i="15"/>
  <c r="L46" i="15"/>
  <c r="L33" i="15"/>
  <c r="K33" i="15"/>
  <c r="E34" i="15"/>
  <c r="E35" i="15"/>
  <c r="E36" i="15"/>
  <c r="E37" i="15"/>
  <c r="E38" i="15"/>
  <c r="E39" i="15"/>
  <c r="E40" i="15"/>
  <c r="E41" i="15"/>
  <c r="E42" i="15"/>
  <c r="E43" i="15"/>
  <c r="E33" i="15"/>
  <c r="D34" i="15"/>
  <c r="D35" i="15"/>
  <c r="D36" i="15"/>
  <c r="D37" i="15"/>
  <c r="D38" i="15"/>
  <c r="D39" i="15"/>
  <c r="D40" i="15"/>
  <c r="D41" i="15"/>
  <c r="D42" i="15"/>
  <c r="D43" i="15"/>
  <c r="D33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17" i="15"/>
  <c r="Y18" i="15"/>
  <c r="Z18" i="15"/>
  <c r="Y19" i="15"/>
  <c r="Z19" i="15"/>
  <c r="Y20" i="15"/>
  <c r="Z20" i="15"/>
  <c r="Y21" i="15"/>
  <c r="Z21" i="15"/>
  <c r="Y22" i="15"/>
  <c r="Z22" i="15"/>
  <c r="Y23" i="15"/>
  <c r="Z23" i="15"/>
  <c r="Y24" i="15"/>
  <c r="Z24" i="15"/>
  <c r="Y25" i="15"/>
  <c r="Z25" i="15"/>
  <c r="Y26" i="15"/>
  <c r="Z26" i="15"/>
  <c r="Y27" i="15"/>
  <c r="Z27" i="15"/>
  <c r="Y28" i="15"/>
  <c r="Z28" i="15"/>
  <c r="Y29" i="15"/>
  <c r="Z29" i="15"/>
  <c r="Y30" i="15"/>
  <c r="Z30" i="15"/>
  <c r="Z17" i="15"/>
  <c r="Y17" i="15"/>
  <c r="K18" i="15"/>
  <c r="L18" i="15"/>
  <c r="K19" i="15"/>
  <c r="L19" i="15"/>
  <c r="K20" i="15"/>
  <c r="L20" i="15"/>
  <c r="K21" i="15"/>
  <c r="L21" i="15"/>
  <c r="K22" i="15"/>
  <c r="L22" i="15"/>
  <c r="K23" i="15"/>
  <c r="L23" i="15"/>
  <c r="K24" i="15"/>
  <c r="L24" i="15"/>
  <c r="K25" i="15"/>
  <c r="L25" i="15"/>
  <c r="K26" i="15"/>
  <c r="L26" i="15"/>
  <c r="K27" i="15"/>
  <c r="L27" i="15"/>
  <c r="K28" i="15"/>
  <c r="L28" i="15"/>
  <c r="K29" i="15"/>
  <c r="L29" i="15"/>
  <c r="K30" i="15"/>
  <c r="L30" i="15"/>
  <c r="L17" i="15"/>
  <c r="K17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C42" i="13" l="1"/>
  <c r="L741" i="8" l="1"/>
  <c r="L555" i="8"/>
  <c r="L408" i="8"/>
  <c r="L274" i="8"/>
  <c r="L187" i="8"/>
  <c r="L108" i="8"/>
  <c r="L49" i="8"/>
  <c r="M33" i="8"/>
  <c r="K12" i="6" l="1"/>
  <c r="K11" i="6"/>
  <c r="K10" i="6"/>
  <c r="K9" i="6"/>
  <c r="K8" i="6"/>
  <c r="K7" i="6"/>
  <c r="K6" i="6"/>
  <c r="K5" i="6"/>
  <c r="K4" i="6"/>
  <c r="K3" i="6"/>
  <c r="K2" i="6"/>
  <c r="K12" i="2" l="1"/>
  <c r="K11" i="2"/>
  <c r="K10" i="2"/>
  <c r="K9" i="2"/>
  <c r="K8" i="2"/>
  <c r="K7" i="2"/>
  <c r="K6" i="2"/>
  <c r="K5" i="2"/>
  <c r="K4" i="2"/>
  <c r="K3" i="2"/>
  <c r="K2" i="2"/>
  <c r="C10" i="3" l="1"/>
  <c r="E3" i="3"/>
  <c r="E4" i="3"/>
  <c r="E5" i="3"/>
  <c r="E6" i="3"/>
  <c r="E7" i="3"/>
  <c r="E8" i="3"/>
  <c r="E2" i="3"/>
  <c r="E10" i="3" s="1"/>
  <c r="C12" i="3" s="1"/>
</calcChain>
</file>

<file path=xl/comments1.xml><?xml version="1.0" encoding="utf-8"?>
<comments xmlns="http://schemas.openxmlformats.org/spreadsheetml/2006/main">
  <authors>
    <author>tc={D3D1BFDC-DD59-4440-A097-CA3C4ED5F1A0}</author>
    <author>tc={99883CB7-7F9B-453A-9E2B-7524EAEBA76B}</author>
    <author>tc={5C79C63F-2C06-4EA9-818A-B9ECFAE3A25B}</author>
  </authors>
  <commentList>
    <comment ref="D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B/4 bcoz on avg 4 households share 1 dustbin</t>
        </r>
      </text>
    </comment>
    <comment ref="E1" authorId="1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c/10 bcoz 1 pup is used for 10 bins on avg.</t>
        </r>
      </text>
    </comment>
    <comment ref="L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  <comment ref="M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  <comment ref="N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</commentList>
</comments>
</file>

<file path=xl/comments2.xml><?xml version="1.0" encoding="utf-8"?>
<comments xmlns="http://schemas.openxmlformats.org/spreadsheetml/2006/main">
  <authors>
    <author>Giovani Monzambe</author>
  </authors>
  <commentList>
    <comment ref="H25" authorId="0" shapeId="0">
      <text>
        <r>
          <rPr>
            <b/>
            <sz val="9"/>
            <color indexed="81"/>
            <rFont val="Tahoma"/>
            <family val="2"/>
          </rPr>
          <t>Giovani Monzambe:</t>
        </r>
        <r>
          <rPr>
            <sz val="9"/>
            <color indexed="81"/>
            <rFont val="Tahoma"/>
            <family val="2"/>
          </rPr>
          <t xml:space="preserve">
The depot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Giovani Monzambe:</t>
        </r>
        <r>
          <rPr>
            <sz val="9"/>
            <color indexed="81"/>
            <rFont val="Tahoma"/>
            <family val="2"/>
          </rPr>
          <t xml:space="preserve">
landfill</t>
        </r>
      </text>
    </comment>
  </commentList>
</comments>
</file>

<file path=xl/comments3.xml><?xml version="1.0" encoding="utf-8"?>
<comments xmlns="http://schemas.openxmlformats.org/spreadsheetml/2006/main">
  <authors>
    <author>tc={0719133A-1A97-484F-AFB0-78516BA142F2}</author>
  </authors>
  <commentList>
    <comment ref="D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</t>
        </r>
      </text>
    </comment>
  </commentList>
</comments>
</file>

<file path=xl/comments4.xml><?xml version="1.0" encoding="utf-8"?>
<comments xmlns="http://schemas.openxmlformats.org/spreadsheetml/2006/main">
  <authors>
    <author>tc={D3D1BFDC-DD59-4440-A097-CA3C4ED5F1A0}</author>
    <author>tc={99883CB7-7F9B-453A-9E2B-7524EAEBA76B}</author>
    <author>tc={5C79C63F-2C06-4EA9-818A-B9ECFAE3A25B}</author>
  </authors>
  <commentList>
    <comment ref="D1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B/4 bcoz on avg 4 households share 1 dustbin</t>
        </r>
      </text>
    </comment>
    <comment ref="E1" authorId="1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c/10 bcoz 1 pup is used for 10 bins on avg.</t>
        </r>
      </text>
    </comment>
    <comment ref="L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  <comment ref="M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  <comment ref="N1" authorId="2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kg/capita/day</t>
        </r>
      </text>
    </comment>
  </commentList>
</comments>
</file>

<file path=xl/sharedStrings.xml><?xml version="1.0" encoding="utf-8"?>
<sst xmlns="http://schemas.openxmlformats.org/spreadsheetml/2006/main" count="4631" uniqueCount="259">
  <si>
    <t>Western Cape</t>
  </si>
  <si>
    <t>Cape Winelands</t>
  </si>
  <si>
    <t>Witzenberg</t>
  </si>
  <si>
    <t>Drakenstein</t>
  </si>
  <si>
    <t>Stellenbosch</t>
  </si>
  <si>
    <t>Breede Valley</t>
  </si>
  <si>
    <t>Langeberg</t>
  </si>
  <si>
    <t>GDP per capita data</t>
  </si>
  <si>
    <t>Annandale</t>
  </si>
  <si>
    <t>Arbeidslus</t>
  </si>
  <si>
    <t>Brandwacht</t>
  </si>
  <si>
    <t>Cloetesville</t>
  </si>
  <si>
    <t>Coetzenburg</t>
  </si>
  <si>
    <t>Dalsig</t>
  </si>
  <si>
    <t>Dennesig</t>
  </si>
  <si>
    <t>De Zalze</t>
  </si>
  <si>
    <t>De Novo</t>
  </si>
  <si>
    <t>Devon Valley</t>
  </si>
  <si>
    <r>
      <t>Die Boord, previously </t>
    </r>
    <r>
      <rPr>
        <i/>
        <sz val="8"/>
        <color rgb="FF202122"/>
        <rFont val="Arial"/>
        <family val="2"/>
      </rPr>
      <t>Rhodes Fruit Farms</t>
    </r>
  </si>
  <si>
    <t>Die Rant</t>
  </si>
  <si>
    <t>Ida's Valley</t>
  </si>
  <si>
    <t>Jamestown</t>
  </si>
  <si>
    <t>Jonkershoek</t>
  </si>
  <si>
    <t>Karindal</t>
  </si>
  <si>
    <t>Kayamandi</t>
  </si>
  <si>
    <t>Klapmuts</t>
  </si>
  <si>
    <t>Koelenhof</t>
  </si>
  <si>
    <t>Krigeville</t>
  </si>
  <si>
    <t>Kylemore</t>
  </si>
  <si>
    <t>Welbedaght</t>
  </si>
  <si>
    <t>La Colline</t>
  </si>
  <si>
    <t>Lanquedoc</t>
  </si>
  <si>
    <t>Meerlust</t>
  </si>
  <si>
    <t>Mostertsdrift</t>
  </si>
  <si>
    <r>
      <t>Onderpapegaaiberg, also known as </t>
    </r>
    <r>
      <rPr>
        <i/>
        <sz val="8"/>
        <color rgb="FF202122"/>
        <rFont val="Arial"/>
        <family val="2"/>
      </rPr>
      <t>Voëltjiesdorp</t>
    </r>
  </si>
  <si>
    <t>Paradyskloof</t>
  </si>
  <si>
    <t>Plankenberg</t>
  </si>
  <si>
    <t>Pniel</t>
  </si>
  <si>
    <t>Raithby</t>
  </si>
  <si>
    <t>Rozendal</t>
  </si>
  <si>
    <t>Simondium</t>
  </si>
  <si>
    <t>Simonsrust</t>
  </si>
  <si>
    <t>Simonswyk</t>
  </si>
  <si>
    <t>Techno Park</t>
  </si>
  <si>
    <t>Tennantville</t>
  </si>
  <si>
    <t>Town central</t>
  </si>
  <si>
    <t>Uniepark</t>
  </si>
  <si>
    <t>Universiteitsoord</t>
  </si>
  <si>
    <t>Vlottenburg</t>
  </si>
  <si>
    <t>Weides</t>
  </si>
  <si>
    <t>Welgevonden</t>
  </si>
  <si>
    <t>Idas Valley</t>
  </si>
  <si>
    <t>Die Boord</t>
  </si>
  <si>
    <t>avg household size</t>
  </si>
  <si>
    <t>max long</t>
  </si>
  <si>
    <t>min long</t>
  </si>
  <si>
    <t>max lat</t>
  </si>
  <si>
    <t>min lat</t>
  </si>
  <si>
    <t>no of bins</t>
  </si>
  <si>
    <t>no of PUP</t>
  </si>
  <si>
    <t>no of households</t>
  </si>
  <si>
    <t>cluster name</t>
  </si>
  <si>
    <t>tot population</t>
  </si>
  <si>
    <t>Waste fraction</t>
  </si>
  <si>
    <t xml:space="preserve">Hard plastics  </t>
  </si>
  <si>
    <t>Plastic wrap and packaging</t>
  </si>
  <si>
    <t xml:space="preserve">Metal   </t>
  </si>
  <si>
    <t xml:space="preserve">Glass   </t>
  </si>
  <si>
    <t xml:space="preserve">Paper and cardboard </t>
  </si>
  <si>
    <t xml:space="preserve">Organic waste  </t>
  </si>
  <si>
    <t xml:space="preserve">Other   </t>
  </si>
  <si>
    <t>Average uncompacted density
density (kg/m3)</t>
  </si>
  <si>
    <t>% Contribution to waste stream by volume</t>
  </si>
  <si>
    <t>% Contribution to waste stream by mass</t>
  </si>
  <si>
    <t>x.f</t>
  </si>
  <si>
    <t>Total</t>
  </si>
  <si>
    <t>To find the mean of frequency distribution:</t>
  </si>
  <si>
    <t>kg/m3</t>
  </si>
  <si>
    <t>Landfill_name</t>
  </si>
  <si>
    <t>lat</t>
  </si>
  <si>
    <t>long</t>
  </si>
  <si>
    <t>daily_capacity</t>
  </si>
  <si>
    <t>lf1</t>
  </si>
  <si>
    <t>lf2</t>
  </si>
  <si>
    <t>lf3</t>
  </si>
  <si>
    <t>lf4</t>
  </si>
  <si>
    <t>lf5</t>
  </si>
  <si>
    <t>schedule</t>
  </si>
  <si>
    <t>Monday</t>
  </si>
  <si>
    <t>Tuesday</t>
  </si>
  <si>
    <t>Thursday</t>
  </si>
  <si>
    <t>Friday</t>
  </si>
  <si>
    <t>Wednesday</t>
  </si>
  <si>
    <t>schedule_code</t>
  </si>
  <si>
    <t>Stellenbosch contact details</t>
  </si>
  <si>
    <t>ID</t>
  </si>
  <si>
    <t>Amire Ibrahim</t>
  </si>
  <si>
    <t>Clayton Hendrik</t>
  </si>
  <si>
    <t>Name</t>
  </si>
  <si>
    <t>Tel No</t>
  </si>
  <si>
    <t>Role</t>
  </si>
  <si>
    <t>Waste management senior manager</t>
  </si>
  <si>
    <t>waste gen rate min</t>
  </si>
  <si>
    <t>waste gen rate max</t>
  </si>
  <si>
    <t>waste gen rate mode</t>
  </si>
  <si>
    <t>Kayamandi1</t>
  </si>
  <si>
    <t>Kayamandi2</t>
  </si>
  <si>
    <t>cluster id</t>
  </si>
  <si>
    <t>PUP ID</t>
  </si>
  <si>
    <t>Cluster Name</t>
  </si>
  <si>
    <t>Latitude</t>
  </si>
  <si>
    <t>longitude</t>
  </si>
  <si>
    <t>waste gen rate mod</t>
  </si>
  <si>
    <t>Distance to depot</t>
  </si>
  <si>
    <t>Distance to lf</t>
  </si>
  <si>
    <t>cluster_id</t>
  </si>
  <si>
    <t>pupID</t>
  </si>
  <si>
    <t>clusterID</t>
  </si>
  <si>
    <t>latitude</t>
  </si>
  <si>
    <t>wasteQty</t>
  </si>
  <si>
    <t>assignedTruckID</t>
  </si>
  <si>
    <t>Optimal schedule structure</t>
  </si>
  <si>
    <t>Total Travel Time</t>
  </si>
  <si>
    <t>Total Travel Distance</t>
  </si>
  <si>
    <t>Total CO2 emission</t>
  </si>
  <si>
    <t>System KPI (Outputs)</t>
  </si>
  <si>
    <t>Decision (Independent) Variables or Factors</t>
  </si>
  <si>
    <t>Factor</t>
  </si>
  <si>
    <t>Type</t>
  </si>
  <si>
    <t>Decision or Noise</t>
  </si>
  <si>
    <t>Decision</t>
  </si>
  <si>
    <t>system used</t>
  </si>
  <si>
    <t>Measurement Levels</t>
  </si>
  <si>
    <t>Fleet size</t>
  </si>
  <si>
    <t>Quantitative, Discrete</t>
  </si>
  <si>
    <t>Qualitative</t>
  </si>
  <si>
    <t>Truck capacity</t>
  </si>
  <si>
    <t>Waste Gen Rate</t>
  </si>
  <si>
    <t>Noise</t>
  </si>
  <si>
    <t>Truck CO2 emission rate</t>
  </si>
  <si>
    <t>for simplicity, assumed that all factors have 3 measurement levels.</t>
  </si>
  <si>
    <t>3, 6, 12</t>
  </si>
  <si>
    <t>15, 21, 25</t>
  </si>
  <si>
    <t>2, 3, 4</t>
  </si>
  <si>
    <t>0.04, 0.1, 0.2</t>
  </si>
  <si>
    <t>0.2, 0.35 &amp; 0.5</t>
  </si>
  <si>
    <t>total No of sim point (run)</t>
  </si>
  <si>
    <t>3^6</t>
  </si>
  <si>
    <t>conventional, smart</t>
  </si>
  <si>
    <t>PUP Bin Capacity</t>
  </si>
  <si>
    <t>Quantitative, Continuous</t>
  </si>
  <si>
    <t>cluster_name</t>
  </si>
  <si>
    <t>AssignedTruck_ID</t>
  </si>
  <si>
    <t>PUPs from 10 clusters for validation</t>
  </si>
  <si>
    <t>PUPs from the optimization model for validation</t>
  </si>
  <si>
    <t>Unipark</t>
  </si>
  <si>
    <t>Cluster</t>
  </si>
  <si>
    <t>Cum collection requests received</t>
  </si>
  <si>
    <t>Completed collection requests</t>
  </si>
  <si>
    <t>Avg collection requests queue length</t>
  </si>
  <si>
    <t>Total travel time (hrs)</t>
  </si>
  <si>
    <t>Avg filling level at disposal (m3)</t>
  </si>
  <si>
    <t>Total Waste Disposed</t>
  </si>
  <si>
    <t>Total Distance Travelled</t>
  </si>
  <si>
    <t>CO2 emission</t>
  </si>
  <si>
    <t>Simonwyk</t>
  </si>
  <si>
    <t>Truck ID</t>
  </si>
  <si>
    <t>PUP_ID</t>
  </si>
  <si>
    <t>Waste_qty</t>
  </si>
  <si>
    <t>Idas Valey</t>
  </si>
  <si>
    <t>Truck</t>
  </si>
  <si>
    <t>Route</t>
  </si>
  <si>
    <t>SMART SYSTEM WITH NEAREST DESTINATION RULE</t>
  </si>
  <si>
    <t>SMART SYSTEM WITH OPTIMAL SOLUTION</t>
  </si>
  <si>
    <t>PUP1</t>
  </si>
  <si>
    <t>PUP2</t>
  </si>
  <si>
    <t>PUP3</t>
  </si>
  <si>
    <t>PUP4</t>
  </si>
  <si>
    <t>PUP5</t>
  </si>
  <si>
    <t>PUP6</t>
  </si>
  <si>
    <t>PUP7</t>
  </si>
  <si>
    <t>PUP8</t>
  </si>
  <si>
    <t>PUP9</t>
  </si>
  <si>
    <t>PUP10</t>
  </si>
  <si>
    <t>PUP11</t>
  </si>
  <si>
    <t>PUP12</t>
  </si>
  <si>
    <t>PUP13</t>
  </si>
  <si>
    <t>PUP14</t>
  </si>
  <si>
    <t>LF</t>
  </si>
  <si>
    <t>computation time</t>
  </si>
  <si>
    <t>change in distance</t>
  </si>
  <si>
    <t>Change in Co2</t>
  </si>
  <si>
    <t>Avg</t>
  </si>
  <si>
    <t>Std Dev</t>
  </si>
  <si>
    <t>Khayamandi</t>
  </si>
  <si>
    <t>First sampling</t>
  </si>
  <si>
    <t>Uniepark 2</t>
  </si>
  <si>
    <t>Uniepark 1</t>
  </si>
  <si>
    <t>Simonwyk 2</t>
  </si>
  <si>
    <t>Simonwyk 2 2</t>
  </si>
  <si>
    <t>Welgevonden 2</t>
  </si>
  <si>
    <t>Die Boord 2</t>
  </si>
  <si>
    <t>Idas Valley 2</t>
  </si>
  <si>
    <t>Cloetesville 2</t>
  </si>
  <si>
    <t>Khayamandi 2</t>
  </si>
  <si>
    <t>Brandwacht 2</t>
  </si>
  <si>
    <t>Simonwyk 1</t>
  </si>
  <si>
    <t>Brandwacht 1</t>
  </si>
  <si>
    <t>Paradyskloof 1</t>
  </si>
  <si>
    <t>Welgevonden 1</t>
  </si>
  <si>
    <t>Die Boord 1</t>
  </si>
  <si>
    <t>Cloetesville 1</t>
  </si>
  <si>
    <t>Khayamandi 1</t>
  </si>
  <si>
    <t>Idas Valley 1</t>
  </si>
  <si>
    <t>Paradyskloof 2</t>
  </si>
  <si>
    <t>Second</t>
  </si>
  <si>
    <t>sampling</t>
  </si>
  <si>
    <t>ID in OM input</t>
  </si>
  <si>
    <t>Depot</t>
  </si>
  <si>
    <t>Pup1</t>
  </si>
  <si>
    <t>Pup2</t>
  </si>
  <si>
    <t>Pup3</t>
  </si>
  <si>
    <t>Pup4</t>
  </si>
  <si>
    <t>Pup5</t>
  </si>
  <si>
    <t>Pup6</t>
  </si>
  <si>
    <t>Pup7</t>
  </si>
  <si>
    <t>Pup8</t>
  </si>
  <si>
    <t>Pup9</t>
  </si>
  <si>
    <t>Pup10</t>
  </si>
  <si>
    <t>CO2 / km</t>
  </si>
  <si>
    <t>CO2 / m3</t>
  </si>
  <si>
    <t>km / m3</t>
  </si>
  <si>
    <t>NNH</t>
  </si>
  <si>
    <t>C-VRP</t>
  </si>
  <si>
    <t>change</t>
  </si>
  <si>
    <t>3,"[0, 10, 7, 9, 6, 3, 2, 4, 11, 5, 8, 1]"</t>
  </si>
  <si>
    <t>2,"[0, 5, 7, 4, 9, 2, 10, 3, 6, 8, 11, 1]"</t>
  </si>
  <si>
    <t>0,"[0, 2, 8, 6, 4, 5, 10, 9, 11, 3, 7, 1]"</t>
  </si>
  <si>
    <t>0,"[0, 3, 10, 2, 6, 8, 7, 5, 9, 11, 4, 1]"</t>
  </si>
  <si>
    <t>0,"[0, 2, 10, 4, 11, 8, 5, 9, 6, 7, 3, 1]"</t>
  </si>
  <si>
    <t>Travel Distance</t>
  </si>
  <si>
    <t>CO2 emissions</t>
  </si>
  <si>
    <t>AVG</t>
  </si>
  <si>
    <t>STD DEV</t>
  </si>
  <si>
    <t>Let</t>
  </si>
  <si>
    <t>the mean (u) be the average change in travel distance</t>
  </si>
  <si>
    <t>Ho: u &gt;= 0</t>
  </si>
  <si>
    <t>Ha: u &lt; 0</t>
  </si>
  <si>
    <t>The claim</t>
  </si>
  <si>
    <t>CVRP</t>
  </si>
  <si>
    <t>n</t>
  </si>
  <si>
    <t>df</t>
  </si>
  <si>
    <t>critical val (t0)</t>
  </si>
  <si>
    <t>test stat (t)</t>
  </si>
  <si>
    <t>because t &lt; t0 &gt;&gt; reject H0</t>
  </si>
  <si>
    <t>Conmclusion: at 5% level of significance, there is enough evidence to conclude the the change in travel distance between NNH and CVRP approach is less than 0</t>
  </si>
  <si>
    <t>Interpretation: we are 95% confident that the CVRP can reduce the total travel distance.</t>
  </si>
  <si>
    <t>CVRP Distance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</si>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</sst>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%"/>
  </numFmts>
  <fonts count="13">
    <font>
      <sz val="11"/>
      <color theme="1"/>
      <name val="Aptos Narrow"/>
      <family val="2"/>
      <scheme val="minor"/>
    </font>
    <font>
      <sz val="8"/>
      <color rgb="FF202122"/>
      <name val="Arial"/>
      <family val="2"/>
    </font>
    <font>
      <i/>
      <sz val="8"/>
      <color rgb="FF202122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33">
    <xf numFmtId="0" fontId="0" fillId="0" borderId="0" xfId="0"/>
    <xf numFmtId="3" fontId="0" fillId="0" borderId="0" xfId="0" applyNumberFormat="1" applyAlignment="1">
      <alignment horizontal="left" indent="3"/>
    </xf>
    <xf numFmtId="0" fontId="1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1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1" fontId="0" fillId="2" borderId="2" xfId="0" applyNumberFormat="1" applyFont="1" applyFill="1" applyBorder="1"/>
    <xf numFmtId="164" fontId="0" fillId="2" borderId="2" xfId="0" applyNumberFormat="1" applyFont="1" applyFill="1" applyBorder="1"/>
    <xf numFmtId="165" fontId="0" fillId="2" borderId="2" xfId="0" applyNumberFormat="1" applyFont="1" applyFill="1" applyBorder="1"/>
    <xf numFmtId="0" fontId="0" fillId="0" borderId="1" xfId="0" applyFont="1" applyBorder="1"/>
    <xf numFmtId="0" fontId="0" fillId="0" borderId="2" xfId="0" applyFont="1" applyBorder="1"/>
    <xf numFmtId="164" fontId="0" fillId="0" borderId="2" xfId="0" applyNumberFormat="1" applyFont="1" applyBorder="1"/>
    <xf numFmtId="165" fontId="0" fillId="0" borderId="2" xfId="0" applyNumberFormat="1" applyFont="1" applyBorder="1"/>
    <xf numFmtId="1" fontId="0" fillId="0" borderId="2" xfId="0" applyNumberFormat="1" applyFont="1" applyBorder="1"/>
    <xf numFmtId="0" fontId="7" fillId="0" borderId="0" xfId="0" applyFont="1"/>
    <xf numFmtId="0" fontId="11" fillId="0" borderId="0" xfId="0" applyFont="1"/>
    <xf numFmtId="0" fontId="12" fillId="0" borderId="0" xfId="0" applyFont="1"/>
    <xf numFmtId="166" fontId="0" fillId="0" borderId="0" xfId="2" applyNumberFormat="1" applyFont="1"/>
    <xf numFmtId="2" fontId="0" fillId="0" borderId="0" xfId="0" applyNumberFormat="1"/>
    <xf numFmtId="2" fontId="6" fillId="0" borderId="0" xfId="0" applyNumberFormat="1" applyFont="1"/>
    <xf numFmtId="165" fontId="0" fillId="0" borderId="0" xfId="0" applyNumberFormat="1"/>
    <xf numFmtId="0" fontId="0" fillId="3" borderId="0" xfId="0" applyFill="1"/>
    <xf numFmtId="0" fontId="6" fillId="3" borderId="0" xfId="0" applyFont="1" applyFill="1"/>
    <xf numFmtId="2" fontId="6" fillId="3" borderId="0" xfId="0" applyNumberFormat="1" applyFont="1" applyFill="1"/>
    <xf numFmtId="2" fontId="0" fillId="3" borderId="0" xfId="0" applyNumberFormat="1" applyFill="1"/>
    <xf numFmtId="0" fontId="0" fillId="4" borderId="0" xfId="0" applyFill="1"/>
    <xf numFmtId="0" fontId="0" fillId="0" borderId="0" xfId="0" applyAlignment="1">
      <alignment horizontal="right"/>
    </xf>
    <xf numFmtId="1" fontId="6" fillId="0" borderId="0" xfId="0" applyNumberFormat="1" applyFont="1"/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Western Cape</c:v>
                </c:pt>
                <c:pt idx="1">
                  <c:v>Cape Winelands</c:v>
                </c:pt>
                <c:pt idx="2">
                  <c:v>Witzenberg</c:v>
                </c:pt>
                <c:pt idx="3">
                  <c:v>Drakenstein</c:v>
                </c:pt>
                <c:pt idx="4">
                  <c:v>Stellenbosch</c:v>
                </c:pt>
                <c:pt idx="5">
                  <c:v>Breede Valley</c:v>
                </c:pt>
                <c:pt idx="6">
                  <c:v>Langeberg</c:v>
                </c:pt>
              </c:strCache>
            </c:strRef>
          </c:cat>
          <c:val>
            <c:numRef>
              <c:f>Sheet1!$B$4:$B$10</c:f>
              <c:numCache>
                <c:formatCode>#,##0</c:formatCode>
                <c:ptCount val="7"/>
                <c:pt idx="1">
                  <c:v>72719</c:v>
                </c:pt>
                <c:pt idx="2">
                  <c:v>63728</c:v>
                </c:pt>
                <c:pt idx="3">
                  <c:v>78750</c:v>
                </c:pt>
                <c:pt idx="4">
                  <c:v>92980</c:v>
                </c:pt>
                <c:pt idx="5">
                  <c:v>62510</c:v>
                </c:pt>
                <c:pt idx="6">
                  <c:v>55714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6-43C2-8A0E-4C1D8DF69D4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Western Cape</c:v>
                </c:pt>
                <c:pt idx="1">
                  <c:v>Cape Winelands</c:v>
                </c:pt>
                <c:pt idx="2">
                  <c:v>Witzenberg</c:v>
                </c:pt>
                <c:pt idx="3">
                  <c:v>Drakenstein</c:v>
                </c:pt>
                <c:pt idx="4">
                  <c:v>Stellenbosch</c:v>
                </c:pt>
                <c:pt idx="5">
                  <c:v>Breede Valley</c:v>
                </c:pt>
                <c:pt idx="6">
                  <c:v>Langeberg</c:v>
                </c:pt>
              </c:strCache>
            </c:strRef>
          </c:cat>
          <c:val>
            <c:numRef>
              <c:f>Sheet1!$C$4:$C$10</c:f>
              <c:numCache>
                <c:formatCode>#,##0</c:formatCode>
                <c:ptCount val="7"/>
                <c:pt idx="0">
                  <c:v>87361</c:v>
                </c:pt>
                <c:pt idx="1">
                  <c:v>71908</c:v>
                </c:pt>
                <c:pt idx="2">
                  <c:v>65315</c:v>
                </c:pt>
                <c:pt idx="3">
                  <c:v>76861</c:v>
                </c:pt>
                <c:pt idx="4">
                  <c:v>90569</c:v>
                </c:pt>
                <c:pt idx="5">
                  <c:v>62237</c:v>
                </c:pt>
                <c:pt idx="6">
                  <c:v>56009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6-43C2-8A0E-4C1D8DF69D46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Western Cape</c:v>
                </c:pt>
                <c:pt idx="1">
                  <c:v>Cape Winelands</c:v>
                </c:pt>
                <c:pt idx="2">
                  <c:v>Witzenberg</c:v>
                </c:pt>
                <c:pt idx="3">
                  <c:v>Drakenstein</c:v>
                </c:pt>
                <c:pt idx="4">
                  <c:v>Stellenbosch</c:v>
                </c:pt>
                <c:pt idx="5">
                  <c:v>Breede Valley</c:v>
                </c:pt>
                <c:pt idx="6">
                  <c:v>Langeberg</c:v>
                </c:pt>
              </c:strCache>
            </c:strRef>
          </c:cat>
          <c:val>
            <c:numRef>
              <c:f>Sheet1!$D$4:$D$10</c:f>
              <c:numCache>
                <c:formatCode>#,##0</c:formatCode>
                <c:ptCount val="7"/>
                <c:pt idx="0">
                  <c:v>81650</c:v>
                </c:pt>
                <c:pt idx="1">
                  <c:v>67798</c:v>
                </c:pt>
                <c:pt idx="2">
                  <c:v>63733</c:v>
                </c:pt>
                <c:pt idx="3">
                  <c:v>71183</c:v>
                </c:pt>
                <c:pt idx="4">
                  <c:v>84325</c:v>
                </c:pt>
                <c:pt idx="5">
                  <c:v>58951</c:v>
                </c:pt>
                <c:pt idx="6">
                  <c:v>54374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F6-43C2-8A0E-4C1D8DF6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96384"/>
        <c:axId val="1533296816"/>
      </c:barChart>
      <c:catAx>
        <c:axId val="16724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96816"/>
        <c:crosses val="autoZero"/>
        <c:auto val="1"/>
        <c:lblAlgn val="ctr"/>
        <c:lblOffset val="100"/>
        <c:noMultiLvlLbl val="0"/>
      </c:catAx>
      <c:valAx>
        <c:axId val="15332968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96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11</xdr:row>
      <xdr:rowOff>133350</xdr:rowOff>
    </xdr:from>
    <xdr:to>
      <xdr:col>10</xdr:col>
      <xdr:colOff>342900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556260</xdr:colOff>
      <xdr:row>29</xdr:row>
      <xdr:rowOff>68580</xdr:rowOff>
    </xdr:from>
    <xdr:to>
      <xdr:col>10</xdr:col>
      <xdr:colOff>99522</xdr:colOff>
      <xdr:row>41</xdr:row>
      <xdr:rowOff>228889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7940" y="5372100"/>
          <a:ext cx="5326842" cy="3330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259080</xdr:colOff>
      <xdr:row>2</xdr:row>
      <xdr:rowOff>45720</xdr:rowOff>
    </xdr:from>
    <xdr:ext cx="946413" cy="252185"/>
    <xdr:sp macro="" textlink="">
      <xdr:nvSpPr>
        <xdr:cNvPr id="7" name="TextBox 6"/>
        <xdr:cNvSpPr txBox="1"/>
      </xdr:nvSpPr>
      <xdr:spPr>
        <a:xfrm>
          <a:off x="16047720" y="487680"/>
          <a:ext cx="946413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100"/>
            <a:t>Outlier 1</a:t>
          </a:r>
        </a:p>
      </xdr:txBody>
    </xdr:sp>
    <xdr:clientData/>
  </xdr:oneCellAnchor>
  <xdr:oneCellAnchor>
    <xdr:from>
      <xdr:col>17</xdr:col>
      <xdr:colOff>297180</xdr:colOff>
      <xdr:row>15</xdr:row>
      <xdr:rowOff>91440</xdr:rowOff>
    </xdr:from>
    <xdr:ext cx="946413" cy="252185"/>
    <xdr:sp macro="" textlink="">
      <xdr:nvSpPr>
        <xdr:cNvPr id="8" name="TextBox 7"/>
        <xdr:cNvSpPr txBox="1"/>
      </xdr:nvSpPr>
      <xdr:spPr>
        <a:xfrm>
          <a:off x="16085820" y="2811780"/>
          <a:ext cx="946413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100"/>
            <a:t>Outlier 2</a:t>
          </a:r>
        </a:p>
      </xdr:txBody>
    </xdr:sp>
    <xdr:clientData/>
  </xdr:oneCellAnchor>
  <xdr:oneCellAnchor>
    <xdr:from>
      <xdr:col>15</xdr:col>
      <xdr:colOff>464820</xdr:colOff>
      <xdr:row>17</xdr:row>
      <xdr:rowOff>91440</xdr:rowOff>
    </xdr:from>
    <xdr:ext cx="2215991" cy="252185"/>
    <xdr:sp macro="" textlink="">
      <xdr:nvSpPr>
        <xdr:cNvPr id="2" name="TextBox 1"/>
        <xdr:cNvSpPr txBox="1"/>
      </xdr:nvSpPr>
      <xdr:spPr>
        <a:xfrm>
          <a:off x="14912340" y="3162300"/>
          <a:ext cx="2215991" cy="25218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Total Distance Variation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1508760</xdr:colOff>
          <xdr:row>13</xdr:row>
          <xdr:rowOff>167640</xdr:rowOff>
        </xdr:from>
        <xdr:to>
          <xdr:col>2</xdr:col>
          <xdr:colOff>1181100</xdr:colOff>
          <xdr:row>18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P%20Dist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ps"/>
      <sheetName val="Uniepark"/>
      <sheetName val="Simonswyk"/>
      <sheetName val="Brandwacht"/>
      <sheetName val="Paradyskloof"/>
      <sheetName val="Jamestown"/>
      <sheetName val="Welgevonden"/>
      <sheetName val="Die Boord"/>
      <sheetName val="Idas Valley"/>
      <sheetName val="Cloetesville"/>
      <sheetName val="Kayamandi1"/>
      <sheetName val="Kayamandi2"/>
    </sheetNames>
    <sheetDataSet>
      <sheetData sheetId="0"/>
      <sheetData sheetId="1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Uniepark</v>
          </cell>
          <cell r="C2">
            <v>-33.930654513458599</v>
          </cell>
          <cell r="D2">
            <v>18.886916122156499</v>
          </cell>
        </row>
        <row r="3">
          <cell r="A3">
            <v>1</v>
          </cell>
          <cell r="B3" t="str">
            <v>Uniepark</v>
          </cell>
          <cell r="C3">
            <v>-33.929716461482101</v>
          </cell>
          <cell r="D3">
            <v>18.883510883195299</v>
          </cell>
        </row>
        <row r="4">
          <cell r="A4">
            <v>2</v>
          </cell>
          <cell r="B4" t="str">
            <v>Uniepark</v>
          </cell>
          <cell r="C4">
            <v>-33.9326657427507</v>
          </cell>
          <cell r="D4">
            <v>18.886876777424</v>
          </cell>
        </row>
        <row r="5">
          <cell r="A5">
            <v>3</v>
          </cell>
          <cell r="B5" t="str">
            <v>Uniepark</v>
          </cell>
          <cell r="C5">
            <v>-33.931232088037603</v>
          </cell>
          <cell r="D5">
            <v>18.883822168908001</v>
          </cell>
        </row>
        <row r="6">
          <cell r="A6">
            <v>4</v>
          </cell>
          <cell r="B6" t="str">
            <v>Uniepark</v>
          </cell>
          <cell r="C6">
            <v>-33.927951134337697</v>
          </cell>
          <cell r="D6">
            <v>18.882125687391401</v>
          </cell>
        </row>
        <row r="7">
          <cell r="A7">
            <v>5</v>
          </cell>
          <cell r="B7" t="str">
            <v>Uniepark</v>
          </cell>
          <cell r="C7">
            <v>-33.933051306022797</v>
          </cell>
          <cell r="D7">
            <v>18.887937387077301</v>
          </cell>
        </row>
        <row r="8">
          <cell r="A8">
            <v>6</v>
          </cell>
          <cell r="B8" t="str">
            <v>Uniepark</v>
          </cell>
          <cell r="C8">
            <v>-33.931363696359497</v>
          </cell>
          <cell r="D8">
            <v>18.886147679039698</v>
          </cell>
        </row>
        <row r="9">
          <cell r="A9">
            <v>7</v>
          </cell>
          <cell r="B9" t="str">
            <v>Uniepark</v>
          </cell>
          <cell r="C9">
            <v>-33.9305061101417</v>
          </cell>
          <cell r="D9">
            <v>18.891216355450101</v>
          </cell>
        </row>
        <row r="10">
          <cell r="A10">
            <v>8</v>
          </cell>
          <cell r="B10" t="str">
            <v>Uniepark</v>
          </cell>
          <cell r="C10">
            <v>-33.930482768375803</v>
          </cell>
          <cell r="D10">
            <v>18.8864136027582</v>
          </cell>
        </row>
        <row r="11">
          <cell r="A11">
            <v>9</v>
          </cell>
          <cell r="B11" t="str">
            <v>Uniepark</v>
          </cell>
          <cell r="C11">
            <v>-33.929094173734001</v>
          </cell>
          <cell r="D11">
            <v>18.890870329291001</v>
          </cell>
        </row>
        <row r="12">
          <cell r="A12">
            <v>10</v>
          </cell>
          <cell r="B12" t="str">
            <v>Uniepark</v>
          </cell>
          <cell r="C12">
            <v>-33.930209287480302</v>
          </cell>
          <cell r="D12">
            <v>18.887019397299699</v>
          </cell>
        </row>
        <row r="13">
          <cell r="A13">
            <v>11</v>
          </cell>
          <cell r="B13" t="str">
            <v>Uniepark</v>
          </cell>
          <cell r="C13">
            <v>-33.9292154791396</v>
          </cell>
          <cell r="D13">
            <v>18.8836994662305</v>
          </cell>
        </row>
        <row r="14">
          <cell r="A14">
            <v>12</v>
          </cell>
          <cell r="B14" t="str">
            <v>Uniepark</v>
          </cell>
          <cell r="C14">
            <v>-33.932354676737397</v>
          </cell>
          <cell r="D14">
            <v>18.891066105438</v>
          </cell>
        </row>
        <row r="15">
          <cell r="A15">
            <v>13</v>
          </cell>
          <cell r="B15" t="str">
            <v>Uniepark</v>
          </cell>
          <cell r="C15">
            <v>-33.932764765338099</v>
          </cell>
          <cell r="D15">
            <v>18.887795638178702</v>
          </cell>
        </row>
        <row r="22">
          <cell r="D22">
            <v>11</v>
          </cell>
        </row>
      </sheetData>
      <sheetData sheetId="2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Simonswyk</v>
          </cell>
          <cell r="C2">
            <v>-33.928018285186504</v>
          </cell>
          <cell r="D2">
            <v>18.878326864082201</v>
          </cell>
        </row>
        <row r="3">
          <cell r="A3">
            <v>1</v>
          </cell>
          <cell r="B3" t="str">
            <v>Simonswyk</v>
          </cell>
          <cell r="C3">
            <v>-33.927268041894997</v>
          </cell>
          <cell r="D3">
            <v>18.875581945684601</v>
          </cell>
        </row>
        <row r="4">
          <cell r="A4">
            <v>2</v>
          </cell>
          <cell r="B4" t="str">
            <v>Simonswyk</v>
          </cell>
          <cell r="C4">
            <v>-33.929626843477301</v>
          </cell>
          <cell r="D4">
            <v>18.8782951488101</v>
          </cell>
        </row>
        <row r="5">
          <cell r="A5">
            <v>3</v>
          </cell>
          <cell r="B5" t="str">
            <v>Simonswyk</v>
          </cell>
          <cell r="C5">
            <v>-33.928480222759298</v>
          </cell>
          <cell r="D5">
            <v>18.8758328690087</v>
          </cell>
        </row>
        <row r="6">
          <cell r="A6">
            <v>4</v>
          </cell>
          <cell r="B6" t="str">
            <v>Simonswyk</v>
          </cell>
          <cell r="C6">
            <v>-33.925856153342401</v>
          </cell>
          <cell r="D6">
            <v>18.874465357542199</v>
          </cell>
        </row>
        <row r="7">
          <cell r="A7">
            <v>5</v>
          </cell>
          <cell r="B7" t="str">
            <v>Simonswyk</v>
          </cell>
          <cell r="C7">
            <v>-33.929935212592902</v>
          </cell>
          <cell r="D7">
            <v>18.879150092320199</v>
          </cell>
        </row>
        <row r="8">
          <cell r="A8">
            <v>6</v>
          </cell>
          <cell r="B8" t="str">
            <v>Simonswyk</v>
          </cell>
          <cell r="C8">
            <v>-33.928585481596897</v>
          </cell>
          <cell r="D8">
            <v>18.877707432179498</v>
          </cell>
        </row>
        <row r="9">
          <cell r="A9">
            <v>7</v>
          </cell>
          <cell r="B9" t="str">
            <v>Simonswyk</v>
          </cell>
          <cell r="C9">
            <v>-33.927899593903099</v>
          </cell>
          <cell r="D9">
            <v>18.881793225654999</v>
          </cell>
        </row>
        <row r="10">
          <cell r="A10">
            <v>8</v>
          </cell>
          <cell r="B10" t="str">
            <v>Simonswyk</v>
          </cell>
          <cell r="C10">
            <v>-33.927880925424503</v>
          </cell>
          <cell r="D10">
            <v>18.877921789796002</v>
          </cell>
        </row>
        <row r="11">
          <cell r="A11">
            <v>9</v>
          </cell>
          <cell r="B11" t="str">
            <v>Simonswyk</v>
          </cell>
          <cell r="C11">
            <v>-33.926770343238601</v>
          </cell>
          <cell r="D11">
            <v>18.881514298513299</v>
          </cell>
        </row>
        <row r="12">
          <cell r="A12">
            <v>10</v>
          </cell>
          <cell r="B12" t="str">
            <v>Simonswyk</v>
          </cell>
          <cell r="C12">
            <v>-33.927662198517801</v>
          </cell>
          <cell r="D12">
            <v>18.8784101128185</v>
          </cell>
        </row>
        <row r="13">
          <cell r="A13">
            <v>11</v>
          </cell>
          <cell r="B13" t="str">
            <v>Simonswyk</v>
          </cell>
          <cell r="C13">
            <v>-33.926867361920898</v>
          </cell>
          <cell r="D13">
            <v>18.8757339599922</v>
          </cell>
        </row>
        <row r="14">
          <cell r="A14">
            <v>12</v>
          </cell>
          <cell r="B14" t="str">
            <v>Simonswyk</v>
          </cell>
          <cell r="C14">
            <v>-33.929378056421299</v>
          </cell>
          <cell r="D14">
            <v>18.881672111093899</v>
          </cell>
        </row>
        <row r="15">
          <cell r="A15">
            <v>13</v>
          </cell>
          <cell r="B15" t="str">
            <v>Simonswyk</v>
          </cell>
          <cell r="C15">
            <v>-33.9297060406154</v>
          </cell>
          <cell r="D15">
            <v>18.879035830394901</v>
          </cell>
        </row>
        <row r="19">
          <cell r="D19">
            <v>3</v>
          </cell>
        </row>
      </sheetData>
      <sheetData sheetId="3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Brandwacht</v>
          </cell>
          <cell r="C2">
            <v>-33.955665864907999</v>
          </cell>
          <cell r="D2">
            <v>18.8661798284563</v>
          </cell>
        </row>
        <row r="3">
          <cell r="A3">
            <v>1</v>
          </cell>
          <cell r="B3" t="str">
            <v>Brandwacht</v>
          </cell>
          <cell r="C3">
            <v>-33.954589435039097</v>
          </cell>
          <cell r="D3">
            <v>18.8593848239857</v>
          </cell>
        </row>
        <row r="4">
          <cell r="A4">
            <v>2</v>
          </cell>
          <cell r="B4" t="str">
            <v>Brandwacht</v>
          </cell>
          <cell r="C4">
            <v>-33.9579737831655</v>
          </cell>
          <cell r="D4">
            <v>18.866101317774302</v>
          </cell>
        </row>
        <row r="5">
          <cell r="A5">
            <v>3</v>
          </cell>
          <cell r="B5" t="str">
            <v>Brandwacht</v>
          </cell>
          <cell r="C5">
            <v>-33.956328641112101</v>
          </cell>
          <cell r="D5">
            <v>18.860005980924601</v>
          </cell>
        </row>
        <row r="6">
          <cell r="A6">
            <v>4</v>
          </cell>
          <cell r="B6" t="str">
            <v>Brandwacht</v>
          </cell>
          <cell r="C6">
            <v>-33.952563693487399</v>
          </cell>
          <cell r="D6">
            <v>18.856620726726501</v>
          </cell>
        </row>
        <row r="7">
          <cell r="A7">
            <v>5</v>
          </cell>
          <cell r="B7" t="str">
            <v>Brandwacht</v>
          </cell>
          <cell r="C7">
            <v>-33.958416223278398</v>
          </cell>
          <cell r="D7">
            <v>18.8682177176563</v>
          </cell>
        </row>
        <row r="8">
          <cell r="A8">
            <v>6</v>
          </cell>
          <cell r="B8" t="str">
            <v>Brandwacht</v>
          </cell>
          <cell r="C8">
            <v>-33.956479663797701</v>
          </cell>
          <cell r="D8">
            <v>18.864646434038601</v>
          </cell>
        </row>
        <row r="9">
          <cell r="A9">
            <v>7</v>
          </cell>
          <cell r="B9" t="str">
            <v>Brandwacht</v>
          </cell>
          <cell r="C9">
            <v>-33.955495569692999</v>
          </cell>
          <cell r="D9">
            <v>18.874760754725202</v>
          </cell>
        </row>
        <row r="10">
          <cell r="A10">
            <v>8</v>
          </cell>
          <cell r="B10" t="str">
            <v>Brandwacht</v>
          </cell>
          <cell r="C10">
            <v>-33.955468784637802</v>
          </cell>
          <cell r="D10">
            <v>18.865177073114602</v>
          </cell>
        </row>
        <row r="11">
          <cell r="A11">
            <v>9</v>
          </cell>
          <cell r="B11" t="str">
            <v>Brandwacht</v>
          </cell>
          <cell r="C11">
            <v>-33.953875349747598</v>
          </cell>
          <cell r="D11">
            <v>18.874070274754501</v>
          </cell>
        </row>
        <row r="12">
          <cell r="A12">
            <v>10</v>
          </cell>
          <cell r="B12" t="str">
            <v>Brandwacht</v>
          </cell>
          <cell r="C12">
            <v>-33.955154960871297</v>
          </cell>
          <cell r="D12">
            <v>18.866385909458899</v>
          </cell>
        </row>
        <row r="13">
          <cell r="A13">
            <v>11</v>
          </cell>
          <cell r="B13" t="str">
            <v>Brandwacht</v>
          </cell>
          <cell r="C13">
            <v>-33.954014549669402</v>
          </cell>
          <cell r="D13">
            <v>18.859761133132299</v>
          </cell>
        </row>
        <row r="14">
          <cell r="A14">
            <v>12</v>
          </cell>
          <cell r="B14" t="str">
            <v>Brandwacht</v>
          </cell>
          <cell r="C14">
            <v>-33.957616829866303</v>
          </cell>
          <cell r="D14">
            <v>18.874460937439199</v>
          </cell>
        </row>
        <row r="15">
          <cell r="A15">
            <v>13</v>
          </cell>
          <cell r="B15" t="str">
            <v>Brandwacht</v>
          </cell>
          <cell r="C15">
            <v>-33.958087413191798</v>
          </cell>
          <cell r="D15">
            <v>18.867934863967999</v>
          </cell>
        </row>
        <row r="16">
          <cell r="A16">
            <v>14</v>
          </cell>
          <cell r="B16" t="str">
            <v>Brandwacht</v>
          </cell>
          <cell r="C16">
            <v>-33.957746367359199</v>
          </cell>
          <cell r="D16">
            <v>18.872520786610899</v>
          </cell>
        </row>
        <row r="17">
          <cell r="A17">
            <v>15</v>
          </cell>
          <cell r="B17" t="str">
            <v>Brandwacht</v>
          </cell>
          <cell r="C17">
            <v>-33.955454853810501</v>
          </cell>
          <cell r="D17">
            <v>18.874536449673599</v>
          </cell>
        </row>
        <row r="18">
          <cell r="A18">
            <v>16</v>
          </cell>
          <cell r="B18" t="str">
            <v>Brandwacht</v>
          </cell>
          <cell r="C18">
            <v>-33.953064745346502</v>
          </cell>
          <cell r="D18">
            <v>18.858232283807801</v>
          </cell>
        </row>
        <row r="19">
          <cell r="A19">
            <v>17</v>
          </cell>
          <cell r="B19" t="str">
            <v>Brandwacht</v>
          </cell>
          <cell r="C19">
            <v>-33.958568897861902</v>
          </cell>
          <cell r="D19">
            <v>18.867550565838201</v>
          </cell>
        </row>
      </sheetData>
      <sheetData sheetId="4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Paradyskloof</v>
          </cell>
          <cell r="C2">
            <v>-33.964103482266701</v>
          </cell>
          <cell r="D2">
            <v>18.855042954120002</v>
          </cell>
        </row>
        <row r="3">
          <cell r="A3">
            <v>1</v>
          </cell>
          <cell r="B3" t="str">
            <v>Paradyskloof</v>
          </cell>
          <cell r="C3">
            <v>-33.962913743990697</v>
          </cell>
          <cell r="D3">
            <v>18.8513523559178</v>
          </cell>
        </row>
        <row r="4">
          <cell r="A4">
            <v>2</v>
          </cell>
          <cell r="B4" t="str">
            <v>Paradyskloof</v>
          </cell>
          <cell r="C4">
            <v>-33.966654339288198</v>
          </cell>
          <cell r="D4">
            <v>18.855000312296401</v>
          </cell>
        </row>
        <row r="5">
          <cell r="A5">
            <v>3</v>
          </cell>
          <cell r="B5" t="str">
            <v>Paradyskloof</v>
          </cell>
          <cell r="C5">
            <v>-33.964836024387097</v>
          </cell>
          <cell r="D5">
            <v>18.851689727393001</v>
          </cell>
        </row>
        <row r="6">
          <cell r="A6">
            <v>4</v>
          </cell>
          <cell r="B6" t="str">
            <v>Paradyskloof</v>
          </cell>
          <cell r="C6">
            <v>-33.960674766486001</v>
          </cell>
          <cell r="D6">
            <v>18.8498510806178</v>
          </cell>
        </row>
        <row r="7">
          <cell r="A7">
            <v>5</v>
          </cell>
          <cell r="B7" t="str">
            <v>Paradyskloof</v>
          </cell>
          <cell r="C7">
            <v>-33.967143352044602</v>
          </cell>
          <cell r="D7">
            <v>18.8561498011059</v>
          </cell>
        </row>
        <row r="8">
          <cell r="A8">
            <v>6</v>
          </cell>
          <cell r="B8" t="str">
            <v>Paradyskloof</v>
          </cell>
          <cell r="C8">
            <v>-33.965002944197501</v>
          </cell>
          <cell r="D8">
            <v>18.854210115421299</v>
          </cell>
        </row>
        <row r="9">
          <cell r="A9">
            <v>7</v>
          </cell>
          <cell r="B9" t="str">
            <v>Paradyskloof</v>
          </cell>
          <cell r="C9">
            <v>-33.963915261239599</v>
          </cell>
          <cell r="D9">
            <v>18.859703547236201</v>
          </cell>
        </row>
        <row r="10">
          <cell r="A10">
            <v>8</v>
          </cell>
          <cell r="B10" t="str">
            <v>Paradyskloof</v>
          </cell>
          <cell r="C10">
            <v>-33.963885656705003</v>
          </cell>
          <cell r="D10">
            <v>18.854498323564201</v>
          </cell>
        </row>
        <row r="11">
          <cell r="A11">
            <v>9</v>
          </cell>
          <cell r="B11" t="str">
            <v>Paradyskloof</v>
          </cell>
          <cell r="C11">
            <v>-33.962124491826302</v>
          </cell>
          <cell r="D11">
            <v>18.859328524062999</v>
          </cell>
        </row>
        <row r="12">
          <cell r="A12">
            <v>10</v>
          </cell>
          <cell r="B12" t="str">
            <v>Paradyskloof</v>
          </cell>
          <cell r="C12">
            <v>-33.963538798857698</v>
          </cell>
          <cell r="D12">
            <v>18.855154883726598</v>
          </cell>
        </row>
        <row r="13">
          <cell r="A13">
            <v>11</v>
          </cell>
          <cell r="B13" t="str">
            <v>Paradyskloof</v>
          </cell>
          <cell r="C13">
            <v>-33.962278344371498</v>
          </cell>
          <cell r="D13">
            <v>18.851556742223401</v>
          </cell>
        </row>
        <row r="14">
          <cell r="A14">
            <v>12</v>
          </cell>
          <cell r="B14" t="str">
            <v>Paradyskloof</v>
          </cell>
          <cell r="C14">
            <v>-33.966259811957499</v>
          </cell>
          <cell r="D14">
            <v>18.859540706263601</v>
          </cell>
        </row>
        <row r="15">
          <cell r="A15">
            <v>13</v>
          </cell>
          <cell r="B15" t="str">
            <v>Paradyskloof</v>
          </cell>
          <cell r="C15">
            <v>-33.966779930369903</v>
          </cell>
          <cell r="D15">
            <v>18.855996173640602</v>
          </cell>
        </row>
        <row r="16">
          <cell r="A16">
            <v>14</v>
          </cell>
          <cell r="B16" t="str">
            <v>Paradyskloof</v>
          </cell>
          <cell r="C16">
            <v>-33.966402984976</v>
          </cell>
          <cell r="D16">
            <v>18.858486944313999</v>
          </cell>
        </row>
        <row r="17">
          <cell r="A17">
            <v>15</v>
          </cell>
          <cell r="B17" t="str">
            <v>Paradyskloof</v>
          </cell>
          <cell r="C17">
            <v>-33.963870259474703</v>
          </cell>
          <cell r="D17">
            <v>18.8595817195283</v>
          </cell>
        </row>
        <row r="18">
          <cell r="A18">
            <v>16</v>
          </cell>
          <cell r="B18" t="str">
            <v>Paradyskloof</v>
          </cell>
          <cell r="C18">
            <v>-33.961228560646099</v>
          </cell>
          <cell r="D18">
            <v>18.8507263721195</v>
          </cell>
        </row>
        <row r="19">
          <cell r="A19">
            <v>17</v>
          </cell>
          <cell r="B19" t="str">
            <v>Paradyskloof</v>
          </cell>
          <cell r="C19">
            <v>-33.9673120976368</v>
          </cell>
          <cell r="D19">
            <v>18.855787448246399</v>
          </cell>
        </row>
        <row r="20">
          <cell r="A20">
            <v>18</v>
          </cell>
          <cell r="B20" t="str">
            <v>Paradyskloof</v>
          </cell>
          <cell r="C20">
            <v>-33.967536581430203</v>
          </cell>
          <cell r="D20">
            <v>18.850217435542099</v>
          </cell>
        </row>
        <row r="21">
          <cell r="A21">
            <v>19</v>
          </cell>
          <cell r="B21" t="str">
            <v>Paradyskloof</v>
          </cell>
          <cell r="C21">
            <v>-33.963076537023397</v>
          </cell>
          <cell r="D21">
            <v>18.858171916116699</v>
          </cell>
        </row>
        <row r="22">
          <cell r="A22">
            <v>20</v>
          </cell>
          <cell r="B22" t="str">
            <v>Paradyskloof</v>
          </cell>
          <cell r="C22">
            <v>-33.965696415344603</v>
          </cell>
          <cell r="D22">
            <v>18.858446795852402</v>
          </cell>
        </row>
        <row r="23">
          <cell r="A23">
            <v>21</v>
          </cell>
          <cell r="B23" t="str">
            <v>Paradyskloof</v>
          </cell>
          <cell r="C23">
            <v>-33.964993211046497</v>
          </cell>
          <cell r="D23">
            <v>18.852240384342899</v>
          </cell>
        </row>
        <row r="24">
          <cell r="A24">
            <v>22</v>
          </cell>
          <cell r="B24" t="str">
            <v>Paradyskloof</v>
          </cell>
          <cell r="C24">
            <v>-33.967782897334303</v>
          </cell>
          <cell r="D24">
            <v>18.854152173077601</v>
          </cell>
        </row>
        <row r="25">
          <cell r="A25">
            <v>23</v>
          </cell>
          <cell r="B25" t="str">
            <v>Paradyskloof</v>
          </cell>
          <cell r="C25">
            <v>-33.9676250969367</v>
          </cell>
          <cell r="D25">
            <v>18.857291742926702</v>
          </cell>
        </row>
        <row r="26">
          <cell r="A26">
            <v>24</v>
          </cell>
          <cell r="B26" t="str">
            <v>Paradyskloof</v>
          </cell>
          <cell r="C26">
            <v>-33.967630024860803</v>
          </cell>
          <cell r="D26">
            <v>18.8554713044017</v>
          </cell>
        </row>
        <row r="27">
          <cell r="A27">
            <v>25</v>
          </cell>
          <cell r="B27" t="str">
            <v>Paradyskloof</v>
          </cell>
          <cell r="C27">
            <v>-33.960528838003</v>
          </cell>
          <cell r="D27">
            <v>18.8519859566346</v>
          </cell>
        </row>
        <row r="28">
          <cell r="A28">
            <v>26</v>
          </cell>
          <cell r="B28" t="str">
            <v>Paradyskloof</v>
          </cell>
          <cell r="C28">
            <v>-33.965313144210903</v>
          </cell>
          <cell r="D28">
            <v>18.855686828569802</v>
          </cell>
        </row>
        <row r="29">
          <cell r="A29">
            <v>27</v>
          </cell>
          <cell r="B29" t="str">
            <v>Paradyskloof</v>
          </cell>
          <cell r="C29">
            <v>-33.964361528578003</v>
          </cell>
          <cell r="D29">
            <v>18.853243841539701</v>
          </cell>
        </row>
        <row r="30">
          <cell r="A30">
            <v>28</v>
          </cell>
          <cell r="B30" t="str">
            <v>Paradyskloof</v>
          </cell>
          <cell r="C30">
            <v>-33.962470565501903</v>
          </cell>
          <cell r="D30">
            <v>18.856796911406001</v>
          </cell>
        </row>
        <row r="31">
          <cell r="A31">
            <v>29</v>
          </cell>
          <cell r="B31" t="str">
            <v>Paradyskloof</v>
          </cell>
          <cell r="C31">
            <v>-33.963194894352398</v>
          </cell>
          <cell r="D31">
            <v>18.856062990019399</v>
          </cell>
        </row>
        <row r="32">
          <cell r="A32">
            <v>30</v>
          </cell>
          <cell r="B32" t="str">
            <v>Paradyskloof</v>
          </cell>
          <cell r="C32">
            <v>-33.965575544579899</v>
          </cell>
          <cell r="D32">
            <v>18.858489419957301</v>
          </cell>
        </row>
        <row r="33">
          <cell r="A33">
            <v>31</v>
          </cell>
          <cell r="B33" t="str">
            <v>Paradyskloof</v>
          </cell>
          <cell r="C33">
            <v>-33.966497809032298</v>
          </cell>
          <cell r="D33">
            <v>18.857197651891301</v>
          </cell>
        </row>
        <row r="34">
          <cell r="A34">
            <v>32</v>
          </cell>
          <cell r="B34" t="str">
            <v>Paradyskloof</v>
          </cell>
          <cell r="C34">
            <v>-33.9649695678469</v>
          </cell>
          <cell r="D34">
            <v>18.8575254644247</v>
          </cell>
        </row>
        <row r="35">
          <cell r="A35">
            <v>33</v>
          </cell>
          <cell r="B35" t="str">
            <v>Paradyskloof</v>
          </cell>
          <cell r="C35">
            <v>-33.9617480822141</v>
          </cell>
          <cell r="D35">
            <v>18.849766385980701</v>
          </cell>
        </row>
        <row r="36">
          <cell r="A36">
            <v>34</v>
          </cell>
          <cell r="B36" t="str">
            <v>Paradyskloof</v>
          </cell>
          <cell r="C36">
            <v>-33.964567878401702</v>
          </cell>
          <cell r="D36">
            <v>18.853566114246401</v>
          </cell>
        </row>
        <row r="37">
          <cell r="A37">
            <v>35</v>
          </cell>
          <cell r="B37" t="str">
            <v>Paradyskloof</v>
          </cell>
          <cell r="C37">
            <v>-33.961734458847701</v>
          </cell>
          <cell r="D37">
            <v>18.852767295223298</v>
          </cell>
        </row>
        <row r="38">
          <cell r="A38">
            <v>36</v>
          </cell>
          <cell r="B38" t="str">
            <v>Paradyskloof</v>
          </cell>
          <cell r="C38">
            <v>-33.967048181969702</v>
          </cell>
          <cell r="D38">
            <v>18.849784104667901</v>
          </cell>
        </row>
        <row r="39">
          <cell r="A39">
            <v>37</v>
          </cell>
          <cell r="B39" t="str">
            <v>Paradyskloof</v>
          </cell>
          <cell r="C39">
            <v>-33.962109764243003</v>
          </cell>
          <cell r="D39">
            <v>18.8574366579935</v>
          </cell>
        </row>
        <row r="40">
          <cell r="A40">
            <v>38</v>
          </cell>
          <cell r="B40" t="str">
            <v>Paradyskloof</v>
          </cell>
          <cell r="C40">
            <v>-33.960033466814203</v>
          </cell>
          <cell r="D40">
            <v>18.859678344518699</v>
          </cell>
        </row>
        <row r="41">
          <cell r="A41">
            <v>39</v>
          </cell>
          <cell r="B41" t="str">
            <v>Paradyskloof</v>
          </cell>
          <cell r="C41">
            <v>-33.967056135804697</v>
          </cell>
          <cell r="D41">
            <v>18.8518627662414</v>
          </cell>
        </row>
        <row r="42">
          <cell r="A42">
            <v>40</v>
          </cell>
          <cell r="B42" t="str">
            <v>Paradyskloof</v>
          </cell>
          <cell r="C42">
            <v>-33.9634798802986</v>
          </cell>
          <cell r="D42">
            <v>18.852025038397301</v>
          </cell>
        </row>
        <row r="43">
          <cell r="A43">
            <v>41</v>
          </cell>
          <cell r="B43" t="str">
            <v>Paradyskloof</v>
          </cell>
          <cell r="C43">
            <v>-33.961623275888201</v>
          </cell>
          <cell r="D43">
            <v>18.851942784120101</v>
          </cell>
        </row>
        <row r="44">
          <cell r="A44">
            <v>42</v>
          </cell>
          <cell r="B44" t="str">
            <v>Paradyskloof</v>
          </cell>
          <cell r="C44">
            <v>-33.961180593723803</v>
          </cell>
          <cell r="D44">
            <v>18.855631236507399</v>
          </cell>
        </row>
        <row r="45">
          <cell r="A45">
            <v>43</v>
          </cell>
          <cell r="B45" t="str">
            <v>Paradyskloof</v>
          </cell>
          <cell r="C45">
            <v>-33.967600665022502</v>
          </cell>
          <cell r="D45">
            <v>18.8590784408206</v>
          </cell>
        </row>
        <row r="46">
          <cell r="A46">
            <v>44</v>
          </cell>
          <cell r="B46" t="str">
            <v>Paradyskloof</v>
          </cell>
          <cell r="C46">
            <v>-33.965596597924403</v>
          </cell>
          <cell r="D46">
            <v>18.853272621906299</v>
          </cell>
        </row>
        <row r="47">
          <cell r="A47">
            <v>45</v>
          </cell>
          <cell r="B47" t="str">
            <v>Paradyskloof</v>
          </cell>
          <cell r="C47">
            <v>-33.964884674083599</v>
          </cell>
          <cell r="D47">
            <v>18.852178367704301</v>
          </cell>
        </row>
        <row r="48">
          <cell r="A48">
            <v>46</v>
          </cell>
          <cell r="B48" t="str">
            <v>Paradyskloof</v>
          </cell>
          <cell r="C48">
            <v>-33.967525364439098</v>
          </cell>
          <cell r="D48">
            <v>18.8557053509311</v>
          </cell>
        </row>
        <row r="49">
          <cell r="A49">
            <v>47</v>
          </cell>
          <cell r="B49" t="str">
            <v>Paradyskloof</v>
          </cell>
          <cell r="C49">
            <v>-33.9622015078453</v>
          </cell>
          <cell r="D49">
            <v>18.8523068939854</v>
          </cell>
        </row>
        <row r="50">
          <cell r="A50">
            <v>48</v>
          </cell>
          <cell r="B50" t="str">
            <v>Paradyskloof</v>
          </cell>
          <cell r="C50">
            <v>-33.965218309919102</v>
          </cell>
          <cell r="D50">
            <v>18.8517977577111</v>
          </cell>
        </row>
        <row r="51">
          <cell r="A51">
            <v>49</v>
          </cell>
          <cell r="B51" t="str">
            <v>Paradyskloof</v>
          </cell>
          <cell r="C51">
            <v>-33.961346925436501</v>
          </cell>
          <cell r="D51">
            <v>18.854739113268501</v>
          </cell>
        </row>
        <row r="52">
          <cell r="A52">
            <v>50</v>
          </cell>
          <cell r="B52" t="str">
            <v>Paradyskloof</v>
          </cell>
          <cell r="C52">
            <v>-33.963058002284598</v>
          </cell>
          <cell r="D52">
            <v>18.8564477353959</v>
          </cell>
        </row>
        <row r="53">
          <cell r="A53">
            <v>51</v>
          </cell>
          <cell r="B53" t="str">
            <v>Paradyskloof</v>
          </cell>
          <cell r="C53">
            <v>-33.960203666939798</v>
          </cell>
          <cell r="D53">
            <v>18.856498032062099</v>
          </cell>
        </row>
        <row r="54">
          <cell r="A54">
            <v>52</v>
          </cell>
          <cell r="B54" t="str">
            <v>Paradyskloof</v>
          </cell>
          <cell r="C54">
            <v>-33.962206046228196</v>
          </cell>
          <cell r="D54">
            <v>18.8497636053925</v>
          </cell>
        </row>
        <row r="55">
          <cell r="A55">
            <v>53</v>
          </cell>
          <cell r="B55" t="str">
            <v>Paradyskloof</v>
          </cell>
          <cell r="C55">
            <v>-33.961297529971802</v>
          </cell>
          <cell r="D55">
            <v>18.851053614481899</v>
          </cell>
        </row>
        <row r="56">
          <cell r="A56">
            <v>54</v>
          </cell>
          <cell r="B56" t="str">
            <v>Paradyskloof</v>
          </cell>
          <cell r="C56">
            <v>-33.963532582758098</v>
          </cell>
          <cell r="D56">
            <v>18.854814290832099</v>
          </cell>
        </row>
        <row r="57">
          <cell r="A57">
            <v>55</v>
          </cell>
          <cell r="B57" t="str">
            <v>Paradyskloof</v>
          </cell>
          <cell r="C57">
            <v>-33.967353029796598</v>
          </cell>
          <cell r="D57">
            <v>18.859291535412201</v>
          </cell>
        </row>
        <row r="58">
          <cell r="A58">
            <v>56</v>
          </cell>
          <cell r="B58" t="str">
            <v>Paradyskloof</v>
          </cell>
          <cell r="C58">
            <v>-33.967438345075998</v>
          </cell>
          <cell r="D58">
            <v>18.849994601966401</v>
          </cell>
        </row>
        <row r="59">
          <cell r="A59">
            <v>57</v>
          </cell>
          <cell r="B59" t="str">
            <v>Paradyskloof</v>
          </cell>
          <cell r="C59">
            <v>-33.960009583122797</v>
          </cell>
          <cell r="D59">
            <v>18.853047453205999</v>
          </cell>
        </row>
        <row r="60">
          <cell r="A60">
            <v>58</v>
          </cell>
          <cell r="B60" t="str">
            <v>Paradyskloof</v>
          </cell>
          <cell r="C60">
            <v>-33.961480203914803</v>
          </cell>
          <cell r="D60">
            <v>18.850487449792499</v>
          </cell>
        </row>
      </sheetData>
      <sheetData sheetId="5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Jamestown</v>
          </cell>
          <cell r="C2">
            <v>-33.979079508923299</v>
          </cell>
          <cell r="D2">
            <v>18.847848044943099</v>
          </cell>
        </row>
        <row r="3">
          <cell r="A3">
            <v>1</v>
          </cell>
          <cell r="B3" t="str">
            <v>Jamestown</v>
          </cell>
          <cell r="C3">
            <v>-33.977905067282201</v>
          </cell>
          <cell r="D3">
            <v>18.842412185305701</v>
          </cell>
        </row>
        <row r="4">
          <cell r="A4">
            <v>2</v>
          </cell>
          <cell r="B4" t="str">
            <v>Jamestown</v>
          </cell>
          <cell r="C4">
            <v>-33.981597569211601</v>
          </cell>
          <cell r="D4">
            <v>18.847785238060599</v>
          </cell>
        </row>
        <row r="5">
          <cell r="A5">
            <v>3</v>
          </cell>
          <cell r="B5" t="str">
            <v>Jamestown</v>
          </cell>
          <cell r="C5">
            <v>-33.979802632644997</v>
          </cell>
          <cell r="D5">
            <v>18.842909097698801</v>
          </cell>
        </row>
        <row r="6">
          <cell r="A6">
            <v>4</v>
          </cell>
          <cell r="B6" t="str">
            <v>Jamestown</v>
          </cell>
          <cell r="C6">
            <v>-33.975694876631202</v>
          </cell>
          <cell r="D6">
            <v>18.8402009660504</v>
          </cell>
        </row>
        <row r="7">
          <cell r="A7">
            <v>5</v>
          </cell>
          <cell r="B7" t="str">
            <v>Jamestown</v>
          </cell>
          <cell r="C7">
            <v>-33.982080294661202</v>
          </cell>
          <cell r="D7">
            <v>18.849478313134298</v>
          </cell>
        </row>
        <row r="8">
          <cell r="A8">
            <v>6</v>
          </cell>
          <cell r="B8" t="str">
            <v>Jamestown</v>
          </cell>
          <cell r="C8">
            <v>-33.979967406343498</v>
          </cell>
          <cell r="D8">
            <v>18.846621361891</v>
          </cell>
        </row>
        <row r="9">
          <cell r="A9">
            <v>7</v>
          </cell>
          <cell r="B9" t="str">
            <v>Jamestown</v>
          </cell>
          <cell r="C9">
            <v>-33.9788937078808</v>
          </cell>
          <cell r="D9">
            <v>18.854712604187799</v>
          </cell>
        </row>
        <row r="10">
          <cell r="A10">
            <v>8</v>
          </cell>
          <cell r="B10" t="str">
            <v>Jamestown</v>
          </cell>
          <cell r="C10">
            <v>-33.978864483975897</v>
          </cell>
          <cell r="D10">
            <v>18.847045861911202</v>
          </cell>
        </row>
        <row r="11">
          <cell r="A11">
            <v>9</v>
          </cell>
          <cell r="B11" t="str">
            <v>Jamestown</v>
          </cell>
          <cell r="C11">
            <v>-33.977125962645701</v>
          </cell>
          <cell r="D11">
            <v>18.854160234837799</v>
          </cell>
        </row>
        <row r="12">
          <cell r="A12">
            <v>10</v>
          </cell>
          <cell r="B12" t="str">
            <v>Jamestown</v>
          </cell>
          <cell r="C12">
            <v>-33.978522085729601</v>
          </cell>
          <cell r="D12">
            <v>18.8480129053798</v>
          </cell>
        </row>
        <row r="13">
          <cell r="A13">
            <v>11</v>
          </cell>
          <cell r="B13" t="str">
            <v>Jamestown</v>
          </cell>
          <cell r="C13">
            <v>-33.977277837086703</v>
          </cell>
          <cell r="D13">
            <v>18.8427132246516</v>
          </cell>
        </row>
        <row r="14">
          <cell r="A14">
            <v>12</v>
          </cell>
          <cell r="B14" t="str">
            <v>Jamestown</v>
          </cell>
          <cell r="C14">
            <v>-33.9812081143752</v>
          </cell>
          <cell r="D14">
            <v>18.854472756710098</v>
          </cell>
        </row>
        <row r="15">
          <cell r="A15">
            <v>13</v>
          </cell>
          <cell r="B15" t="str">
            <v>Jamestown</v>
          </cell>
          <cell r="C15">
            <v>-33.981721545550897</v>
          </cell>
          <cell r="D15">
            <v>18.8492520361754</v>
          </cell>
        </row>
        <row r="16">
          <cell r="A16">
            <v>14</v>
          </cell>
          <cell r="B16" t="str">
            <v>Jamestown</v>
          </cell>
          <cell r="C16">
            <v>-33.981349446597697</v>
          </cell>
          <cell r="D16">
            <v>18.8529206771458</v>
          </cell>
        </row>
        <row r="17">
          <cell r="A17">
            <v>15</v>
          </cell>
          <cell r="B17" t="str">
            <v>Jamestown</v>
          </cell>
          <cell r="C17">
            <v>-33.978849284710002</v>
          </cell>
          <cell r="D17">
            <v>18.854533164898001</v>
          </cell>
        </row>
        <row r="18">
          <cell r="A18">
            <v>16</v>
          </cell>
          <cell r="B18" t="str">
            <v>Jamestown</v>
          </cell>
          <cell r="C18">
            <v>-33.976241550580703</v>
          </cell>
          <cell r="D18">
            <v>18.8414901775777</v>
          </cell>
        </row>
        <row r="19">
          <cell r="A19">
            <v>17</v>
          </cell>
          <cell r="B19" t="str">
            <v>Jamestown</v>
          </cell>
          <cell r="C19">
            <v>-33.982246870667197</v>
          </cell>
          <cell r="D19">
            <v>18.8489446058122</v>
          </cell>
        </row>
        <row r="20">
          <cell r="A20">
            <v>18</v>
          </cell>
          <cell r="B20" t="str">
            <v>Jamestown</v>
          </cell>
          <cell r="C20">
            <v>-33.982468468240299</v>
          </cell>
          <cell r="D20">
            <v>18.8407405679893</v>
          </cell>
        </row>
        <row r="21">
          <cell r="A21">
            <v>19</v>
          </cell>
          <cell r="B21" t="str">
            <v>Jamestown</v>
          </cell>
          <cell r="C21">
            <v>-33.978065767261697</v>
          </cell>
          <cell r="D21">
            <v>18.852456674030702</v>
          </cell>
        </row>
        <row r="22">
          <cell r="A22">
            <v>20</v>
          </cell>
          <cell r="B22" t="str">
            <v>Jamestown</v>
          </cell>
          <cell r="C22">
            <v>-33.980651961432997</v>
          </cell>
          <cell r="D22">
            <v>18.852861542721101</v>
          </cell>
        </row>
        <row r="23">
          <cell r="A23">
            <v>21</v>
          </cell>
          <cell r="B23" t="str">
            <v>Jamestown</v>
          </cell>
          <cell r="C23">
            <v>-33.979957798333103</v>
          </cell>
          <cell r="D23">
            <v>18.843720156970001</v>
          </cell>
        </row>
        <row r="24">
          <cell r="A24">
            <v>22</v>
          </cell>
          <cell r="B24" t="str">
            <v>Jamestown</v>
          </cell>
          <cell r="C24">
            <v>-33.982711617225704</v>
          </cell>
          <cell r="D24">
            <v>18.846536018965502</v>
          </cell>
        </row>
        <row r="25">
          <cell r="A25">
            <v>23</v>
          </cell>
          <cell r="B25" t="str">
            <v>Jamestown</v>
          </cell>
          <cell r="C25">
            <v>-33.982555845690399</v>
          </cell>
          <cell r="D25">
            <v>18.851160272294301</v>
          </cell>
        </row>
        <row r="26">
          <cell r="A26">
            <v>24</v>
          </cell>
          <cell r="B26" t="str">
            <v>Jamestown</v>
          </cell>
          <cell r="C26">
            <v>-33.982560710255498</v>
          </cell>
          <cell r="D26">
            <v>18.848478959466799</v>
          </cell>
        </row>
        <row r="27">
          <cell r="A27">
            <v>25</v>
          </cell>
          <cell r="B27" t="str">
            <v>Jamestown</v>
          </cell>
          <cell r="C27">
            <v>-33.975550824371503</v>
          </cell>
          <cell r="D27">
            <v>18.843345411946402</v>
          </cell>
        </row>
        <row r="28">
          <cell r="A28">
            <v>26</v>
          </cell>
          <cell r="B28" t="str">
            <v>Jamestown</v>
          </cell>
          <cell r="C28">
            <v>-33.980273618071102</v>
          </cell>
          <cell r="D28">
            <v>18.8487964037027</v>
          </cell>
        </row>
        <row r="29">
          <cell r="A29">
            <v>27</v>
          </cell>
          <cell r="B29" t="str">
            <v>Jamestown</v>
          </cell>
          <cell r="C29">
            <v>-33.979334237496303</v>
          </cell>
          <cell r="D29">
            <v>18.845198142969899</v>
          </cell>
        </row>
        <row r="30">
          <cell r="A30">
            <v>28</v>
          </cell>
          <cell r="B30" t="str">
            <v>Jamestown</v>
          </cell>
          <cell r="C30">
            <v>-33.977467586802597</v>
          </cell>
          <cell r="D30">
            <v>18.8504314379582</v>
          </cell>
        </row>
        <row r="31">
          <cell r="A31">
            <v>29</v>
          </cell>
          <cell r="B31" t="str">
            <v>Jamestown</v>
          </cell>
          <cell r="C31">
            <v>-33.9781826028536</v>
          </cell>
          <cell r="D31">
            <v>18.849350449613201</v>
          </cell>
        </row>
        <row r="32">
          <cell r="A32">
            <v>30</v>
          </cell>
          <cell r="B32" t="str">
            <v>Jamestown</v>
          </cell>
          <cell r="C32">
            <v>-33.980532644721002</v>
          </cell>
          <cell r="D32">
            <v>18.8529243235058</v>
          </cell>
        </row>
        <row r="33">
          <cell r="A33">
            <v>31</v>
          </cell>
          <cell r="B33" t="str">
            <v>Jamestown</v>
          </cell>
          <cell r="C33">
            <v>-33.981443051487602</v>
          </cell>
          <cell r="D33">
            <v>18.8510216861809</v>
          </cell>
        </row>
        <row r="34">
          <cell r="A34">
            <v>32</v>
          </cell>
          <cell r="B34" t="str">
            <v>Jamestown</v>
          </cell>
          <cell r="C34">
            <v>-33.979934459117501</v>
          </cell>
          <cell r="D34">
            <v>18.851504519266701</v>
          </cell>
        </row>
        <row r="35">
          <cell r="A35">
            <v>33</v>
          </cell>
          <cell r="B35" t="str">
            <v>Jamestown</v>
          </cell>
          <cell r="C35">
            <v>-33.976754392585697</v>
          </cell>
          <cell r="D35">
            <v>18.8400762198347</v>
          </cell>
        </row>
        <row r="36">
          <cell r="A36">
            <v>34</v>
          </cell>
          <cell r="B36" t="str">
            <v>Jamestown</v>
          </cell>
          <cell r="C36">
            <v>-33.9795379342508</v>
          </cell>
          <cell r="D36">
            <v>18.8456728164787</v>
          </cell>
        </row>
        <row r="37">
          <cell r="A37">
            <v>35</v>
          </cell>
          <cell r="B37" t="str">
            <v>Jamestown</v>
          </cell>
          <cell r="C37">
            <v>-33.9767409443768</v>
          </cell>
          <cell r="D37">
            <v>18.844496240799899</v>
          </cell>
        </row>
        <row r="38">
          <cell r="A38">
            <v>36</v>
          </cell>
          <cell r="B38" t="str">
            <v>Jamestown</v>
          </cell>
          <cell r="C38">
            <v>-33.981986348201502</v>
          </cell>
          <cell r="D38">
            <v>18.840102317581302</v>
          </cell>
        </row>
        <row r="39">
          <cell r="A39">
            <v>37</v>
          </cell>
          <cell r="B39" t="str">
            <v>Jamestown</v>
          </cell>
          <cell r="C39">
            <v>-33.977111424417103</v>
          </cell>
          <cell r="D39">
            <v>18.8513737168145</v>
          </cell>
        </row>
        <row r="40">
          <cell r="A40">
            <v>38</v>
          </cell>
          <cell r="B40" t="str">
            <v>Jamestown</v>
          </cell>
          <cell r="C40">
            <v>-33.975061822240903</v>
          </cell>
          <cell r="D40">
            <v>18.8546754832585</v>
          </cell>
        </row>
        <row r="41">
          <cell r="A41">
            <v>39</v>
          </cell>
          <cell r="B41" t="str">
            <v>Jamestown</v>
          </cell>
          <cell r="C41">
            <v>-33.981994199772899</v>
          </cell>
          <cell r="D41">
            <v>18.8431639655658</v>
          </cell>
        </row>
        <row r="42">
          <cell r="A42">
            <v>40</v>
          </cell>
          <cell r="B42" t="str">
            <v>Jamestown</v>
          </cell>
          <cell r="C42">
            <v>-33.9784639246948</v>
          </cell>
          <cell r="D42">
            <v>18.843402975237002</v>
          </cell>
        </row>
        <row r="43">
          <cell r="A43">
            <v>41</v>
          </cell>
          <cell r="B43" t="str">
            <v>Jamestown</v>
          </cell>
          <cell r="C43">
            <v>-33.976631190912499</v>
          </cell>
          <cell r="D43">
            <v>18.8432818234125</v>
          </cell>
        </row>
        <row r="44">
          <cell r="A44">
            <v>42</v>
          </cell>
          <cell r="B44" t="str">
            <v>Jamestown</v>
          </cell>
          <cell r="C44">
            <v>-33.9761942003759</v>
          </cell>
          <cell r="D44">
            <v>18.848714522492301</v>
          </cell>
        </row>
        <row r="45">
          <cell r="A45">
            <v>43</v>
          </cell>
          <cell r="B45" t="str">
            <v>Jamestown</v>
          </cell>
          <cell r="C45">
            <v>-33.982531727900799</v>
          </cell>
          <cell r="D45">
            <v>18.853791888751601</v>
          </cell>
        </row>
        <row r="46">
          <cell r="A46">
            <v>44</v>
          </cell>
          <cell r="B46" t="str">
            <v>Jamestown</v>
          </cell>
          <cell r="C46">
            <v>-33.980553427379697</v>
          </cell>
          <cell r="D46">
            <v>18.845240533396701</v>
          </cell>
        </row>
        <row r="47">
          <cell r="A47">
            <v>45</v>
          </cell>
          <cell r="B47" t="str">
            <v>Jamestown</v>
          </cell>
          <cell r="C47">
            <v>-33.9798506568454</v>
          </cell>
          <cell r="D47">
            <v>18.843628813040301</v>
          </cell>
        </row>
        <row r="48">
          <cell r="A48">
            <v>46</v>
          </cell>
          <cell r="B48" t="str">
            <v>Jamestown</v>
          </cell>
          <cell r="C48">
            <v>-33.982457395467698</v>
          </cell>
          <cell r="D48">
            <v>18.8488236851761</v>
          </cell>
        </row>
        <row r="49">
          <cell r="A49">
            <v>47</v>
          </cell>
          <cell r="B49" t="str">
            <v>Jamestown</v>
          </cell>
          <cell r="C49">
            <v>-33.977201988458702</v>
          </cell>
          <cell r="D49">
            <v>18.843818118617701</v>
          </cell>
        </row>
        <row r="50">
          <cell r="A50">
            <v>48</v>
          </cell>
          <cell r="B50" t="str">
            <v>Jamestown</v>
          </cell>
          <cell r="C50">
            <v>-33.980180003077301</v>
          </cell>
          <cell r="D50">
            <v>18.843068214897102</v>
          </cell>
        </row>
        <row r="51">
          <cell r="A51">
            <v>49</v>
          </cell>
          <cell r="B51" t="str">
            <v>Jamestown</v>
          </cell>
          <cell r="C51">
            <v>-33.976358393538</v>
          </cell>
          <cell r="D51">
            <v>18.847400519601599</v>
          </cell>
        </row>
        <row r="52">
          <cell r="A52">
            <v>50</v>
          </cell>
          <cell r="B52" t="str">
            <v>Jamestown</v>
          </cell>
          <cell r="C52">
            <v>-33.978047470826702</v>
          </cell>
          <cell r="D52">
            <v>18.8499171387374</v>
          </cell>
        </row>
        <row r="53">
          <cell r="A53">
            <v>51</v>
          </cell>
          <cell r="B53" t="str">
            <v>Jamestown</v>
          </cell>
          <cell r="C53">
            <v>-33.975229834079101</v>
          </cell>
          <cell r="D53">
            <v>18.849991220391001</v>
          </cell>
        </row>
        <row r="54">
          <cell r="A54">
            <v>52</v>
          </cell>
          <cell r="B54" t="str">
            <v>Jamestown</v>
          </cell>
          <cell r="C54">
            <v>-33.977206468490998</v>
          </cell>
          <cell r="D54">
            <v>18.840072124323299</v>
          </cell>
        </row>
        <row r="55">
          <cell r="A55">
            <v>53</v>
          </cell>
          <cell r="B55" t="str">
            <v>Jamestown</v>
          </cell>
          <cell r="C55">
            <v>-33.976309633157797</v>
          </cell>
          <cell r="D55">
            <v>18.841972170862299</v>
          </cell>
        </row>
        <row r="56">
          <cell r="A56">
            <v>54</v>
          </cell>
          <cell r="B56" t="str">
            <v>Jamestown</v>
          </cell>
          <cell r="C56">
            <v>-33.978515949551301</v>
          </cell>
          <cell r="D56">
            <v>18.8475112481776</v>
          </cell>
        </row>
        <row r="57">
          <cell r="A57">
            <v>55</v>
          </cell>
          <cell r="B57" t="str">
            <v>Jamestown</v>
          </cell>
          <cell r="C57">
            <v>-33.982287276556399</v>
          </cell>
          <cell r="D57">
            <v>18.854105754479001</v>
          </cell>
        </row>
        <row r="58">
          <cell r="A58">
            <v>56</v>
          </cell>
          <cell r="B58" t="str">
            <v>Jamestown</v>
          </cell>
          <cell r="C58">
            <v>-33.982371494924998</v>
          </cell>
          <cell r="D58">
            <v>18.840412357771498</v>
          </cell>
        </row>
        <row r="59">
          <cell r="A59">
            <v>57</v>
          </cell>
          <cell r="B59" t="str">
            <v>Jamestown</v>
          </cell>
          <cell r="C59">
            <v>-33.975038245625498</v>
          </cell>
          <cell r="D59">
            <v>18.844908883788001</v>
          </cell>
        </row>
        <row r="60">
          <cell r="A60">
            <v>58</v>
          </cell>
          <cell r="B60" t="str">
            <v>Jamestown</v>
          </cell>
          <cell r="C60">
            <v>-33.976489958435899</v>
          </cell>
          <cell r="D60">
            <v>18.8411382703359</v>
          </cell>
        </row>
        <row r="61">
          <cell r="A61">
            <v>59</v>
          </cell>
          <cell r="B61" t="str">
            <v>Jamestown</v>
          </cell>
          <cell r="C61">
            <v>-33.979924175284701</v>
          </cell>
          <cell r="D61">
            <v>18.841248982110301</v>
          </cell>
        </row>
      </sheetData>
      <sheetData sheetId="6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Welgevonden</v>
          </cell>
          <cell r="C2">
            <v>-33.900513513677403</v>
          </cell>
          <cell r="D2">
            <v>18.852923667818001</v>
          </cell>
        </row>
        <row r="3">
          <cell r="A3">
            <v>1</v>
          </cell>
          <cell r="B3" t="str">
            <v>Welgevonden</v>
          </cell>
          <cell r="C3">
            <v>-33.899618093989098</v>
          </cell>
          <cell r="D3">
            <v>18.848391385802</v>
          </cell>
        </row>
        <row r="4">
          <cell r="A4">
            <v>2</v>
          </cell>
          <cell r="B4" t="str">
            <v>Welgevonden</v>
          </cell>
          <cell r="C4">
            <v>-33.902433337259502</v>
          </cell>
          <cell r="D4">
            <v>18.852871301030898</v>
          </cell>
        </row>
        <row r="5">
          <cell r="A5">
            <v>3</v>
          </cell>
          <cell r="B5" t="str">
            <v>Welgevonden</v>
          </cell>
          <cell r="C5">
            <v>-33.901064838830401</v>
          </cell>
          <cell r="D5">
            <v>18.848805698763201</v>
          </cell>
        </row>
        <row r="6">
          <cell r="A6">
            <v>4</v>
          </cell>
          <cell r="B6" t="str">
            <v>Welgevonden</v>
          </cell>
          <cell r="C6">
            <v>-33.897932996872001</v>
          </cell>
          <cell r="D6">
            <v>18.846547727221299</v>
          </cell>
        </row>
        <row r="7">
          <cell r="A7">
            <v>5</v>
          </cell>
          <cell r="B7" t="str">
            <v>Welgevonden</v>
          </cell>
          <cell r="C7">
            <v>-33.902801377574498</v>
          </cell>
          <cell r="D7">
            <v>18.854282944123302</v>
          </cell>
        </row>
        <row r="8">
          <cell r="A8">
            <v>6</v>
          </cell>
          <cell r="B8" t="str">
            <v>Welgevonden</v>
          </cell>
          <cell r="C8">
            <v>-33.901190465859102</v>
          </cell>
          <cell r="D8">
            <v>18.851900890574399</v>
          </cell>
        </row>
        <row r="9">
          <cell r="A9">
            <v>7</v>
          </cell>
          <cell r="B9" t="str">
            <v>Welgevonden</v>
          </cell>
          <cell r="C9">
            <v>-33.900371854947203</v>
          </cell>
          <cell r="D9">
            <v>18.858647163362001</v>
          </cell>
        </row>
        <row r="10">
          <cell r="A10">
            <v>8</v>
          </cell>
          <cell r="B10" t="str">
            <v>Welgevonden</v>
          </cell>
          <cell r="C10">
            <v>-33.900349574010598</v>
          </cell>
          <cell r="D10">
            <v>18.852254827934001</v>
          </cell>
        </row>
        <row r="11">
          <cell r="A11">
            <v>9</v>
          </cell>
          <cell r="B11" t="str">
            <v>Welgevonden</v>
          </cell>
          <cell r="C11">
            <v>-33.899024087776901</v>
          </cell>
          <cell r="D11">
            <v>18.8581866117954</v>
          </cell>
        </row>
        <row r="12">
          <cell r="A12">
            <v>10</v>
          </cell>
          <cell r="B12" t="str">
            <v>Welgevonden</v>
          </cell>
          <cell r="C12">
            <v>-33.9000885221879</v>
          </cell>
          <cell r="D12">
            <v>18.853061124272301</v>
          </cell>
        </row>
        <row r="13">
          <cell r="A13">
            <v>11</v>
          </cell>
          <cell r="B13" t="str">
            <v>Welgevonden</v>
          </cell>
          <cell r="C13">
            <v>-33.8991398801329</v>
          </cell>
          <cell r="D13">
            <v>18.84864238478</v>
          </cell>
        </row>
        <row r="14">
          <cell r="A14">
            <v>12</v>
          </cell>
          <cell r="B14" t="str">
            <v>Welgevonden</v>
          </cell>
          <cell r="C14">
            <v>-33.902136408475599</v>
          </cell>
          <cell r="D14">
            <v>18.858447184612899</v>
          </cell>
        </row>
        <row r="15">
          <cell r="A15">
            <v>13</v>
          </cell>
          <cell r="B15" t="str">
            <v>Welgevonden</v>
          </cell>
          <cell r="C15">
            <v>-33.902527859499799</v>
          </cell>
          <cell r="D15">
            <v>18.854094280129001</v>
          </cell>
        </row>
        <row r="16">
          <cell r="A16">
            <v>14</v>
          </cell>
          <cell r="B16" t="str">
            <v>Welgevonden</v>
          </cell>
          <cell r="C16">
            <v>-33.902244163216402</v>
          </cell>
          <cell r="D16">
            <v>18.857153100003401</v>
          </cell>
        </row>
        <row r="17">
          <cell r="A17">
            <v>15</v>
          </cell>
          <cell r="B17" t="str">
            <v>Welgevonden</v>
          </cell>
          <cell r="C17">
            <v>-33.900337985761801</v>
          </cell>
          <cell r="D17">
            <v>18.858497551429299</v>
          </cell>
        </row>
        <row r="18">
          <cell r="A18">
            <v>16</v>
          </cell>
          <cell r="B18" t="str">
            <v>Welgevonden</v>
          </cell>
          <cell r="C18">
            <v>-33.8983497929053</v>
          </cell>
          <cell r="D18">
            <v>18.8476226391229</v>
          </cell>
        </row>
        <row r="19">
          <cell r="A19">
            <v>17</v>
          </cell>
          <cell r="B19" t="str">
            <v>Welgevonden</v>
          </cell>
          <cell r="C19">
            <v>-33.902928378721398</v>
          </cell>
          <cell r="D19">
            <v>18.853837952482799</v>
          </cell>
        </row>
        <row r="20">
          <cell r="A20">
            <v>18</v>
          </cell>
          <cell r="B20" t="str">
            <v>Welgevonden</v>
          </cell>
          <cell r="C20">
            <v>-33.903097329500198</v>
          </cell>
          <cell r="D20">
            <v>18.846997633644001</v>
          </cell>
        </row>
        <row r="21">
          <cell r="A21">
            <v>19</v>
          </cell>
          <cell r="B21" t="str">
            <v>Welgevonden</v>
          </cell>
          <cell r="C21">
            <v>-33.899740615126397</v>
          </cell>
          <cell r="D21">
            <v>18.8567662259643</v>
          </cell>
        </row>
        <row r="22">
          <cell r="A22">
            <v>20</v>
          </cell>
          <cell r="B22" t="str">
            <v>Welgevonden</v>
          </cell>
          <cell r="C22">
            <v>-33.901712385453401</v>
          </cell>
          <cell r="D22">
            <v>18.857103795218599</v>
          </cell>
        </row>
        <row r="23">
          <cell r="A23">
            <v>21</v>
          </cell>
          <cell r="B23" t="str">
            <v>Welgevonden</v>
          </cell>
          <cell r="C23">
            <v>-33.901183140504301</v>
          </cell>
          <cell r="D23">
            <v>18.8494819394305</v>
          </cell>
        </row>
        <row r="24">
          <cell r="A24">
            <v>22</v>
          </cell>
          <cell r="B24" t="str">
            <v>Welgevonden</v>
          </cell>
          <cell r="C24">
            <v>-33.903282711541301</v>
          </cell>
          <cell r="D24">
            <v>18.851829733805801</v>
          </cell>
        </row>
        <row r="25">
          <cell r="A25">
            <v>23</v>
          </cell>
          <cell r="B25" t="str">
            <v>Welgevonden</v>
          </cell>
          <cell r="C25">
            <v>-33.903163947956401</v>
          </cell>
          <cell r="D25">
            <v>18.855685319048501</v>
          </cell>
        </row>
        <row r="26">
          <cell r="A26">
            <v>24</v>
          </cell>
          <cell r="B26" t="str">
            <v>Welgevonden</v>
          </cell>
          <cell r="C26">
            <v>-33.903167656805998</v>
          </cell>
          <cell r="D26">
            <v>18.8534497083599</v>
          </cell>
        </row>
        <row r="27">
          <cell r="A27">
            <v>25</v>
          </cell>
          <cell r="B27" t="str">
            <v>Welgevonden</v>
          </cell>
          <cell r="C27">
            <v>-33.897823168316002</v>
          </cell>
          <cell r="D27">
            <v>18.849169486526201</v>
          </cell>
        </row>
        <row r="28">
          <cell r="A28">
            <v>26</v>
          </cell>
          <cell r="B28" t="str">
            <v>Welgevonden</v>
          </cell>
          <cell r="C28">
            <v>-33.901423928297802</v>
          </cell>
          <cell r="D28">
            <v>18.853714385319499</v>
          </cell>
        </row>
        <row r="29">
          <cell r="A29">
            <v>27</v>
          </cell>
          <cell r="B29" t="str">
            <v>Welgevonden</v>
          </cell>
          <cell r="C29">
            <v>-33.900707724246402</v>
          </cell>
          <cell r="D29">
            <v>18.850714246703699</v>
          </cell>
        </row>
        <row r="30">
          <cell r="A30">
            <v>28</v>
          </cell>
          <cell r="B30" t="str">
            <v>Welgevonden</v>
          </cell>
          <cell r="C30">
            <v>-33.899284549416997</v>
          </cell>
          <cell r="D30">
            <v>18.855077635448399</v>
          </cell>
        </row>
        <row r="31">
          <cell r="A31">
            <v>29</v>
          </cell>
          <cell r="B31" t="str">
            <v>Welgevonden</v>
          </cell>
          <cell r="C31">
            <v>-33.899829693106597</v>
          </cell>
          <cell r="D31">
            <v>18.854176334759501</v>
          </cell>
        </row>
        <row r="32">
          <cell r="A32">
            <v>30</v>
          </cell>
          <cell r="B32" t="str">
            <v>Welgevonden</v>
          </cell>
          <cell r="C32">
            <v>-33.901621415813601</v>
          </cell>
          <cell r="D32">
            <v>18.857156140245898</v>
          </cell>
        </row>
        <row r="33">
          <cell r="A33">
            <v>31</v>
          </cell>
          <cell r="B33" t="str">
            <v>Welgevonden</v>
          </cell>
          <cell r="C33">
            <v>-33.902315529607399</v>
          </cell>
          <cell r="D33">
            <v>18.855569769458999</v>
          </cell>
        </row>
        <row r="34">
          <cell r="A34">
            <v>32</v>
          </cell>
          <cell r="B34" t="str">
            <v>Welgevonden</v>
          </cell>
          <cell r="C34">
            <v>-33.901165346181898</v>
          </cell>
          <cell r="D34">
            <v>18.855972343450599</v>
          </cell>
        </row>
        <row r="35">
          <cell r="A35">
            <v>33</v>
          </cell>
          <cell r="B35" t="str">
            <v>Welgevonden</v>
          </cell>
          <cell r="C35">
            <v>-33.898740794733101</v>
          </cell>
          <cell r="D35">
            <v>18.8464437169878</v>
          </cell>
        </row>
        <row r="36">
          <cell r="A36">
            <v>34</v>
          </cell>
          <cell r="B36" t="str">
            <v>Welgevonden</v>
          </cell>
          <cell r="C36">
            <v>-33.9008630270542</v>
          </cell>
          <cell r="D36">
            <v>18.8511100174467</v>
          </cell>
        </row>
        <row r="37">
          <cell r="A37">
            <v>35</v>
          </cell>
          <cell r="B37" t="str">
            <v>Welgevonden</v>
          </cell>
          <cell r="C37">
            <v>-33.898730541528003</v>
          </cell>
          <cell r="D37">
            <v>18.8501290184612</v>
          </cell>
        </row>
        <row r="38">
          <cell r="A38">
            <v>36</v>
          </cell>
          <cell r="B38" t="str">
            <v>Welgevonden</v>
          </cell>
          <cell r="C38">
            <v>-33.902729750763399</v>
          </cell>
          <cell r="D38">
            <v>18.8464654766276</v>
          </cell>
        </row>
        <row r="39">
          <cell r="A39">
            <v>37</v>
          </cell>
          <cell r="B39" t="str">
            <v>Welgevonden</v>
          </cell>
          <cell r="C39">
            <v>-33.899013003517197</v>
          </cell>
          <cell r="D39">
            <v>18.855863283680598</v>
          </cell>
        </row>
        <row r="40">
          <cell r="A40">
            <v>38</v>
          </cell>
          <cell r="B40" t="str">
            <v>Welgevonden</v>
          </cell>
          <cell r="C40">
            <v>-33.897450342523697</v>
          </cell>
          <cell r="D40">
            <v>18.858616212871699</v>
          </cell>
        </row>
        <row r="41">
          <cell r="A41">
            <v>39</v>
          </cell>
          <cell r="B41" t="str">
            <v>Welgevonden</v>
          </cell>
          <cell r="C41">
            <v>-33.902735736971103</v>
          </cell>
          <cell r="D41">
            <v>18.8490182011321</v>
          </cell>
        </row>
        <row r="42">
          <cell r="A42">
            <v>40</v>
          </cell>
          <cell r="B42" t="str">
            <v>Welgevonden</v>
          </cell>
          <cell r="C42">
            <v>-33.900044178958098</v>
          </cell>
          <cell r="D42">
            <v>18.849217481339199</v>
          </cell>
        </row>
        <row r="43">
          <cell r="A43">
            <v>41</v>
          </cell>
          <cell r="B43" t="str">
            <v>Welgevonden</v>
          </cell>
          <cell r="C43">
            <v>-33.898646863114898</v>
          </cell>
          <cell r="D43">
            <v>18.849116468018</v>
          </cell>
        </row>
        <row r="44">
          <cell r="A44">
            <v>42</v>
          </cell>
          <cell r="B44" t="str">
            <v>Welgevonden</v>
          </cell>
          <cell r="C44">
            <v>-33.8983136920859</v>
          </cell>
          <cell r="D44">
            <v>18.853646114841101</v>
          </cell>
        </row>
        <row r="45">
          <cell r="A45">
            <v>43</v>
          </cell>
          <cell r="B45" t="str">
            <v>Welgevonden</v>
          </cell>
          <cell r="C45">
            <v>-33.903145560032399</v>
          </cell>
          <cell r="D45">
            <v>18.857879494163001</v>
          </cell>
        </row>
        <row r="46">
          <cell r="A46">
            <v>44</v>
          </cell>
          <cell r="B46" t="str">
            <v>Welgevonden</v>
          </cell>
          <cell r="C46">
            <v>-33.901637260961699</v>
          </cell>
          <cell r="D46">
            <v>18.8507495907673</v>
          </cell>
        </row>
        <row r="47">
          <cell r="A47">
            <v>45</v>
          </cell>
          <cell r="B47" t="str">
            <v>Welgevonden</v>
          </cell>
          <cell r="C47">
            <v>-33.901101453518599</v>
          </cell>
          <cell r="D47">
            <v>18.8494057791766</v>
          </cell>
        </row>
        <row r="48">
          <cell r="A48">
            <v>46</v>
          </cell>
          <cell r="B48" t="str">
            <v>Welgevonden</v>
          </cell>
          <cell r="C48">
            <v>-33.903088887378999</v>
          </cell>
          <cell r="D48">
            <v>18.8537371319206</v>
          </cell>
        </row>
        <row r="49">
          <cell r="A49">
            <v>47</v>
          </cell>
          <cell r="B49" t="str">
            <v>Welgevonden</v>
          </cell>
          <cell r="C49">
            <v>-33.899082051499697</v>
          </cell>
          <cell r="D49">
            <v>18.849563617369899</v>
          </cell>
        </row>
        <row r="50">
          <cell r="A50">
            <v>48</v>
          </cell>
          <cell r="B50" t="str">
            <v>Welgevonden</v>
          </cell>
          <cell r="C50">
            <v>-33.901352554203399</v>
          </cell>
          <cell r="D50">
            <v>18.848938366650899</v>
          </cell>
        </row>
        <row r="51">
          <cell r="A51">
            <v>49</v>
          </cell>
          <cell r="B51" t="str">
            <v>Welgevonden</v>
          </cell>
          <cell r="C51">
            <v>-33.898438876501103</v>
          </cell>
          <cell r="D51">
            <v>18.852550532528898</v>
          </cell>
        </row>
        <row r="52">
          <cell r="A52">
            <v>50</v>
          </cell>
          <cell r="B52" t="str">
            <v>Welgevonden</v>
          </cell>
          <cell r="C52">
            <v>-33.899726665529002</v>
          </cell>
          <cell r="D52">
            <v>18.8546488257909</v>
          </cell>
        </row>
        <row r="53">
          <cell r="A53">
            <v>51</v>
          </cell>
          <cell r="B53" t="str">
            <v>Welgevonden</v>
          </cell>
          <cell r="C53">
            <v>-33.897578438380101</v>
          </cell>
          <cell r="D53">
            <v>18.854710593196401</v>
          </cell>
        </row>
        <row r="54">
          <cell r="A54">
            <v>52</v>
          </cell>
          <cell r="B54" t="str">
            <v>Welgevonden</v>
          </cell>
          <cell r="C54">
            <v>-33.899085467173201</v>
          </cell>
          <cell r="D54">
            <v>18.846440302254202</v>
          </cell>
        </row>
        <row r="55">
          <cell r="A55">
            <v>53</v>
          </cell>
          <cell r="B55" t="str">
            <v>Welgevonden</v>
          </cell>
          <cell r="C55">
            <v>-33.898401700533498</v>
          </cell>
          <cell r="D55">
            <v>18.8480245129095</v>
          </cell>
        </row>
        <row r="56">
          <cell r="A56">
            <v>54</v>
          </cell>
          <cell r="B56" t="str">
            <v>Welgevonden</v>
          </cell>
          <cell r="C56">
            <v>-33.900083843833002</v>
          </cell>
          <cell r="D56">
            <v>18.852642855209599</v>
          </cell>
        </row>
        <row r="57">
          <cell r="A57">
            <v>55</v>
          </cell>
          <cell r="B57" t="str">
            <v>Welgevonden</v>
          </cell>
          <cell r="C57">
            <v>-33.902959185044502</v>
          </cell>
          <cell r="D57">
            <v>18.858141187452901</v>
          </cell>
        </row>
        <row r="58">
          <cell r="A58">
            <v>56</v>
          </cell>
          <cell r="B58" t="str">
            <v>Welgevonden</v>
          </cell>
          <cell r="C58">
            <v>-33.903023394948903</v>
          </cell>
          <cell r="D58">
            <v>18.8467239802814</v>
          </cell>
        </row>
        <row r="59">
          <cell r="A59">
            <v>57</v>
          </cell>
          <cell r="B59" t="str">
            <v>Welgevonden</v>
          </cell>
          <cell r="C59">
            <v>-33.897432367202697</v>
          </cell>
          <cell r="D59">
            <v>18.850473069727901</v>
          </cell>
        </row>
        <row r="60">
          <cell r="A60">
            <v>58</v>
          </cell>
          <cell r="B60" t="str">
            <v>Welgevonden</v>
          </cell>
          <cell r="C60">
            <v>-33.898539184422503</v>
          </cell>
          <cell r="D60">
            <v>18.847329227782399</v>
          </cell>
        </row>
        <row r="61">
          <cell r="A61">
            <v>59</v>
          </cell>
          <cell r="B61" t="str">
            <v>Welgevonden</v>
          </cell>
          <cell r="C61">
            <v>-33.9011575055656</v>
          </cell>
          <cell r="D61">
            <v>18.847421536454299</v>
          </cell>
        </row>
        <row r="62">
          <cell r="A62">
            <v>60</v>
          </cell>
          <cell r="B62" t="str">
            <v>Welgevonden</v>
          </cell>
          <cell r="C62">
            <v>-33.8975840645858</v>
          </cell>
          <cell r="D62">
            <v>18.846412293152</v>
          </cell>
        </row>
        <row r="63">
          <cell r="A63">
            <v>61</v>
          </cell>
          <cell r="B63" t="str">
            <v>Welgevonden</v>
          </cell>
          <cell r="C63">
            <v>-33.8976255588925</v>
          </cell>
          <cell r="D63">
            <v>18.8472471481514</v>
          </cell>
        </row>
        <row r="64">
          <cell r="A64">
            <v>62</v>
          </cell>
          <cell r="B64" t="str">
            <v>Welgevonden</v>
          </cell>
          <cell r="C64">
            <v>-33.902200971592301</v>
          </cell>
          <cell r="D64">
            <v>18.856566359635501</v>
          </cell>
        </row>
        <row r="65">
          <cell r="A65">
            <v>63</v>
          </cell>
          <cell r="B65" t="str">
            <v>Welgevonden</v>
          </cell>
          <cell r="C65">
            <v>-33.899029335788498</v>
          </cell>
          <cell r="D65">
            <v>18.8561634553941</v>
          </cell>
        </row>
        <row r="66">
          <cell r="A66">
            <v>64</v>
          </cell>
          <cell r="B66" t="str">
            <v>Welgevonden</v>
          </cell>
          <cell r="C66">
            <v>-33.900331092205903</v>
          </cell>
          <cell r="D66">
            <v>18.8554222185962</v>
          </cell>
        </row>
        <row r="67">
          <cell r="A67">
            <v>65</v>
          </cell>
          <cell r="B67" t="str">
            <v>Welgevonden</v>
          </cell>
          <cell r="C67">
            <v>-33.901232526928403</v>
          </cell>
          <cell r="D67">
            <v>18.8571767523216</v>
          </cell>
        </row>
        <row r="68">
          <cell r="A68">
            <v>66</v>
          </cell>
          <cell r="B68" t="str">
            <v>Welgevonden</v>
          </cell>
          <cell r="C68">
            <v>-33.903105298355598</v>
          </cell>
          <cell r="D68">
            <v>18.848952444774799</v>
          </cell>
        </row>
        <row r="69">
          <cell r="A69">
            <v>67</v>
          </cell>
          <cell r="B69" t="str">
            <v>Welgevonden</v>
          </cell>
          <cell r="C69">
            <v>-33.901706767820002</v>
          </cell>
          <cell r="D69">
            <v>18.857217931427101</v>
          </cell>
        </row>
        <row r="70">
          <cell r="A70">
            <v>68</v>
          </cell>
          <cell r="B70" t="str">
            <v>Welgevonden</v>
          </cell>
          <cell r="C70">
            <v>-33.902401750326703</v>
          </cell>
          <cell r="D70">
            <v>18.850439656111</v>
          </cell>
        </row>
        <row r="71">
          <cell r="A71">
            <v>69</v>
          </cell>
          <cell r="B71" t="str">
            <v>Welgevonden</v>
          </cell>
          <cell r="C71">
            <v>-33.898522380797097</v>
          </cell>
          <cell r="D71">
            <v>18.8549813418255</v>
          </cell>
        </row>
        <row r="72">
          <cell r="A72">
            <v>70</v>
          </cell>
          <cell r="B72" t="str">
            <v>Welgevonden</v>
          </cell>
          <cell r="C72">
            <v>-33.903040064911202</v>
          </cell>
          <cell r="D72">
            <v>18.852105632158398</v>
          </cell>
        </row>
        <row r="73">
          <cell r="A73">
            <v>71</v>
          </cell>
          <cell r="B73" t="str">
            <v>Welgevonden</v>
          </cell>
          <cell r="C73">
            <v>-33.900693944249902</v>
          </cell>
          <cell r="D73">
            <v>18.852124300617199</v>
          </cell>
        </row>
        <row r="74">
          <cell r="A74">
            <v>72</v>
          </cell>
          <cell r="B74" t="str">
            <v>Welgevonden</v>
          </cell>
          <cell r="C74">
            <v>-33.8979119475487</v>
          </cell>
          <cell r="D74">
            <v>18.8569518211754</v>
          </cell>
        </row>
        <row r="75">
          <cell r="A75">
            <v>73</v>
          </cell>
          <cell r="B75" t="str">
            <v>Welgevonden</v>
          </cell>
          <cell r="C75">
            <v>-33.902737338300803</v>
          </cell>
          <cell r="D75">
            <v>18.8572996639552</v>
          </cell>
        </row>
        <row r="76">
          <cell r="A76">
            <v>74</v>
          </cell>
          <cell r="B76" t="str">
            <v>Welgevonden</v>
          </cell>
          <cell r="C76">
            <v>-33.899325688032697</v>
          </cell>
          <cell r="D76">
            <v>18.8525855118931</v>
          </cell>
        </row>
        <row r="77">
          <cell r="A77">
            <v>75</v>
          </cell>
          <cell r="B77" t="str">
            <v>Welgevonden</v>
          </cell>
          <cell r="C77">
            <v>-33.901154414132002</v>
          </cell>
          <cell r="D77">
            <v>18.848237607153202</v>
          </cell>
        </row>
        <row r="78">
          <cell r="A78">
            <v>76</v>
          </cell>
          <cell r="B78" t="str">
            <v>Welgevonden</v>
          </cell>
          <cell r="C78">
            <v>-33.898025416786901</v>
          </cell>
          <cell r="D78">
            <v>18.851259698074401</v>
          </cell>
        </row>
        <row r="79">
          <cell r="A79">
            <v>77</v>
          </cell>
          <cell r="B79" t="str">
            <v>Welgevonden</v>
          </cell>
          <cell r="C79">
            <v>-33.902540936786899</v>
          </cell>
          <cell r="D79">
            <v>18.849166516780802</v>
          </cell>
        </row>
        <row r="80">
          <cell r="A80">
            <v>78</v>
          </cell>
          <cell r="B80" t="str">
            <v>Welgevonden</v>
          </cell>
          <cell r="C80">
            <v>-33.897933520862303</v>
          </cell>
          <cell r="D80">
            <v>18.846413410832799</v>
          </cell>
        </row>
        <row r="81">
          <cell r="A81">
            <v>79</v>
          </cell>
          <cell r="B81" t="str">
            <v>Welgevonden</v>
          </cell>
          <cell r="C81">
            <v>-33.9030429490738</v>
          </cell>
          <cell r="D81">
            <v>18.855781647743399</v>
          </cell>
        </row>
        <row r="82">
          <cell r="A82">
            <v>80</v>
          </cell>
          <cell r="B82" t="str">
            <v>Welgevonden</v>
          </cell>
          <cell r="C82">
            <v>-33.901238117274197</v>
          </cell>
          <cell r="D82">
            <v>18.854023050857801</v>
          </cell>
        </row>
        <row r="83">
          <cell r="A83">
            <v>81</v>
          </cell>
          <cell r="B83" t="str">
            <v>Welgevonden</v>
          </cell>
          <cell r="C83">
            <v>-33.899492205217499</v>
          </cell>
          <cell r="D83">
            <v>18.846918947637199</v>
          </cell>
        </row>
        <row r="84">
          <cell r="A84">
            <v>82</v>
          </cell>
          <cell r="B84" t="str">
            <v>Welgevonden</v>
          </cell>
          <cell r="C84">
            <v>-33.9002049840037</v>
          </cell>
          <cell r="D84">
            <v>18.857563993359701</v>
          </cell>
        </row>
        <row r="85">
          <cell r="A85">
            <v>83</v>
          </cell>
          <cell r="B85" t="str">
            <v>Welgevonden</v>
          </cell>
          <cell r="C85">
            <v>-33.902462821651</v>
          </cell>
          <cell r="D85">
            <v>18.848150198654</v>
          </cell>
        </row>
        <row r="86">
          <cell r="A86">
            <v>84</v>
          </cell>
          <cell r="B86" t="str">
            <v>Welgevonden</v>
          </cell>
          <cell r="C86">
            <v>-33.898902844732199</v>
          </cell>
          <cell r="D86">
            <v>18.856380494407901</v>
          </cell>
        </row>
        <row r="87">
          <cell r="A87">
            <v>85</v>
          </cell>
          <cell r="B87" t="str">
            <v>Welgevonden</v>
          </cell>
          <cell r="C87">
            <v>-33.900944796843497</v>
          </cell>
          <cell r="D87">
            <v>18.851929384489001</v>
          </cell>
        </row>
        <row r="88">
          <cell r="A88">
            <v>86</v>
          </cell>
          <cell r="B88" t="str">
            <v>Welgevonden</v>
          </cell>
          <cell r="C88">
            <v>-33.897942407584303</v>
          </cell>
          <cell r="D88">
            <v>18.8551556764479</v>
          </cell>
        </row>
        <row r="89">
          <cell r="A89">
            <v>87</v>
          </cell>
          <cell r="B89" t="str">
            <v>Welgevonden</v>
          </cell>
          <cell r="C89">
            <v>-33.897443542988697</v>
          </cell>
          <cell r="D89">
            <v>18.855488926612399</v>
          </cell>
        </row>
        <row r="90">
          <cell r="A90">
            <v>88</v>
          </cell>
          <cell r="B90" t="str">
            <v>Welgevonden</v>
          </cell>
          <cell r="C90">
            <v>-33.900189055030999</v>
          </cell>
          <cell r="D90">
            <v>18.849437121579399</v>
          </cell>
        </row>
        <row r="91">
          <cell r="A91">
            <v>89</v>
          </cell>
          <cell r="B91" t="str">
            <v>Welgevonden</v>
          </cell>
          <cell r="C91">
            <v>-33.903142083755</v>
          </cell>
          <cell r="D91">
            <v>18.852603201394899</v>
          </cell>
        </row>
        <row r="92">
          <cell r="A92">
            <v>90</v>
          </cell>
          <cell r="B92" t="str">
            <v>Welgevonden</v>
          </cell>
          <cell r="C92">
            <v>-33.8989985843345</v>
          </cell>
          <cell r="D92">
            <v>18.852727347093602</v>
          </cell>
        </row>
        <row r="93">
          <cell r="A93">
            <v>91</v>
          </cell>
          <cell r="B93" t="str">
            <v>Welgevonden</v>
          </cell>
          <cell r="C93">
            <v>-33.901300062479201</v>
          </cell>
          <cell r="D93">
            <v>18.8577904827293</v>
          </cell>
        </row>
        <row r="94">
          <cell r="A94">
            <v>92</v>
          </cell>
          <cell r="B94" t="str">
            <v>Welgevonden</v>
          </cell>
          <cell r="C94">
            <v>-33.897452896769501</v>
          </cell>
          <cell r="D94">
            <v>18.8500621923239</v>
          </cell>
        </row>
        <row r="95">
          <cell r="A95">
            <v>93</v>
          </cell>
          <cell r="B95" t="str">
            <v>Welgevonden</v>
          </cell>
          <cell r="C95">
            <v>-33.899279211188102</v>
          </cell>
          <cell r="D95">
            <v>18.855748217226001</v>
          </cell>
        </row>
        <row r="96">
          <cell r="A96">
            <v>94</v>
          </cell>
          <cell r="B96" t="str">
            <v>Welgevonden</v>
          </cell>
          <cell r="C96">
            <v>-33.898018033070798</v>
          </cell>
          <cell r="D96">
            <v>18.8558338936528</v>
          </cell>
        </row>
        <row r="97">
          <cell r="A97">
            <v>95</v>
          </cell>
          <cell r="B97" t="str">
            <v>Welgevonden</v>
          </cell>
          <cell r="C97">
            <v>-33.9035144283623</v>
          </cell>
          <cell r="D97">
            <v>18.849055281787699</v>
          </cell>
        </row>
        <row r="98">
          <cell r="A98">
            <v>96</v>
          </cell>
          <cell r="B98" t="str">
            <v>Welgevonden</v>
          </cell>
          <cell r="C98">
            <v>-33.901618455838502</v>
          </cell>
          <cell r="D98">
            <v>18.853724377197601</v>
          </cell>
        </row>
        <row r="99">
          <cell r="A99">
            <v>97</v>
          </cell>
          <cell r="B99" t="str">
            <v>Welgevonden</v>
          </cell>
          <cell r="C99">
            <v>-33.903049113613903</v>
          </cell>
          <cell r="D99">
            <v>18.852853627731999</v>
          </cell>
        </row>
        <row r="100">
          <cell r="A100">
            <v>98</v>
          </cell>
          <cell r="B100" t="str">
            <v>Welgevonden</v>
          </cell>
          <cell r="C100">
            <v>-33.902964973761001</v>
          </cell>
          <cell r="D100">
            <v>18.853183041985101</v>
          </cell>
        </row>
        <row r="101">
          <cell r="A101">
            <v>99</v>
          </cell>
          <cell r="B101" t="str">
            <v>Welgevonden</v>
          </cell>
          <cell r="C101">
            <v>-33.901418908557098</v>
          </cell>
          <cell r="D101">
            <v>18.852105462298098</v>
          </cell>
        </row>
        <row r="102">
          <cell r="A102">
            <v>100</v>
          </cell>
          <cell r="B102" t="str">
            <v>Welgevonden</v>
          </cell>
          <cell r="C102">
            <v>-33.8990032106936</v>
          </cell>
          <cell r="D102">
            <v>18.846612064354801</v>
          </cell>
        </row>
        <row r="103">
          <cell r="A103">
            <v>101</v>
          </cell>
          <cell r="B103" t="str">
            <v>Welgevonden</v>
          </cell>
          <cell r="C103">
            <v>-33.902325491337699</v>
          </cell>
          <cell r="D103">
            <v>18.853525871237899</v>
          </cell>
        </row>
        <row r="104">
          <cell r="A104">
            <v>102</v>
          </cell>
          <cell r="B104" t="str">
            <v>Welgevonden</v>
          </cell>
          <cell r="C104">
            <v>-33.900481013182201</v>
          </cell>
          <cell r="D104">
            <v>18.857611001939802</v>
          </cell>
        </row>
        <row r="105">
          <cell r="A105">
            <v>103</v>
          </cell>
          <cell r="B105" t="str">
            <v>Welgevonden</v>
          </cell>
          <cell r="C105">
            <v>-33.898367573393799</v>
          </cell>
          <cell r="D105">
            <v>18.852564533046799</v>
          </cell>
        </row>
        <row r="106">
          <cell r="A106">
            <v>104</v>
          </cell>
          <cell r="B106" t="str">
            <v>Welgevonden</v>
          </cell>
          <cell r="C106">
            <v>-33.903442698668698</v>
          </cell>
          <cell r="D106">
            <v>18.858146220362201</v>
          </cell>
        </row>
        <row r="107">
          <cell r="A107">
            <v>105</v>
          </cell>
          <cell r="B107" t="str">
            <v>Welgevonden</v>
          </cell>
          <cell r="C107">
            <v>-33.897871748221</v>
          </cell>
          <cell r="D107">
            <v>18.8538339291899</v>
          </cell>
        </row>
        <row r="108">
          <cell r="A108">
            <v>106</v>
          </cell>
          <cell r="B108" t="str">
            <v>Welgevonden</v>
          </cell>
          <cell r="C108">
            <v>-33.902317541406703</v>
          </cell>
          <cell r="D108">
            <v>18.8520544233394</v>
          </cell>
        </row>
      </sheetData>
      <sheetData sheetId="7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Die Boord</v>
          </cell>
          <cell r="C2">
            <v>-33.948088259943503</v>
          </cell>
          <cell r="D2">
            <v>18.8489201534899</v>
          </cell>
        </row>
        <row r="3">
          <cell r="A3">
            <v>1</v>
          </cell>
          <cell r="B3" t="str">
            <v>Die Boord</v>
          </cell>
          <cell r="C3">
            <v>-33.946303369258402</v>
          </cell>
          <cell r="D3">
            <v>18.8438549370027</v>
          </cell>
        </row>
        <row r="4">
          <cell r="A4">
            <v>2</v>
          </cell>
          <cell r="B4" t="str">
            <v>Die Boord</v>
          </cell>
          <cell r="C4">
            <v>-33.9519151528226</v>
          </cell>
          <cell r="D4">
            <v>18.8488616290838</v>
          </cell>
        </row>
        <row r="5">
          <cell r="A5">
            <v>3</v>
          </cell>
          <cell r="B5" t="str">
            <v>Die Boord</v>
          </cell>
          <cell r="C5">
            <v>-33.949187247538802</v>
          </cell>
          <cell r="D5">
            <v>18.8443179675102</v>
          </cell>
        </row>
        <row r="6">
          <cell r="A6">
            <v>4</v>
          </cell>
          <cell r="B6" t="str">
            <v>Die Boord</v>
          </cell>
          <cell r="C6">
            <v>-33.942944369911601</v>
          </cell>
          <cell r="D6">
            <v>18.841794489350299</v>
          </cell>
        </row>
        <row r="7">
          <cell r="A7">
            <v>5</v>
          </cell>
          <cell r="B7" t="str">
            <v>Die Boord</v>
          </cell>
          <cell r="C7">
            <v>-33.9526487883888</v>
          </cell>
          <cell r="D7">
            <v>18.850439262126201</v>
          </cell>
        </row>
        <row r="8">
          <cell r="A8">
            <v>6</v>
          </cell>
          <cell r="B8" t="str">
            <v>Die Boord</v>
          </cell>
          <cell r="C8">
            <v>-33.949437666997298</v>
          </cell>
          <cell r="D8">
            <v>18.847777111609801</v>
          </cell>
        </row>
        <row r="9">
          <cell r="A9">
            <v>7</v>
          </cell>
          <cell r="B9" t="str">
            <v>Die Boord</v>
          </cell>
          <cell r="C9">
            <v>-33.947805883588302</v>
          </cell>
          <cell r="D9">
            <v>18.855316653948599</v>
          </cell>
        </row>
        <row r="10">
          <cell r="A10">
            <v>8</v>
          </cell>
          <cell r="B10" t="str">
            <v>Die Boord</v>
          </cell>
          <cell r="C10">
            <v>-33.9477614697376</v>
          </cell>
          <cell r="D10">
            <v>18.848172667169401</v>
          </cell>
        </row>
        <row r="11">
          <cell r="A11">
            <v>9</v>
          </cell>
          <cell r="B11" t="str">
            <v>Die Boord</v>
          </cell>
          <cell r="C11">
            <v>-33.9451193030947</v>
          </cell>
          <cell r="D11">
            <v>18.854801947807299</v>
          </cell>
        </row>
        <row r="12">
          <cell r="A12">
            <v>10</v>
          </cell>
          <cell r="B12" t="str">
            <v>Die Boord</v>
          </cell>
          <cell r="C12">
            <v>-33.947241100381603</v>
          </cell>
          <cell r="D12">
            <v>18.849073772946198</v>
          </cell>
        </row>
        <row r="13">
          <cell r="A13">
            <v>11</v>
          </cell>
          <cell r="B13" t="str">
            <v>Die Boord</v>
          </cell>
          <cell r="C13">
            <v>-33.945350118543999</v>
          </cell>
          <cell r="D13">
            <v>18.844135450032802</v>
          </cell>
        </row>
        <row r="14">
          <cell r="A14">
            <v>12</v>
          </cell>
          <cell r="B14" t="str">
            <v>Die Boord</v>
          </cell>
          <cell r="C14">
            <v>-33.951323267891503</v>
          </cell>
          <cell r="D14">
            <v>18.8550931604297</v>
          </cell>
        </row>
        <row r="15">
          <cell r="A15">
            <v>13</v>
          </cell>
          <cell r="B15" t="str">
            <v>Die Boord</v>
          </cell>
          <cell r="C15">
            <v>-33.952103569347798</v>
          </cell>
          <cell r="D15">
            <v>18.850228413822698</v>
          </cell>
        </row>
        <row r="16">
          <cell r="A16">
            <v>14</v>
          </cell>
          <cell r="B16" t="str">
            <v>Die Boord</v>
          </cell>
          <cell r="C16">
            <v>-33.951538061508103</v>
          </cell>
          <cell r="D16">
            <v>18.853646909142299</v>
          </cell>
        </row>
        <row r="17">
          <cell r="A17">
            <v>15</v>
          </cell>
          <cell r="B17" t="str">
            <v>Die Boord</v>
          </cell>
          <cell r="C17">
            <v>-33.947738370226297</v>
          </cell>
          <cell r="D17">
            <v>18.855149449695801</v>
          </cell>
        </row>
        <row r="18">
          <cell r="A18">
            <v>16</v>
          </cell>
          <cell r="B18" t="str">
            <v>Die Boord</v>
          </cell>
          <cell r="C18">
            <v>-33.943775193007497</v>
          </cell>
          <cell r="D18">
            <v>18.842995796212399</v>
          </cell>
        </row>
        <row r="19">
          <cell r="A19">
            <v>17</v>
          </cell>
          <cell r="B19" t="str">
            <v>Die Boord</v>
          </cell>
          <cell r="C19">
            <v>-33.952901946954697</v>
          </cell>
          <cell r="D19">
            <v>18.849941945545599</v>
          </cell>
        </row>
        <row r="20">
          <cell r="A20">
            <v>18</v>
          </cell>
          <cell r="B20" t="str">
            <v>Die Boord</v>
          </cell>
          <cell r="C20">
            <v>-33.953238726093197</v>
          </cell>
          <cell r="D20">
            <v>18.842297298624299</v>
          </cell>
        </row>
        <row r="21">
          <cell r="A21">
            <v>19</v>
          </cell>
          <cell r="B21" t="str">
            <v>Die Boord</v>
          </cell>
          <cell r="C21">
            <v>-33.9465475975678</v>
          </cell>
          <cell r="D21">
            <v>18.853214543999499</v>
          </cell>
        </row>
        <row r="22">
          <cell r="A22">
            <v>20</v>
          </cell>
          <cell r="B22" t="str">
            <v>Die Boord</v>
          </cell>
          <cell r="C22">
            <v>-33.950478038829999</v>
          </cell>
          <cell r="D22">
            <v>18.853591806788099</v>
          </cell>
        </row>
        <row r="23">
          <cell r="A23">
            <v>21</v>
          </cell>
          <cell r="B23" t="str">
            <v>Die Boord</v>
          </cell>
          <cell r="C23">
            <v>-33.9494230649534</v>
          </cell>
          <cell r="D23">
            <v>18.845073724845101</v>
          </cell>
        </row>
        <row r="24">
          <cell r="A24">
            <v>22</v>
          </cell>
          <cell r="B24" t="str">
            <v>Die Boord</v>
          </cell>
          <cell r="C24">
            <v>-33.953608258595999</v>
          </cell>
          <cell r="D24">
            <v>18.847697587776899</v>
          </cell>
        </row>
        <row r="25">
          <cell r="A25">
            <v>23</v>
          </cell>
          <cell r="B25" t="str">
            <v>Die Boord</v>
          </cell>
          <cell r="C25">
            <v>-33.953371520428099</v>
          </cell>
          <cell r="D25">
            <v>18.8520065371915</v>
          </cell>
        </row>
        <row r="26">
          <cell r="A26">
            <v>24</v>
          </cell>
          <cell r="B26" t="str">
            <v>Die Boord</v>
          </cell>
          <cell r="C26">
            <v>-33.953378913487597</v>
          </cell>
          <cell r="D26">
            <v>18.849508049215899</v>
          </cell>
        </row>
        <row r="27">
          <cell r="A27">
            <v>25</v>
          </cell>
          <cell r="B27" t="str">
            <v>Die Boord</v>
          </cell>
          <cell r="C27">
            <v>-33.942725442442097</v>
          </cell>
          <cell r="D27">
            <v>18.844724531746198</v>
          </cell>
        </row>
        <row r="28">
          <cell r="A28">
            <v>26</v>
          </cell>
          <cell r="B28" t="str">
            <v>Die Boord</v>
          </cell>
          <cell r="C28">
            <v>-33.949903040874602</v>
          </cell>
          <cell r="D28">
            <v>18.849803848571401</v>
          </cell>
        </row>
        <row r="29">
          <cell r="A29">
            <v>27</v>
          </cell>
          <cell r="B29" t="str">
            <v>Die Boord</v>
          </cell>
          <cell r="C29">
            <v>-33.94847539085</v>
          </cell>
          <cell r="D29">
            <v>18.846450934624901</v>
          </cell>
        </row>
        <row r="30">
          <cell r="A30">
            <v>28</v>
          </cell>
          <cell r="B30" t="str">
            <v>Die Boord</v>
          </cell>
          <cell r="C30">
            <v>-33.945638496006602</v>
          </cell>
          <cell r="D30">
            <v>18.8513273982987</v>
          </cell>
        </row>
        <row r="31">
          <cell r="A31">
            <v>29</v>
          </cell>
          <cell r="B31" t="str">
            <v>Die Boord</v>
          </cell>
          <cell r="C31">
            <v>-33.946725161741597</v>
          </cell>
          <cell r="D31">
            <v>18.850320116957199</v>
          </cell>
        </row>
        <row r="32">
          <cell r="A32">
            <v>30</v>
          </cell>
          <cell r="B32" t="str">
            <v>Die Boord</v>
          </cell>
          <cell r="C32">
            <v>-33.950296703904201</v>
          </cell>
          <cell r="D32">
            <v>18.853650306875899</v>
          </cell>
        </row>
        <row r="33">
          <cell r="A33">
            <v>31</v>
          </cell>
          <cell r="B33" t="str">
            <v>Die Boord</v>
          </cell>
          <cell r="C33">
            <v>-33.9516803201697</v>
          </cell>
          <cell r="D33">
            <v>18.851877400548201</v>
          </cell>
        </row>
        <row r="34">
          <cell r="A34">
            <v>32</v>
          </cell>
          <cell r="B34" t="str">
            <v>Die Boord</v>
          </cell>
          <cell r="C34">
            <v>-33.949387594524701</v>
          </cell>
          <cell r="D34">
            <v>18.852327311743601</v>
          </cell>
        </row>
        <row r="35">
          <cell r="A35">
            <v>33</v>
          </cell>
          <cell r="B35" t="str">
            <v>Die Boord</v>
          </cell>
          <cell r="C35">
            <v>-33.944554599055103</v>
          </cell>
          <cell r="D35">
            <v>18.8416782489338</v>
          </cell>
        </row>
        <row r="36">
          <cell r="A36">
            <v>34</v>
          </cell>
          <cell r="B36" t="str">
            <v>Die Boord</v>
          </cell>
          <cell r="C36">
            <v>-33.948784964716502</v>
          </cell>
          <cell r="D36">
            <v>18.846893242602601</v>
          </cell>
        </row>
        <row r="37">
          <cell r="A37">
            <v>35</v>
          </cell>
          <cell r="B37" t="str">
            <v>Die Boord</v>
          </cell>
          <cell r="C37">
            <v>-33.944534160761897</v>
          </cell>
          <cell r="D37">
            <v>18.845796891533102</v>
          </cell>
        </row>
        <row r="38">
          <cell r="A38">
            <v>36</v>
          </cell>
          <cell r="B38" t="str">
            <v>Die Boord</v>
          </cell>
          <cell r="C38">
            <v>-33.952506010617</v>
          </cell>
          <cell r="D38">
            <v>18.84170256721</v>
          </cell>
        </row>
        <row r="39">
          <cell r="A39">
            <v>37</v>
          </cell>
          <cell r="B39" t="str">
            <v>Die Boord</v>
          </cell>
          <cell r="C39">
            <v>-33.945097208213198</v>
          </cell>
          <cell r="D39">
            <v>18.852205428034001</v>
          </cell>
        </row>
        <row r="40">
          <cell r="A40">
            <v>38</v>
          </cell>
          <cell r="B40" t="str">
            <v>Die Boord</v>
          </cell>
          <cell r="C40">
            <v>-33.941982267713499</v>
          </cell>
          <cell r="D40">
            <v>18.855282064103399</v>
          </cell>
        </row>
        <row r="41">
          <cell r="A41">
            <v>39</v>
          </cell>
          <cell r="B41" t="str">
            <v>Die Boord</v>
          </cell>
          <cell r="C41">
            <v>-33.952517943263103</v>
          </cell>
          <cell r="D41">
            <v>18.844555457255701</v>
          </cell>
        </row>
        <row r="42">
          <cell r="A42">
            <v>40</v>
          </cell>
          <cell r="B42" t="str">
            <v>Die Boord</v>
          </cell>
          <cell r="C42">
            <v>-33.9471527085147</v>
          </cell>
          <cell r="D42">
            <v>18.844778170093701</v>
          </cell>
        </row>
        <row r="43">
          <cell r="A43">
            <v>41</v>
          </cell>
          <cell r="B43" t="str">
            <v>Die Boord</v>
          </cell>
          <cell r="C43">
            <v>-33.944367359850503</v>
          </cell>
          <cell r="D43">
            <v>18.844665278985399</v>
          </cell>
        </row>
        <row r="44">
          <cell r="A44">
            <v>42</v>
          </cell>
          <cell r="B44" t="str">
            <v>Die Boord</v>
          </cell>
          <cell r="C44">
            <v>-33.943703231203301</v>
          </cell>
          <cell r="D44">
            <v>18.8497275504171</v>
          </cell>
        </row>
        <row r="45">
          <cell r="A45">
            <v>43</v>
          </cell>
          <cell r="B45" t="str">
            <v>Die Boord</v>
          </cell>
          <cell r="C45">
            <v>-33.953334866739702</v>
          </cell>
          <cell r="D45">
            <v>18.854458717335302</v>
          </cell>
        </row>
        <row r="46">
          <cell r="A46">
            <v>44</v>
          </cell>
          <cell r="B46" t="str">
            <v>Die Boord</v>
          </cell>
          <cell r="C46">
            <v>-33.950328288933797</v>
          </cell>
          <cell r="D46">
            <v>18.8464904346678</v>
          </cell>
        </row>
        <row r="47">
          <cell r="A47">
            <v>45</v>
          </cell>
          <cell r="B47" t="str">
            <v>Die Boord</v>
          </cell>
          <cell r="C47">
            <v>-33.949260233666898</v>
          </cell>
          <cell r="D47">
            <v>18.8449886091854</v>
          </cell>
        </row>
        <row r="48">
          <cell r="A48">
            <v>46</v>
          </cell>
          <cell r="B48" t="str">
            <v>Die Boord</v>
          </cell>
          <cell r="C48">
            <v>-33.953221897935798</v>
          </cell>
          <cell r="D48">
            <v>18.849829269862202</v>
          </cell>
        </row>
        <row r="49">
          <cell r="A49">
            <v>47</v>
          </cell>
          <cell r="B49" t="str">
            <v>Die Boord</v>
          </cell>
          <cell r="C49">
            <v>-33.945234845460199</v>
          </cell>
          <cell r="D49">
            <v>18.845165006994701</v>
          </cell>
        </row>
        <row r="50">
          <cell r="A50">
            <v>48</v>
          </cell>
          <cell r="B50" t="str">
            <v>Die Boord</v>
          </cell>
          <cell r="C50">
            <v>-33.949760766857203</v>
          </cell>
          <cell r="D50">
            <v>18.844466235329801</v>
          </cell>
        </row>
        <row r="51">
          <cell r="A51">
            <v>49</v>
          </cell>
          <cell r="B51" t="str">
            <v>Die Boord</v>
          </cell>
          <cell r="C51">
            <v>-33.943952768375098</v>
          </cell>
          <cell r="D51">
            <v>18.848503142586502</v>
          </cell>
        </row>
        <row r="52">
          <cell r="A52">
            <v>50</v>
          </cell>
          <cell r="B52" t="str">
            <v>Die Boord</v>
          </cell>
          <cell r="C52">
            <v>-33.946519791046597</v>
          </cell>
          <cell r="D52">
            <v>18.850848166481299</v>
          </cell>
        </row>
        <row r="53">
          <cell r="A53">
            <v>51</v>
          </cell>
          <cell r="B53" t="str">
            <v>Die Boord</v>
          </cell>
          <cell r="C53">
            <v>-33.9422376084256</v>
          </cell>
          <cell r="D53">
            <v>18.850917196890201</v>
          </cell>
        </row>
        <row r="54">
          <cell r="A54">
            <v>52</v>
          </cell>
          <cell r="B54" t="str">
            <v>Die Boord</v>
          </cell>
          <cell r="C54">
            <v>-33.9452416541153</v>
          </cell>
          <cell r="D54">
            <v>18.8416744326741</v>
          </cell>
        </row>
        <row r="55">
          <cell r="A55">
            <v>53</v>
          </cell>
          <cell r="B55" t="str">
            <v>Die Boord</v>
          </cell>
          <cell r="C55">
            <v>-33.943878663417202</v>
          </cell>
          <cell r="D55">
            <v>18.843444924868098</v>
          </cell>
        </row>
        <row r="56">
          <cell r="A56">
            <v>54</v>
          </cell>
          <cell r="B56" t="str">
            <v>Die Boord</v>
          </cell>
          <cell r="C56">
            <v>-33.947231774752197</v>
          </cell>
          <cell r="D56">
            <v>18.848606321153699</v>
          </cell>
        </row>
        <row r="57">
          <cell r="A57">
            <v>55</v>
          </cell>
          <cell r="B57" t="str">
            <v>Die Boord</v>
          </cell>
          <cell r="C57">
            <v>-33.952963354940202</v>
          </cell>
          <cell r="D57">
            <v>18.854751182182401</v>
          </cell>
        </row>
        <row r="58">
          <cell r="A58">
            <v>56</v>
          </cell>
          <cell r="B58" t="str">
            <v>Die Boord</v>
          </cell>
          <cell r="C58">
            <v>-33.9530913481724</v>
          </cell>
          <cell r="D58">
            <v>18.8419914673634</v>
          </cell>
        </row>
        <row r="59">
          <cell r="A59">
            <v>57</v>
          </cell>
          <cell r="B59" t="str">
            <v>Die Boord</v>
          </cell>
          <cell r="C59">
            <v>-33.9419464364898</v>
          </cell>
          <cell r="D59">
            <v>18.846181398530401</v>
          </cell>
        </row>
        <row r="60">
          <cell r="A60">
            <v>58</v>
          </cell>
          <cell r="B60" t="str">
            <v>Die Boord</v>
          </cell>
          <cell r="C60">
            <v>-33.944152717825503</v>
          </cell>
          <cell r="D60">
            <v>18.842667883705101</v>
          </cell>
        </row>
        <row r="61">
          <cell r="A61">
            <v>59</v>
          </cell>
          <cell r="B61" t="str">
            <v>Die Boord</v>
          </cell>
          <cell r="C61">
            <v>-33.949371965380898</v>
          </cell>
          <cell r="D61">
            <v>18.8427710466162</v>
          </cell>
        </row>
        <row r="62">
          <cell r="A62">
            <v>60</v>
          </cell>
          <cell r="B62" t="str">
            <v>Die Boord</v>
          </cell>
          <cell r="C62">
            <v>-33.942248823459302</v>
          </cell>
          <cell r="D62">
            <v>18.841643130083899</v>
          </cell>
        </row>
        <row r="63">
          <cell r="A63">
            <v>61</v>
          </cell>
          <cell r="B63" t="str">
            <v>Die Boord</v>
          </cell>
          <cell r="C63">
            <v>-33.942331536406797</v>
          </cell>
          <cell r="D63">
            <v>18.842576152630301</v>
          </cell>
        </row>
        <row r="64">
          <cell r="A64">
            <v>62</v>
          </cell>
          <cell r="B64" t="str">
            <v>Die Boord</v>
          </cell>
          <cell r="C64">
            <v>-33.951451965201898</v>
          </cell>
          <cell r="D64">
            <v>18.8529911761199</v>
          </cell>
        </row>
        <row r="65">
          <cell r="A65">
            <v>63</v>
          </cell>
          <cell r="B65" t="str">
            <v>Die Boord</v>
          </cell>
          <cell r="C65">
            <v>-33.945129764252997</v>
          </cell>
          <cell r="D65">
            <v>18.852540895841699</v>
          </cell>
        </row>
        <row r="66">
          <cell r="A66">
            <v>64</v>
          </cell>
          <cell r="B66" t="str">
            <v>Die Boord</v>
          </cell>
          <cell r="C66">
            <v>-33.947724628911601</v>
          </cell>
          <cell r="D66">
            <v>18.851712499719</v>
          </cell>
        </row>
        <row r="67">
          <cell r="A67">
            <v>65</v>
          </cell>
          <cell r="B67" t="str">
            <v>Die Boord</v>
          </cell>
          <cell r="C67">
            <v>-33.949521509704503</v>
          </cell>
          <cell r="D67">
            <v>18.853673342650101</v>
          </cell>
        </row>
        <row r="68">
          <cell r="A68">
            <v>66</v>
          </cell>
          <cell r="B68" t="str">
            <v>Die Boord</v>
          </cell>
          <cell r="C68">
            <v>-33.953254610863297</v>
          </cell>
          <cell r="D68">
            <v>18.844481968848701</v>
          </cell>
        </row>
        <row r="69">
          <cell r="A69">
            <v>67</v>
          </cell>
          <cell r="B69" t="str">
            <v>Die Boord</v>
          </cell>
          <cell r="C69">
            <v>-33.950466840883799</v>
          </cell>
          <cell r="D69">
            <v>18.853719363856101</v>
          </cell>
        </row>
        <row r="70">
          <cell r="A70">
            <v>68</v>
          </cell>
          <cell r="B70" t="str">
            <v>Die Boord</v>
          </cell>
          <cell r="C70">
            <v>-33.951852188803898</v>
          </cell>
          <cell r="D70">
            <v>18.846144055928399</v>
          </cell>
        </row>
        <row r="71">
          <cell r="A71">
            <v>69</v>
          </cell>
          <cell r="B71" t="str">
            <v>Die Boord</v>
          </cell>
          <cell r="C71">
            <v>-33.944119222208997</v>
          </cell>
          <cell r="D71">
            <v>18.851219781860799</v>
          </cell>
        </row>
        <row r="72">
          <cell r="A72">
            <v>70</v>
          </cell>
          <cell r="B72" t="str">
            <v>Die Boord</v>
          </cell>
          <cell r="C72">
            <v>-33.9531245773507</v>
          </cell>
          <cell r="D72">
            <v>18.848005928008099</v>
          </cell>
        </row>
        <row r="73">
          <cell r="A73">
            <v>71</v>
          </cell>
          <cell r="B73" t="str">
            <v>Die Boord</v>
          </cell>
          <cell r="C73">
            <v>-33.948447922403901</v>
          </cell>
          <cell r="D73">
            <v>18.848026791622701</v>
          </cell>
        </row>
        <row r="74">
          <cell r="A74">
            <v>72</v>
          </cell>
          <cell r="B74" t="str">
            <v>Die Boord</v>
          </cell>
          <cell r="C74">
            <v>-33.942902411105599</v>
          </cell>
          <cell r="D74">
            <v>18.8534219626729</v>
          </cell>
        </row>
        <row r="75">
          <cell r="A75">
            <v>73</v>
          </cell>
          <cell r="B75" t="str">
            <v>Die Boord</v>
          </cell>
          <cell r="C75">
            <v>-33.952521135284201</v>
          </cell>
          <cell r="D75">
            <v>18.853810707013398</v>
          </cell>
        </row>
        <row r="76">
          <cell r="A76">
            <v>74</v>
          </cell>
          <cell r="B76" t="str">
            <v>Die Boord</v>
          </cell>
          <cell r="C76">
            <v>-33.9457204999349</v>
          </cell>
          <cell r="D76">
            <v>18.8485422350462</v>
          </cell>
        </row>
        <row r="77">
          <cell r="A77">
            <v>75</v>
          </cell>
          <cell r="B77" t="str">
            <v>Die Boord</v>
          </cell>
          <cell r="C77">
            <v>-33.949365803051499</v>
          </cell>
          <cell r="D77">
            <v>18.843683076084801</v>
          </cell>
        </row>
        <row r="78">
          <cell r="A78">
            <v>76</v>
          </cell>
          <cell r="B78" t="str">
            <v>Die Boord</v>
          </cell>
          <cell r="C78">
            <v>-33.943128595752697</v>
          </cell>
          <cell r="D78">
            <v>18.847060523628102</v>
          </cell>
        </row>
        <row r="79">
          <cell r="A79">
            <v>77</v>
          </cell>
          <cell r="B79" t="str">
            <v>Die Boord</v>
          </cell>
          <cell r="C79">
            <v>-33.952129637043399</v>
          </cell>
          <cell r="D79">
            <v>18.8447212127992</v>
          </cell>
        </row>
        <row r="80">
          <cell r="A80">
            <v>78</v>
          </cell>
          <cell r="B80" t="str">
            <v>Die Boord</v>
          </cell>
          <cell r="C80">
            <v>-33.942945414411199</v>
          </cell>
          <cell r="D80">
            <v>18.8416443791888</v>
          </cell>
        </row>
        <row r="81">
          <cell r="A81">
            <v>79</v>
          </cell>
          <cell r="B81" t="str">
            <v>Die Boord</v>
          </cell>
          <cell r="C81">
            <v>-33.953130326515101</v>
          </cell>
          <cell r="D81">
            <v>18.8521141928254</v>
          </cell>
        </row>
        <row r="82">
          <cell r="A82">
            <v>80</v>
          </cell>
          <cell r="B82" t="str">
            <v>Die Boord</v>
          </cell>
          <cell r="C82">
            <v>-33.949532653256803</v>
          </cell>
          <cell r="D82">
            <v>18.850148808961801</v>
          </cell>
        </row>
        <row r="83">
          <cell r="A83">
            <v>81</v>
          </cell>
          <cell r="B83" t="str">
            <v>Die Boord</v>
          </cell>
          <cell r="C83">
            <v>-33.946052428053001</v>
          </cell>
          <cell r="D83">
            <v>18.842209360217598</v>
          </cell>
        </row>
        <row r="84">
          <cell r="A84">
            <v>82</v>
          </cell>
          <cell r="B84" t="str">
            <v>Die Boord</v>
          </cell>
          <cell r="C84">
            <v>-33.947473250302998</v>
          </cell>
          <cell r="D84">
            <v>18.854106117946099</v>
          </cell>
        </row>
        <row r="85">
          <cell r="A85">
            <v>83</v>
          </cell>
          <cell r="B85" t="str">
            <v>Die Boord</v>
          </cell>
          <cell r="C85">
            <v>-33.951973925726897</v>
          </cell>
          <cell r="D85">
            <v>18.8435853895398</v>
          </cell>
        </row>
        <row r="86">
          <cell r="A86">
            <v>84</v>
          </cell>
          <cell r="B86" t="str">
            <v>Die Boord</v>
          </cell>
          <cell r="C86">
            <v>-33.944877622479503</v>
          </cell>
          <cell r="D86">
            <v>18.852783455679599</v>
          </cell>
        </row>
        <row r="87">
          <cell r="A87">
            <v>85</v>
          </cell>
          <cell r="B87" t="str">
            <v>Die Boord</v>
          </cell>
          <cell r="C87">
            <v>-33.948947961060099</v>
          </cell>
          <cell r="D87">
            <v>18.847808956019598</v>
          </cell>
        </row>
        <row r="88">
          <cell r="A88">
            <v>86</v>
          </cell>
          <cell r="B88" t="str">
            <v>Die Boord</v>
          </cell>
          <cell r="C88">
            <v>-33.942963128816501</v>
          </cell>
          <cell r="D88">
            <v>18.851414615854001</v>
          </cell>
        </row>
        <row r="89">
          <cell r="A89">
            <v>87</v>
          </cell>
          <cell r="B89" t="str">
            <v>Die Boord</v>
          </cell>
          <cell r="C89">
            <v>-33.941968713815903</v>
          </cell>
          <cell r="D89">
            <v>18.851787051686902</v>
          </cell>
        </row>
        <row r="90">
          <cell r="A90">
            <v>88</v>
          </cell>
          <cell r="B90" t="str">
            <v>Die Boord</v>
          </cell>
          <cell r="C90">
            <v>-33.947441498181</v>
          </cell>
          <cell r="D90">
            <v>18.845023637026699</v>
          </cell>
        </row>
        <row r="91">
          <cell r="A91">
            <v>89</v>
          </cell>
          <cell r="B91" t="str">
            <v>Die Boord</v>
          </cell>
          <cell r="C91">
            <v>-33.953327937279496</v>
          </cell>
          <cell r="D91">
            <v>18.848562004591901</v>
          </cell>
        </row>
        <row r="92">
          <cell r="A92">
            <v>90</v>
          </cell>
          <cell r="B92" t="str">
            <v>Die Boord</v>
          </cell>
          <cell r="C92">
            <v>-33.945068465641199</v>
          </cell>
          <cell r="D92">
            <v>18.848700748129399</v>
          </cell>
        </row>
        <row r="93">
          <cell r="A93">
            <v>91</v>
          </cell>
          <cell r="B93" t="str">
            <v>Die Boord</v>
          </cell>
          <cell r="C93">
            <v>-33.949656132135999</v>
          </cell>
          <cell r="D93">
            <v>18.854359239372599</v>
          </cell>
        </row>
        <row r="94">
          <cell r="A94">
            <v>92</v>
          </cell>
          <cell r="B94" t="str">
            <v>Die Boord</v>
          </cell>
          <cell r="C94">
            <v>-33.941987359235902</v>
          </cell>
          <cell r="D94">
            <v>18.845722207554701</v>
          </cell>
        </row>
        <row r="95">
          <cell r="A95">
            <v>93</v>
          </cell>
          <cell r="B95" t="str">
            <v>Die Boord</v>
          </cell>
          <cell r="C95">
            <v>-33.9456278550131</v>
          </cell>
          <cell r="D95">
            <v>18.852076831335701</v>
          </cell>
        </row>
        <row r="96">
          <cell r="A96">
            <v>94</v>
          </cell>
          <cell r="B96" t="str">
            <v>Die Boord</v>
          </cell>
          <cell r="C96">
            <v>-33.943113877374003</v>
          </cell>
          <cell r="D96">
            <v>18.852172582140302</v>
          </cell>
        </row>
        <row r="97">
          <cell r="A97">
            <v>95</v>
          </cell>
          <cell r="B97" t="str">
            <v>Die Boord</v>
          </cell>
          <cell r="C97">
            <v>-33.954070152834902</v>
          </cell>
          <cell r="D97">
            <v>18.84459689809</v>
          </cell>
        </row>
        <row r="98">
          <cell r="A98">
            <v>96</v>
          </cell>
          <cell r="B98" t="str">
            <v>Die Boord</v>
          </cell>
          <cell r="C98">
            <v>-33.9502908036186</v>
          </cell>
          <cell r="D98">
            <v>18.849815015358001</v>
          </cell>
        </row>
        <row r="99">
          <cell r="A99">
            <v>97</v>
          </cell>
          <cell r="B99" t="str">
            <v>Die Boord</v>
          </cell>
          <cell r="C99">
            <v>-33.953142614641301</v>
          </cell>
          <cell r="D99">
            <v>18.848841877646301</v>
          </cell>
        </row>
        <row r="100">
          <cell r="A100">
            <v>98</v>
          </cell>
          <cell r="B100" t="str">
            <v>Die Boord</v>
          </cell>
          <cell r="C100">
            <v>-33.952974893915901</v>
          </cell>
          <cell r="D100">
            <v>18.849210026517</v>
          </cell>
        </row>
        <row r="101">
          <cell r="A101">
            <v>99</v>
          </cell>
          <cell r="B101" t="str">
            <v>Die Boord</v>
          </cell>
          <cell r="C101">
            <v>-33.949893034741599</v>
          </cell>
          <cell r="D101">
            <v>18.8480057381745</v>
          </cell>
        </row>
        <row r="102">
          <cell r="A102">
            <v>100</v>
          </cell>
          <cell r="B102" t="str">
            <v>Die Boord</v>
          </cell>
          <cell r="C102">
            <v>-33.945077687624298</v>
          </cell>
          <cell r="D102">
            <v>18.841866391652101</v>
          </cell>
        </row>
        <row r="103">
          <cell r="A103">
            <v>101</v>
          </cell>
          <cell r="B103" t="str">
            <v>Die Boord</v>
          </cell>
          <cell r="C103">
            <v>-33.951700177449901</v>
          </cell>
          <cell r="D103">
            <v>18.849593167808301</v>
          </cell>
        </row>
        <row r="104">
          <cell r="A104">
            <v>102</v>
          </cell>
          <cell r="B104" t="str">
            <v>Die Boord</v>
          </cell>
          <cell r="C104">
            <v>-33.948023474869103</v>
          </cell>
          <cell r="D104">
            <v>18.854158654093201</v>
          </cell>
        </row>
        <row r="105">
          <cell r="A105">
            <v>103</v>
          </cell>
          <cell r="B105" t="str">
            <v>Die Boord</v>
          </cell>
          <cell r="C105">
            <v>-33.943810635860203</v>
          </cell>
          <cell r="D105">
            <v>18.848518789374101</v>
          </cell>
        </row>
        <row r="106">
          <cell r="A106">
            <v>104</v>
          </cell>
          <cell r="B106" t="str">
            <v>Die Boord</v>
          </cell>
          <cell r="C106">
            <v>-33.953927169981597</v>
          </cell>
          <cell r="D106">
            <v>18.8547568068931</v>
          </cell>
        </row>
        <row r="107">
          <cell r="A107">
            <v>105</v>
          </cell>
          <cell r="B107" t="str">
            <v>Die Boord</v>
          </cell>
          <cell r="C107">
            <v>-33.942822279513102</v>
          </cell>
          <cell r="D107">
            <v>18.8499374491685</v>
          </cell>
        </row>
        <row r="108">
          <cell r="A108">
            <v>106</v>
          </cell>
          <cell r="B108" t="str">
            <v>Die Boord</v>
          </cell>
          <cell r="C108">
            <v>-33.951684330402898</v>
          </cell>
          <cell r="D108">
            <v>18.847948697731301</v>
          </cell>
        </row>
        <row r="109">
          <cell r="A109">
            <v>107</v>
          </cell>
          <cell r="B109" t="str">
            <v>Die Boord</v>
          </cell>
          <cell r="C109">
            <v>-33.9533782784316</v>
          </cell>
          <cell r="D109">
            <v>18.8425516251841</v>
          </cell>
        </row>
        <row r="110">
          <cell r="A110">
            <v>108</v>
          </cell>
          <cell r="B110" t="str">
            <v>Die Boord</v>
          </cell>
          <cell r="C110">
            <v>-33.9435750603879</v>
          </cell>
          <cell r="D110">
            <v>18.841258702560499</v>
          </cell>
        </row>
      </sheetData>
      <sheetData sheetId="8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Idas Valley</v>
          </cell>
          <cell r="C2">
            <v>-33.9221019205687</v>
          </cell>
          <cell r="D2">
            <v>18.883778790581399</v>
          </cell>
        </row>
        <row r="3">
          <cell r="A3">
            <v>1</v>
          </cell>
          <cell r="B3" t="str">
            <v>Idas Valley</v>
          </cell>
          <cell r="C3">
            <v>-33.920866150752197</v>
          </cell>
          <cell r="D3">
            <v>18.8752234110713</v>
          </cell>
        </row>
        <row r="4">
          <cell r="A4">
            <v>2</v>
          </cell>
          <cell r="B4" t="str">
            <v>Idas Valley</v>
          </cell>
          <cell r="C4">
            <v>-33.924751471462997</v>
          </cell>
          <cell r="D4">
            <v>18.883679940215199</v>
          </cell>
        </row>
        <row r="5">
          <cell r="A5">
            <v>3</v>
          </cell>
          <cell r="B5" t="str">
            <v>Idas Valley</v>
          </cell>
          <cell r="C5">
            <v>-33.9228628050925</v>
          </cell>
          <cell r="D5">
            <v>18.876005490519599</v>
          </cell>
        </row>
        <row r="6">
          <cell r="A6">
            <v>4</v>
          </cell>
          <cell r="B6" t="str">
            <v>Idas Valley</v>
          </cell>
          <cell r="C6">
            <v>-33.918540546141799</v>
          </cell>
          <cell r="D6">
            <v>18.8717432218886</v>
          </cell>
        </row>
        <row r="7">
          <cell r="A7">
            <v>5</v>
          </cell>
          <cell r="B7" t="str">
            <v>Idas Valley</v>
          </cell>
          <cell r="C7">
            <v>-33.925259404355899</v>
          </cell>
          <cell r="D7">
            <v>18.8863446337064</v>
          </cell>
        </row>
        <row r="8">
          <cell r="A8">
            <v>6</v>
          </cell>
          <cell r="B8" t="str">
            <v>Idas Valley</v>
          </cell>
          <cell r="C8">
            <v>-33.9230361831099</v>
          </cell>
          <cell r="D8">
            <v>18.881848141199399</v>
          </cell>
        </row>
        <row r="9">
          <cell r="A9">
            <v>7</v>
          </cell>
          <cell r="B9" t="str">
            <v>Idas Valley</v>
          </cell>
          <cell r="C9">
            <v>-33.921906417180502</v>
          </cell>
          <cell r="D9">
            <v>18.8945827688711</v>
          </cell>
        </row>
        <row r="10">
          <cell r="A10">
            <v>8</v>
          </cell>
          <cell r="B10" t="str">
            <v>Idas Valley</v>
          </cell>
          <cell r="C10">
            <v>-33.9218756672322</v>
          </cell>
          <cell r="D10">
            <v>18.882516252412199</v>
          </cell>
        </row>
        <row r="11">
          <cell r="A11">
            <v>9</v>
          </cell>
          <cell r="B11" t="str">
            <v>Idas Valley</v>
          </cell>
          <cell r="C11">
            <v>-33.920046362045802</v>
          </cell>
          <cell r="D11">
            <v>18.893713406942201</v>
          </cell>
        </row>
        <row r="12">
          <cell r="A12">
            <v>10</v>
          </cell>
          <cell r="B12" t="str">
            <v>Idas Valley</v>
          </cell>
          <cell r="C12">
            <v>-33.921515389289702</v>
          </cell>
          <cell r="D12">
            <v>18.884038260784099</v>
          </cell>
        </row>
        <row r="13">
          <cell r="A13">
            <v>11</v>
          </cell>
          <cell r="B13" t="str">
            <v>Idas Valley</v>
          </cell>
          <cell r="C13">
            <v>-33.920206167219199</v>
          </cell>
          <cell r="D13">
            <v>18.875697210253598</v>
          </cell>
        </row>
        <row r="14">
          <cell r="A14">
            <v>12</v>
          </cell>
          <cell r="B14" t="str">
            <v>Idas Valley</v>
          </cell>
          <cell r="C14">
            <v>-33.924341679682001</v>
          </cell>
          <cell r="D14">
            <v>18.894205278219399</v>
          </cell>
        </row>
        <row r="15">
          <cell r="A15">
            <v>13</v>
          </cell>
          <cell r="B15" t="str">
            <v>Idas Valley</v>
          </cell>
          <cell r="C15">
            <v>-33.924881921723497</v>
          </cell>
          <cell r="D15">
            <v>18.885988501394898</v>
          </cell>
        </row>
        <row r="16">
          <cell r="A16">
            <v>14</v>
          </cell>
          <cell r="B16" t="str">
            <v>Idas Valley</v>
          </cell>
          <cell r="C16">
            <v>-33.924490392132803</v>
          </cell>
          <cell r="D16">
            <v>18.891762494448599</v>
          </cell>
        </row>
        <row r="17">
          <cell r="A17">
            <v>15</v>
          </cell>
          <cell r="B17" t="str">
            <v>Idas Valley</v>
          </cell>
          <cell r="C17">
            <v>-33.921859674275801</v>
          </cell>
          <cell r="D17">
            <v>18.8943003533332</v>
          </cell>
        </row>
        <row r="18">
          <cell r="A18">
            <v>16</v>
          </cell>
          <cell r="B18" t="str">
            <v>Idas Valley</v>
          </cell>
          <cell r="C18">
            <v>-33.919115766861601</v>
          </cell>
          <cell r="D18">
            <v>18.873772283457601</v>
          </cell>
        </row>
        <row r="19">
          <cell r="A19">
            <v>17</v>
          </cell>
          <cell r="B19" t="str">
            <v>Idas Valley</v>
          </cell>
          <cell r="C19">
            <v>-33.925434678795398</v>
          </cell>
          <cell r="D19">
            <v>18.885504643531402</v>
          </cell>
        </row>
        <row r="20">
          <cell r="A20">
            <v>18</v>
          </cell>
          <cell r="B20" t="str">
            <v>Idas Valley</v>
          </cell>
          <cell r="C20">
            <v>-33.9256678479736</v>
          </cell>
          <cell r="D20">
            <v>18.8725924894709</v>
          </cell>
        </row>
        <row r="21">
          <cell r="A21">
            <v>19</v>
          </cell>
          <cell r="B21" t="str">
            <v>Idas Valley</v>
          </cell>
          <cell r="C21">
            <v>-33.921035242324898</v>
          </cell>
          <cell r="D21">
            <v>18.891032210186701</v>
          </cell>
        </row>
        <row r="22">
          <cell r="A22">
            <v>20</v>
          </cell>
          <cell r="B22" t="str">
            <v>Idas Valley</v>
          </cell>
          <cell r="C22">
            <v>-33.923756484985901</v>
          </cell>
          <cell r="D22">
            <v>18.8916694240827</v>
          </cell>
        </row>
        <row r="23">
          <cell r="A23">
            <v>21</v>
          </cell>
          <cell r="B23" t="str">
            <v>Idas Valley</v>
          </cell>
          <cell r="C23">
            <v>-33.923026073378701</v>
          </cell>
          <cell r="D23">
            <v>18.877281998806001</v>
          </cell>
        </row>
        <row r="24">
          <cell r="A24">
            <v>22</v>
          </cell>
          <cell r="B24" t="str">
            <v>Idas Valley</v>
          </cell>
          <cell r="C24">
            <v>-33.925923693957301</v>
          </cell>
          <cell r="D24">
            <v>18.8817138218525</v>
          </cell>
        </row>
        <row r="25">
          <cell r="A25">
            <v>23</v>
          </cell>
          <cell r="B25" t="str">
            <v>Idas Valley</v>
          </cell>
          <cell r="C25">
            <v>-33.9257597881872</v>
          </cell>
          <cell r="D25">
            <v>18.888991832106299</v>
          </cell>
        </row>
        <row r="26">
          <cell r="A26">
            <v>24</v>
          </cell>
          <cell r="B26" t="str">
            <v>Idas Valley</v>
          </cell>
          <cell r="C26">
            <v>-33.9257649067751</v>
          </cell>
          <cell r="D26">
            <v>18.884771773025602</v>
          </cell>
        </row>
        <row r="27">
          <cell r="A27">
            <v>25</v>
          </cell>
          <cell r="B27" t="str">
            <v>Idas Valley</v>
          </cell>
          <cell r="C27">
            <v>-33.918388971616203</v>
          </cell>
          <cell r="D27">
            <v>18.8766921958842</v>
          </cell>
        </row>
        <row r="28">
          <cell r="A28">
            <v>26</v>
          </cell>
          <cell r="B28" t="str">
            <v>Idas Valley</v>
          </cell>
          <cell r="C28">
            <v>-33.923358384909598</v>
          </cell>
          <cell r="D28">
            <v>18.885271391502201</v>
          </cell>
        </row>
        <row r="29">
          <cell r="A29">
            <v>27</v>
          </cell>
          <cell r="B29" t="str">
            <v>Idas Valley</v>
          </cell>
          <cell r="C29">
            <v>-33.922369950814598</v>
          </cell>
          <cell r="D29">
            <v>18.879608168351002</v>
          </cell>
        </row>
        <row r="30">
          <cell r="A30">
            <v>28</v>
          </cell>
          <cell r="B30" t="str">
            <v>Idas Valley</v>
          </cell>
          <cell r="C30">
            <v>-33.920405825476699</v>
          </cell>
          <cell r="D30">
            <v>18.887844735830601</v>
          </cell>
        </row>
        <row r="31">
          <cell r="A31">
            <v>29</v>
          </cell>
          <cell r="B31" t="str">
            <v>Idas Valley</v>
          </cell>
          <cell r="C31">
            <v>-33.921158178955302</v>
          </cell>
          <cell r="D31">
            <v>18.886143392132499</v>
          </cell>
        </row>
        <row r="32">
          <cell r="A32">
            <v>30</v>
          </cell>
          <cell r="B32" t="str">
            <v>Idas Valley</v>
          </cell>
          <cell r="C32">
            <v>-33.9236309376737</v>
          </cell>
          <cell r="D32">
            <v>18.891768233374201</v>
          </cell>
        </row>
        <row r="33">
          <cell r="A33">
            <v>31</v>
          </cell>
          <cell r="B33" t="str">
            <v>Idas Valley</v>
          </cell>
          <cell r="C33">
            <v>-33.924588884976998</v>
          </cell>
          <cell r="D33">
            <v>18.888773714481001</v>
          </cell>
        </row>
        <row r="34">
          <cell r="A34">
            <v>32</v>
          </cell>
          <cell r="B34" t="str">
            <v>Idas Valley</v>
          </cell>
          <cell r="C34">
            <v>-33.923001515412402</v>
          </cell>
          <cell r="D34">
            <v>18.889533634818399</v>
          </cell>
        </row>
        <row r="35">
          <cell r="A35">
            <v>33</v>
          </cell>
          <cell r="B35" t="str">
            <v>Idas Valley</v>
          </cell>
          <cell r="C35">
            <v>-33.919655388966497</v>
          </cell>
          <cell r="D35">
            <v>18.871546886573</v>
          </cell>
        </row>
        <row r="36">
          <cell r="A36">
            <v>34</v>
          </cell>
          <cell r="B36" t="str">
            <v>Idas Valley</v>
          </cell>
          <cell r="C36">
            <v>-33.9225842844113</v>
          </cell>
          <cell r="D36">
            <v>18.880355246510199</v>
          </cell>
        </row>
        <row r="37">
          <cell r="A37">
            <v>35</v>
          </cell>
          <cell r="B37" t="str">
            <v>Idas Valley</v>
          </cell>
          <cell r="C37">
            <v>-33.919641238505598</v>
          </cell>
          <cell r="D37">
            <v>18.8785034600171</v>
          </cell>
        </row>
        <row r="38">
          <cell r="A38">
            <v>36</v>
          </cell>
          <cell r="B38" t="str">
            <v>Idas Valley</v>
          </cell>
          <cell r="C38">
            <v>-33.925160552105403</v>
          </cell>
          <cell r="D38">
            <v>18.871587961240301</v>
          </cell>
        </row>
        <row r="39">
          <cell r="A39">
            <v>37</v>
          </cell>
          <cell r="B39" t="str">
            <v>Idas Valley</v>
          </cell>
          <cell r="C39">
            <v>-33.9200310646453</v>
          </cell>
          <cell r="D39">
            <v>18.889327767725799</v>
          </cell>
        </row>
        <row r="40">
          <cell r="A40">
            <v>38</v>
          </cell>
          <cell r="B40" t="str">
            <v>Idas Valley</v>
          </cell>
          <cell r="C40">
            <v>-33.9178744342803</v>
          </cell>
          <cell r="D40">
            <v>18.894524345059601</v>
          </cell>
        </row>
        <row r="41">
          <cell r="A41">
            <v>39</v>
          </cell>
          <cell r="B41" t="str">
            <v>Idas Valley</v>
          </cell>
          <cell r="C41">
            <v>-33.925168813678098</v>
          </cell>
          <cell r="D41">
            <v>18.876406621430402</v>
          </cell>
        </row>
        <row r="42">
          <cell r="A42">
            <v>40</v>
          </cell>
          <cell r="B42" t="str">
            <v>Idas Valley</v>
          </cell>
          <cell r="C42">
            <v>-33.921454191143503</v>
          </cell>
          <cell r="D42">
            <v>18.8767827934767</v>
          </cell>
        </row>
        <row r="43">
          <cell r="A43">
            <v>41</v>
          </cell>
          <cell r="B43" t="str">
            <v>Idas Valley</v>
          </cell>
          <cell r="C43">
            <v>-33.919525753824402</v>
          </cell>
          <cell r="D43">
            <v>18.876592115293999</v>
          </cell>
        </row>
        <row r="44">
          <cell r="A44">
            <v>42</v>
          </cell>
          <cell r="B44" t="str">
            <v>Idas Valley</v>
          </cell>
          <cell r="C44">
            <v>-33.919065944076202</v>
          </cell>
          <cell r="D44">
            <v>18.8851425204723</v>
          </cell>
        </row>
        <row r="45">
          <cell r="A45">
            <v>43</v>
          </cell>
          <cell r="B45" t="str">
            <v>Idas Valley</v>
          </cell>
          <cell r="C45">
            <v>-33.9257344109906</v>
          </cell>
          <cell r="D45">
            <v>18.893133675166801</v>
          </cell>
        </row>
        <row r="46">
          <cell r="A46">
            <v>44</v>
          </cell>
          <cell r="B46" t="str">
            <v>Idas Valley</v>
          </cell>
          <cell r="C46">
            <v>-33.923652805582201</v>
          </cell>
          <cell r="D46">
            <v>18.879674885708098</v>
          </cell>
        </row>
        <row r="47">
          <cell r="A47">
            <v>45</v>
          </cell>
          <cell r="B47" t="str">
            <v>Idas Valley</v>
          </cell>
          <cell r="C47">
            <v>-33.922913337068998</v>
          </cell>
          <cell r="D47">
            <v>18.877138234610999</v>
          </cell>
        </row>
        <row r="48">
          <cell r="A48">
            <v>46</v>
          </cell>
          <cell r="B48" t="str">
            <v>Idas Valley</v>
          </cell>
          <cell r="C48">
            <v>-33.925656196991703</v>
          </cell>
          <cell r="D48">
            <v>18.885314329210999</v>
          </cell>
        </row>
        <row r="49">
          <cell r="A49">
            <v>47</v>
          </cell>
          <cell r="B49" t="str">
            <v>Idas Valley</v>
          </cell>
          <cell r="C49">
            <v>-33.920126357851203</v>
          </cell>
          <cell r="D49">
            <v>18.877436178481101</v>
          </cell>
        </row>
        <row r="50">
          <cell r="A50">
            <v>48</v>
          </cell>
          <cell r="B50" t="str">
            <v>Idas Valley</v>
          </cell>
          <cell r="C50">
            <v>-33.9232598814338</v>
          </cell>
          <cell r="D50">
            <v>18.876255921566202</v>
          </cell>
        </row>
        <row r="51">
          <cell r="A51">
            <v>49</v>
          </cell>
          <cell r="B51" t="str">
            <v>Idas Valley</v>
          </cell>
          <cell r="C51">
            <v>-33.919238711242102</v>
          </cell>
          <cell r="D51">
            <v>18.8830744403236</v>
          </cell>
        </row>
        <row r="52">
          <cell r="A52">
            <v>50</v>
          </cell>
          <cell r="B52" t="str">
            <v>Idas Valley</v>
          </cell>
          <cell r="C52">
            <v>-33.921015990468298</v>
          </cell>
          <cell r="D52">
            <v>18.887035291637801</v>
          </cell>
        </row>
        <row r="53">
          <cell r="A53">
            <v>51</v>
          </cell>
          <cell r="B53" t="str">
            <v>Idas Valley</v>
          </cell>
          <cell r="C53">
            <v>-33.918051219529701</v>
          </cell>
          <cell r="D53">
            <v>18.887151887117401</v>
          </cell>
        </row>
        <row r="54">
          <cell r="A54">
            <v>52</v>
          </cell>
          <cell r="B54" t="str">
            <v>Idas Valley</v>
          </cell>
          <cell r="C54">
            <v>-33.920131071826297</v>
          </cell>
          <cell r="D54">
            <v>18.871540440737899</v>
          </cell>
        </row>
        <row r="55">
          <cell r="A55">
            <v>53</v>
          </cell>
          <cell r="B55" t="str">
            <v>Idas Valley</v>
          </cell>
          <cell r="C55">
            <v>-33.919187404643303</v>
          </cell>
          <cell r="D55">
            <v>18.874530882050301</v>
          </cell>
        </row>
        <row r="56">
          <cell r="A56">
            <v>54</v>
          </cell>
          <cell r="B56" t="str">
            <v>Idas Valley</v>
          </cell>
          <cell r="C56">
            <v>-33.921508932686301</v>
          </cell>
          <cell r="D56">
            <v>18.883248713585498</v>
          </cell>
        </row>
        <row r="57">
          <cell r="A57">
            <v>55</v>
          </cell>
          <cell r="B57" t="str">
            <v>Idas Valley</v>
          </cell>
          <cell r="C57">
            <v>-33.925477194639903</v>
          </cell>
          <cell r="D57">
            <v>18.893627661507999</v>
          </cell>
        </row>
        <row r="58">
          <cell r="A58">
            <v>56</v>
          </cell>
          <cell r="B58" t="str">
            <v>Idas Valley</v>
          </cell>
          <cell r="C58">
            <v>-33.925565810808102</v>
          </cell>
          <cell r="D58">
            <v>18.872075926652801</v>
          </cell>
        </row>
        <row r="59">
          <cell r="A59">
            <v>57</v>
          </cell>
          <cell r="B59" t="str">
            <v>Idas Valley</v>
          </cell>
          <cell r="C59">
            <v>-33.917849626517501</v>
          </cell>
          <cell r="D59">
            <v>18.879152909708701</v>
          </cell>
        </row>
        <row r="60">
          <cell r="A60">
            <v>58</v>
          </cell>
          <cell r="B60" t="str">
            <v>Idas Valley</v>
          </cell>
          <cell r="C60">
            <v>-33.919377146328102</v>
          </cell>
          <cell r="D60">
            <v>18.873218424416599</v>
          </cell>
        </row>
        <row r="61">
          <cell r="A61">
            <v>59</v>
          </cell>
          <cell r="B61" t="str">
            <v>Idas Valley</v>
          </cell>
          <cell r="C61">
            <v>-33.922990694568199</v>
          </cell>
          <cell r="D61">
            <v>18.873392671234701</v>
          </cell>
        </row>
        <row r="62">
          <cell r="A62">
            <v>60</v>
          </cell>
          <cell r="B62" t="str">
            <v>Idas Valley</v>
          </cell>
          <cell r="C62">
            <v>-33.918058984262998</v>
          </cell>
          <cell r="D62">
            <v>18.871487569248799</v>
          </cell>
        </row>
        <row r="63">
          <cell r="A63">
            <v>61</v>
          </cell>
          <cell r="B63" t="str">
            <v>Idas Valley</v>
          </cell>
          <cell r="C63">
            <v>-33.918116250607</v>
          </cell>
          <cell r="D63">
            <v>18.8730634864867</v>
          </cell>
        </row>
        <row r="64">
          <cell r="A64">
            <v>62</v>
          </cell>
          <cell r="B64" t="str">
            <v>Idas Valley</v>
          </cell>
          <cell r="C64">
            <v>-33.924430783319004</v>
          </cell>
          <cell r="D64">
            <v>18.890654931745502</v>
          </cell>
        </row>
        <row r="65">
          <cell r="A65">
            <v>63</v>
          </cell>
          <cell r="B65" t="str">
            <v>Idas Valley</v>
          </cell>
          <cell r="C65">
            <v>-33.9200536048331</v>
          </cell>
          <cell r="D65">
            <v>18.8898943880106</v>
          </cell>
        </row>
        <row r="66">
          <cell r="A66">
            <v>64</v>
          </cell>
          <cell r="B66" t="str">
            <v>Idas Valley</v>
          </cell>
          <cell r="C66">
            <v>-33.921850160470797</v>
          </cell>
          <cell r="D66">
            <v>18.888495189529699</v>
          </cell>
        </row>
        <row r="67">
          <cell r="A67">
            <v>65</v>
          </cell>
          <cell r="B67" t="str">
            <v>Idas Valley</v>
          </cell>
          <cell r="C67">
            <v>-33.923094231643503</v>
          </cell>
          <cell r="D67">
            <v>18.891807141837699</v>
          </cell>
        </row>
        <row r="68">
          <cell r="A68">
            <v>66</v>
          </cell>
          <cell r="B68" t="str">
            <v>Idas Valley</v>
          </cell>
          <cell r="C68">
            <v>-33.925678845800803</v>
          </cell>
          <cell r="D68">
            <v>18.876282496190601</v>
          </cell>
        </row>
        <row r="69">
          <cell r="A69">
            <v>67</v>
          </cell>
          <cell r="B69" t="str">
            <v>Idas Valley</v>
          </cell>
          <cell r="C69">
            <v>-33.923748732083098</v>
          </cell>
          <cell r="D69">
            <v>18.891884873734</v>
          </cell>
        </row>
        <row r="70">
          <cell r="A70">
            <v>68</v>
          </cell>
          <cell r="B70" t="str">
            <v>Idas Valley</v>
          </cell>
          <cell r="C70">
            <v>-33.9247078782982</v>
          </cell>
          <cell r="D70">
            <v>18.879089836366699</v>
          </cell>
        </row>
        <row r="71">
          <cell r="A71">
            <v>69</v>
          </cell>
          <cell r="B71" t="str">
            <v>Idas Valley</v>
          </cell>
          <cell r="C71">
            <v>-33.919353955623997</v>
          </cell>
          <cell r="D71">
            <v>18.887662966804498</v>
          </cell>
        </row>
        <row r="72">
          <cell r="A72">
            <v>70</v>
          </cell>
          <cell r="B72" t="str">
            <v>Idas Valley</v>
          </cell>
          <cell r="C72">
            <v>-33.925588817043703</v>
          </cell>
          <cell r="D72">
            <v>18.8822346224349</v>
          </cell>
        </row>
        <row r="73">
          <cell r="A73">
            <v>71</v>
          </cell>
          <cell r="B73" t="str">
            <v>Idas Valley</v>
          </cell>
          <cell r="C73">
            <v>-33.922350933024497</v>
          </cell>
          <cell r="D73">
            <v>18.8822698620225</v>
          </cell>
        </row>
        <row r="74">
          <cell r="A74">
            <v>72</v>
          </cell>
          <cell r="B74" t="str">
            <v>Idas Valley</v>
          </cell>
          <cell r="C74">
            <v>-33.918511495944799</v>
          </cell>
          <cell r="D74">
            <v>18.891382549698001</v>
          </cell>
        </row>
        <row r="75">
          <cell r="A75">
            <v>73</v>
          </cell>
          <cell r="B75" t="str">
            <v>Idas Valley</v>
          </cell>
          <cell r="C75">
            <v>-33.925171023675198</v>
          </cell>
          <cell r="D75">
            <v>18.892039156453801</v>
          </cell>
        </row>
        <row r="76">
          <cell r="A76">
            <v>74</v>
          </cell>
          <cell r="B76" t="str">
            <v>Idas Valley</v>
          </cell>
          <cell r="C76">
            <v>-33.920462600931003</v>
          </cell>
          <cell r="D76">
            <v>18.8831404692544</v>
          </cell>
        </row>
        <row r="77">
          <cell r="A77">
            <v>75</v>
          </cell>
          <cell r="B77" t="str">
            <v>Idas Valley</v>
          </cell>
          <cell r="C77">
            <v>-33.922986428076797</v>
          </cell>
          <cell r="D77">
            <v>18.874933130215801</v>
          </cell>
        </row>
        <row r="78">
          <cell r="A78">
            <v>76</v>
          </cell>
          <cell r="B78" t="str">
            <v>Idas Valley</v>
          </cell>
          <cell r="C78">
            <v>-33.918668094980298</v>
          </cell>
          <cell r="D78">
            <v>18.880637791720599</v>
          </cell>
        </row>
        <row r="79">
          <cell r="A79">
            <v>77</v>
          </cell>
          <cell r="B79" t="str">
            <v>Idas Valley</v>
          </cell>
          <cell r="C79">
            <v>-33.924899969703503</v>
          </cell>
          <cell r="D79">
            <v>18.8766865900329</v>
          </cell>
        </row>
        <row r="80">
          <cell r="A80">
            <v>78</v>
          </cell>
          <cell r="B80" t="str">
            <v>Idas Valley</v>
          </cell>
          <cell r="C80">
            <v>-33.9185412693015</v>
          </cell>
          <cell r="D80">
            <v>18.8714896790433</v>
          </cell>
        </row>
        <row r="81">
          <cell r="A81">
            <v>79</v>
          </cell>
          <cell r="B81" t="str">
            <v>Idas Valley</v>
          </cell>
          <cell r="C81">
            <v>-33.9255927974801</v>
          </cell>
          <cell r="D81">
            <v>18.889173667336198</v>
          </cell>
        </row>
        <row r="82">
          <cell r="A82">
            <v>80</v>
          </cell>
          <cell r="B82" t="str">
            <v>Idas Valley</v>
          </cell>
          <cell r="C82">
            <v>-33.923101946886597</v>
          </cell>
          <cell r="D82">
            <v>18.885854045188101</v>
          </cell>
        </row>
        <row r="83">
          <cell r="A83">
            <v>81</v>
          </cell>
          <cell r="B83" t="str">
            <v>Idas Valley</v>
          </cell>
          <cell r="C83">
            <v>-33.920692411503097</v>
          </cell>
          <cell r="D83">
            <v>18.872443957528699</v>
          </cell>
        </row>
        <row r="84">
          <cell r="A84">
            <v>82</v>
          </cell>
          <cell r="B84" t="str">
            <v>Idas Valley</v>
          </cell>
          <cell r="C84">
            <v>-33.921676118385399</v>
          </cell>
          <cell r="D84">
            <v>18.892538118866799</v>
          </cell>
        </row>
        <row r="85">
          <cell r="A85">
            <v>83</v>
          </cell>
          <cell r="B85" t="str">
            <v>Idas Valley</v>
          </cell>
          <cell r="C85">
            <v>-33.924792162908098</v>
          </cell>
          <cell r="D85">
            <v>18.874768133227501</v>
          </cell>
        </row>
        <row r="86">
          <cell r="A86">
            <v>84</v>
          </cell>
          <cell r="B86" t="str">
            <v>Idas Valley</v>
          </cell>
          <cell r="C86">
            <v>-33.919879034370197</v>
          </cell>
          <cell r="D86">
            <v>18.890304082536499</v>
          </cell>
        </row>
        <row r="87">
          <cell r="A87">
            <v>85</v>
          </cell>
          <cell r="B87" t="str">
            <v>Idas Valley</v>
          </cell>
          <cell r="C87">
            <v>-33.922697134998401</v>
          </cell>
          <cell r="D87">
            <v>18.881901927846499</v>
          </cell>
        </row>
        <row r="88">
          <cell r="A88">
            <v>86</v>
          </cell>
          <cell r="B88" t="str">
            <v>Idas Valley</v>
          </cell>
          <cell r="C88">
            <v>-33.9185535338775</v>
          </cell>
          <cell r="D88">
            <v>18.887992050222302</v>
          </cell>
        </row>
        <row r="89">
          <cell r="A89">
            <v>87</v>
          </cell>
          <cell r="B89" t="str">
            <v>Idas Valley</v>
          </cell>
          <cell r="C89">
            <v>-33.917865050233502</v>
          </cell>
          <cell r="D89">
            <v>18.888621111171901</v>
          </cell>
        </row>
        <row r="90">
          <cell r="A90">
            <v>88</v>
          </cell>
          <cell r="B90" t="str">
            <v>Idas Valley</v>
          </cell>
          <cell r="C90">
            <v>-33.921654134790401</v>
          </cell>
          <cell r="D90">
            <v>18.8771973982176</v>
          </cell>
        </row>
        <row r="91">
          <cell r="A91">
            <v>89</v>
          </cell>
          <cell r="B91" t="str">
            <v>Idas Valley</v>
          </cell>
          <cell r="C91">
            <v>-33.925729613375999</v>
          </cell>
          <cell r="D91">
            <v>18.883173860910301</v>
          </cell>
        </row>
        <row r="92">
          <cell r="A92">
            <v>90</v>
          </cell>
          <cell r="B92" t="str">
            <v>Idas Valley</v>
          </cell>
          <cell r="C92">
            <v>-33.9200111647135</v>
          </cell>
          <cell r="D92">
            <v>18.883408205014</v>
          </cell>
        </row>
        <row r="93">
          <cell r="A93">
            <v>91</v>
          </cell>
          <cell r="B93" t="str">
            <v>Idas Valley</v>
          </cell>
          <cell r="C93">
            <v>-33.923187437540598</v>
          </cell>
          <cell r="D93">
            <v>18.892965652392999</v>
          </cell>
        </row>
        <row r="94">
          <cell r="A94">
            <v>92</v>
          </cell>
          <cell r="B94" t="str">
            <v>Idas Valley</v>
          </cell>
          <cell r="C94">
            <v>-33.917877959397899</v>
          </cell>
          <cell r="D94">
            <v>18.8783773154031</v>
          </cell>
        </row>
        <row r="95">
          <cell r="A95">
            <v>93</v>
          </cell>
          <cell r="B95" t="str">
            <v>Idas Valley</v>
          </cell>
          <cell r="C95">
            <v>-33.920398458180401</v>
          </cell>
          <cell r="D95">
            <v>18.889110562091901</v>
          </cell>
        </row>
        <row r="96">
          <cell r="A96">
            <v>94</v>
          </cell>
          <cell r="B96" t="str">
            <v>Idas Valley</v>
          </cell>
          <cell r="C96">
            <v>-33.918657904704602</v>
          </cell>
          <cell r="D96">
            <v>18.889272289527302</v>
          </cell>
        </row>
        <row r="97">
          <cell r="A97">
            <v>95</v>
          </cell>
          <cell r="B97" t="str">
            <v>Idas Valley</v>
          </cell>
          <cell r="C97">
            <v>-33.926243486627897</v>
          </cell>
          <cell r="D97">
            <v>18.876476616872001</v>
          </cell>
        </row>
        <row r="98">
          <cell r="A98">
            <v>96</v>
          </cell>
          <cell r="B98" t="str">
            <v>Idas Valley</v>
          </cell>
          <cell r="C98">
            <v>-33.9236268526085</v>
          </cell>
          <cell r="D98">
            <v>18.8852902527093</v>
          </cell>
        </row>
        <row r="99">
          <cell r="A99">
            <v>97</v>
          </cell>
          <cell r="B99" t="str">
            <v>Idas Valley</v>
          </cell>
          <cell r="C99">
            <v>-33.925601305169401</v>
          </cell>
          <cell r="D99">
            <v>18.883646579144699</v>
          </cell>
        </row>
        <row r="100">
          <cell r="A100">
            <v>98</v>
          </cell>
          <cell r="B100" t="str">
            <v>Idas Valley</v>
          </cell>
          <cell r="C100">
            <v>-33.9254851836547</v>
          </cell>
          <cell r="D100">
            <v>18.8842683992216</v>
          </cell>
        </row>
        <row r="101">
          <cell r="A101">
            <v>99</v>
          </cell>
          <cell r="B101" t="str">
            <v>Idas Valley</v>
          </cell>
          <cell r="C101">
            <v>-33.9233514571592</v>
          </cell>
          <cell r="D101">
            <v>18.8822343017973</v>
          </cell>
        </row>
        <row r="102">
          <cell r="A102">
            <v>100</v>
          </cell>
          <cell r="B102" t="str">
            <v>Idas Valley</v>
          </cell>
          <cell r="C102">
            <v>-33.920017549557301</v>
          </cell>
          <cell r="D102">
            <v>18.871864668125198</v>
          </cell>
        </row>
        <row r="103">
          <cell r="A103">
            <v>101</v>
          </cell>
          <cell r="B103" t="str">
            <v>Idas Valley</v>
          </cell>
          <cell r="C103">
            <v>-33.924602633173301</v>
          </cell>
          <cell r="D103">
            <v>18.884915542174099</v>
          </cell>
        </row>
        <row r="104">
          <cell r="A104">
            <v>102</v>
          </cell>
          <cell r="B104" t="str">
            <v>Idas Valley</v>
          </cell>
          <cell r="C104">
            <v>-33.922057066595201</v>
          </cell>
          <cell r="D104">
            <v>18.8926268547931</v>
          </cell>
        </row>
        <row r="105">
          <cell r="A105">
            <v>103</v>
          </cell>
          <cell r="B105" t="str">
            <v>Idas Valley</v>
          </cell>
          <cell r="C105">
            <v>-33.919140305735603</v>
          </cell>
          <cell r="D105">
            <v>18.8831008684548</v>
          </cell>
        </row>
        <row r="106">
          <cell r="A106">
            <v>104</v>
          </cell>
          <cell r="B106" t="str">
            <v>Idas Valley</v>
          </cell>
          <cell r="C106">
            <v>-33.926144492389199</v>
          </cell>
          <cell r="D106">
            <v>18.893637161898599</v>
          </cell>
        </row>
        <row r="107">
          <cell r="A107">
            <v>105</v>
          </cell>
          <cell r="B107" t="str">
            <v>Idas Valley</v>
          </cell>
          <cell r="C107">
            <v>-33.918456016802999</v>
          </cell>
          <cell r="D107">
            <v>18.885497048947201</v>
          </cell>
        </row>
        <row r="108">
          <cell r="A108">
            <v>106</v>
          </cell>
          <cell r="B108" t="str">
            <v>Idas Valley</v>
          </cell>
          <cell r="C108">
            <v>-33.924591661463701</v>
          </cell>
          <cell r="D108">
            <v>18.8821379579115</v>
          </cell>
        </row>
        <row r="109">
          <cell r="A109">
            <v>107</v>
          </cell>
          <cell r="B109" t="str">
            <v>Idas Valley</v>
          </cell>
          <cell r="C109">
            <v>-33.9257644670937</v>
          </cell>
          <cell r="D109">
            <v>18.873022058521698</v>
          </cell>
        </row>
        <row r="110">
          <cell r="A110">
            <v>108</v>
          </cell>
          <cell r="B110" t="str">
            <v>Idas Valley</v>
          </cell>
          <cell r="C110">
            <v>-33.918977204958303</v>
          </cell>
          <cell r="D110">
            <v>18.870838253792002</v>
          </cell>
        </row>
        <row r="111">
          <cell r="A111">
            <v>109</v>
          </cell>
          <cell r="B111" t="str">
            <v>Idas Valley</v>
          </cell>
          <cell r="C111">
            <v>-33.917908312943297</v>
          </cell>
          <cell r="D111">
            <v>18.8718825896967</v>
          </cell>
        </row>
        <row r="112">
          <cell r="A112">
            <v>110</v>
          </cell>
          <cell r="B112" t="str">
            <v>Idas Valley</v>
          </cell>
          <cell r="C112">
            <v>-33.919996336329497</v>
          </cell>
          <cell r="D112">
            <v>18.8751191586617</v>
          </cell>
        </row>
        <row r="113">
          <cell r="A113">
            <v>111</v>
          </cell>
          <cell r="B113" t="str">
            <v>Idas Valley</v>
          </cell>
          <cell r="C113">
            <v>-33.924594320226397</v>
          </cell>
          <cell r="D113">
            <v>18.877066704195201</v>
          </cell>
        </row>
        <row r="114">
          <cell r="A114">
            <v>112</v>
          </cell>
          <cell r="B114" t="str">
            <v>Idas Valley</v>
          </cell>
          <cell r="C114">
            <v>-33.919680225483702</v>
          </cell>
          <cell r="D114">
            <v>18.8756753253193</v>
          </cell>
        </row>
        <row r="115">
          <cell r="A115">
            <v>113</v>
          </cell>
          <cell r="B115" t="str">
            <v>Idas Valley</v>
          </cell>
          <cell r="C115">
            <v>-33.921773280184098</v>
          </cell>
          <cell r="D115">
            <v>18.887498015492401</v>
          </cell>
        </row>
        <row r="116">
          <cell r="A116">
            <v>114</v>
          </cell>
          <cell r="B116" t="str">
            <v>Idas Valley</v>
          </cell>
          <cell r="C116">
            <v>-33.922519243503203</v>
          </cell>
          <cell r="D116">
            <v>18.880048149036899</v>
          </cell>
        </row>
        <row r="117">
          <cell r="A117">
            <v>115</v>
          </cell>
          <cell r="B117" t="str">
            <v>Idas Valley</v>
          </cell>
          <cell r="C117">
            <v>-33.925619837279697</v>
          </cell>
          <cell r="D117">
            <v>18.892091531977002</v>
          </cell>
        </row>
        <row r="118">
          <cell r="A118">
            <v>116</v>
          </cell>
          <cell r="B118" t="str">
            <v>Idas Valley</v>
          </cell>
          <cell r="C118">
            <v>-33.919168099696002</v>
          </cell>
          <cell r="D118">
            <v>18.889600230682699</v>
          </cell>
        </row>
        <row r="119">
          <cell r="A119">
            <v>117</v>
          </cell>
          <cell r="B119" t="str">
            <v>Idas Valley</v>
          </cell>
          <cell r="C119">
            <v>-33.921037132816998</v>
          </cell>
          <cell r="D119">
            <v>18.8896450542547</v>
          </cell>
        </row>
        <row r="120">
          <cell r="A120">
            <v>118</v>
          </cell>
          <cell r="B120" t="str">
            <v>Idas Valley</v>
          </cell>
          <cell r="C120">
            <v>-33.919804654232799</v>
          </cell>
          <cell r="D120">
            <v>18.893499367072799</v>
          </cell>
        </row>
        <row r="121">
          <cell r="A121">
            <v>119</v>
          </cell>
          <cell r="B121" t="str">
            <v>Idas Valley</v>
          </cell>
          <cell r="C121">
            <v>-33.919529916201498</v>
          </cell>
          <cell r="D121">
            <v>18.888793759583699</v>
          </cell>
        </row>
        <row r="122">
          <cell r="A122">
            <v>120</v>
          </cell>
          <cell r="B122" t="str">
            <v>Idas Valley</v>
          </cell>
          <cell r="C122">
            <v>-33.917732929728203</v>
          </cell>
          <cell r="D122">
            <v>18.874574076234001</v>
          </cell>
        </row>
        <row r="123">
          <cell r="A123">
            <v>121</v>
          </cell>
          <cell r="B123" t="str">
            <v>Idas Valley</v>
          </cell>
          <cell r="C123">
            <v>-33.924333526860003</v>
          </cell>
          <cell r="D123">
            <v>18.887749361833901</v>
          </cell>
        </row>
        <row r="124">
          <cell r="A124">
            <v>122</v>
          </cell>
          <cell r="B124" t="str">
            <v>Idas Valley</v>
          </cell>
          <cell r="C124">
            <v>-33.922114600414297</v>
          </cell>
          <cell r="D124">
            <v>18.889171424908401</v>
          </cell>
        </row>
        <row r="125">
          <cell r="A125">
            <v>123</v>
          </cell>
          <cell r="B125" t="str">
            <v>Idas Valley</v>
          </cell>
          <cell r="C125">
            <v>-33.918779897337103</v>
          </cell>
          <cell r="D125">
            <v>18.887038982615898</v>
          </cell>
        </row>
        <row r="126">
          <cell r="A126">
            <v>124</v>
          </cell>
          <cell r="B126" t="str">
            <v>Idas Valley</v>
          </cell>
          <cell r="C126">
            <v>-33.926056985188197</v>
          </cell>
          <cell r="D126">
            <v>18.884916666511199</v>
          </cell>
        </row>
        <row r="127">
          <cell r="A127">
            <v>125</v>
          </cell>
          <cell r="B127" t="str">
            <v>Idas Valley</v>
          </cell>
          <cell r="C127">
            <v>-33.921900482077199</v>
          </cell>
          <cell r="D127">
            <v>18.875527621794401</v>
          </cell>
        </row>
        <row r="128">
          <cell r="A128">
            <v>126</v>
          </cell>
          <cell r="B128" t="str">
            <v>Idas Valley</v>
          </cell>
          <cell r="C128">
            <v>-33.918404325328801</v>
          </cell>
          <cell r="D128">
            <v>18.877217950321999</v>
          </cell>
        </row>
        <row r="129">
          <cell r="A129">
            <v>127</v>
          </cell>
          <cell r="B129" t="str">
            <v>Idas Valley</v>
          </cell>
          <cell r="C129">
            <v>-33.926234763126203</v>
          </cell>
          <cell r="D129">
            <v>18.878601860730001</v>
          </cell>
        </row>
        <row r="130">
          <cell r="A130">
            <v>128</v>
          </cell>
          <cell r="B130" t="str">
            <v>Idas Valley</v>
          </cell>
          <cell r="C130">
            <v>-33.923247869195698</v>
          </cell>
          <cell r="D130">
            <v>18.8750031195062</v>
          </cell>
        </row>
        <row r="131">
          <cell r="A131">
            <v>129</v>
          </cell>
          <cell r="B131" t="str">
            <v>Idas Valley</v>
          </cell>
          <cell r="C131">
            <v>-33.923256734987099</v>
          </cell>
          <cell r="D131">
            <v>18.878036188766298</v>
          </cell>
        </row>
        <row r="132">
          <cell r="A132">
            <v>130</v>
          </cell>
          <cell r="B132" t="str">
            <v>Idas Valley</v>
          </cell>
          <cell r="C132">
            <v>-33.918114044253699</v>
          </cell>
          <cell r="D132">
            <v>18.879344349005098</v>
          </cell>
        </row>
        <row r="133">
          <cell r="A133">
            <v>131</v>
          </cell>
          <cell r="B133" t="str">
            <v>Idas Valley</v>
          </cell>
          <cell r="C133">
            <v>-33.923000521486699</v>
          </cell>
          <cell r="D133">
            <v>18.894507089317699</v>
          </cell>
        </row>
        <row r="134">
          <cell r="A134">
            <v>132</v>
          </cell>
          <cell r="B134" t="str">
            <v>Idas Valley</v>
          </cell>
          <cell r="C134">
            <v>-33.924583745040003</v>
          </cell>
          <cell r="D134">
            <v>18.880395148863499</v>
          </cell>
        </row>
        <row r="135">
          <cell r="A135">
            <v>133</v>
          </cell>
          <cell r="B135" t="str">
            <v>Idas Valley</v>
          </cell>
          <cell r="C135">
            <v>-33.924635027215402</v>
          </cell>
          <cell r="D135">
            <v>18.887738768457499</v>
          </cell>
        </row>
        <row r="136">
          <cell r="A136">
            <v>134</v>
          </cell>
          <cell r="B136" t="str">
            <v>Idas Valley</v>
          </cell>
          <cell r="C136">
            <v>-33.925989510591002</v>
          </cell>
          <cell r="D136">
            <v>18.879107982791599</v>
          </cell>
        </row>
        <row r="137">
          <cell r="A137">
            <v>135</v>
          </cell>
          <cell r="B137" t="str">
            <v>Idas Valley</v>
          </cell>
          <cell r="C137">
            <v>-33.923431273859997</v>
          </cell>
          <cell r="D137">
            <v>18.872233169271102</v>
          </cell>
        </row>
        <row r="138">
          <cell r="A138">
            <v>136</v>
          </cell>
          <cell r="B138" t="str">
            <v>Idas Valley</v>
          </cell>
          <cell r="C138">
            <v>-33.919031121833498</v>
          </cell>
          <cell r="D138">
            <v>18.871044517081199</v>
          </cell>
        </row>
        <row r="139">
          <cell r="A139">
            <v>137</v>
          </cell>
          <cell r="B139" t="str">
            <v>Idas Valley</v>
          </cell>
          <cell r="C139">
            <v>-33.923959827047199</v>
          </cell>
          <cell r="D139">
            <v>18.891680648672899</v>
          </cell>
        </row>
        <row r="140">
          <cell r="A140">
            <v>138</v>
          </cell>
          <cell r="B140" t="str">
            <v>Idas Valley</v>
          </cell>
          <cell r="C140">
            <v>-33.924093894729197</v>
          </cell>
          <cell r="D140">
            <v>18.8781842682701</v>
          </cell>
        </row>
        <row r="141">
          <cell r="A141">
            <v>139</v>
          </cell>
          <cell r="B141" t="str">
            <v>Idas Valley</v>
          </cell>
          <cell r="C141">
            <v>-33.918449464083501</v>
          </cell>
          <cell r="D141">
            <v>18.881491467923698</v>
          </cell>
        </row>
        <row r="142">
          <cell r="A142">
            <v>140</v>
          </cell>
          <cell r="B142" t="str">
            <v>Idas Valley</v>
          </cell>
          <cell r="C142">
            <v>-33.925197697405203</v>
          </cell>
          <cell r="D142">
            <v>18.882831150682399</v>
          </cell>
        </row>
        <row r="143">
          <cell r="A143">
            <v>141</v>
          </cell>
          <cell r="B143" t="str">
            <v>Idas Valley</v>
          </cell>
          <cell r="C143">
            <v>-33.917931983982797</v>
          </cell>
          <cell r="D143">
            <v>18.8827819669931</v>
          </cell>
        </row>
        <row r="144">
          <cell r="A144">
            <v>142</v>
          </cell>
          <cell r="B144" t="str">
            <v>Idas Valley</v>
          </cell>
          <cell r="C144">
            <v>-33.917723467772397</v>
          </cell>
          <cell r="D144">
            <v>18.880286191706698</v>
          </cell>
        </row>
        <row r="145">
          <cell r="A145">
            <v>143</v>
          </cell>
          <cell r="B145" t="str">
            <v>Idas Valley</v>
          </cell>
          <cell r="C145">
            <v>-33.920941814653801</v>
          </cell>
          <cell r="D145">
            <v>18.888343073825599</v>
          </cell>
        </row>
        <row r="146">
          <cell r="A146">
            <v>144</v>
          </cell>
          <cell r="B146" t="str">
            <v>Idas Valley</v>
          </cell>
          <cell r="C146">
            <v>-33.925782760059697</v>
          </cell>
          <cell r="D146">
            <v>18.8924984285158</v>
          </cell>
        </row>
        <row r="147">
          <cell r="A147">
            <v>145</v>
          </cell>
          <cell r="B147" t="str">
            <v>Idas Valley</v>
          </cell>
          <cell r="C147">
            <v>-33.920482817662702</v>
          </cell>
          <cell r="D147">
            <v>18.890912525210499</v>
          </cell>
        </row>
        <row r="148">
          <cell r="A148">
            <v>146</v>
          </cell>
          <cell r="B148" t="str">
            <v>Idas Valley</v>
          </cell>
          <cell r="C148">
            <v>-33.918714595792601</v>
          </cell>
          <cell r="D148">
            <v>18.885949740807298</v>
          </cell>
        </row>
        <row r="149">
          <cell r="A149">
            <v>147</v>
          </cell>
          <cell r="B149" t="str">
            <v>Idas Valley</v>
          </cell>
          <cell r="C149">
            <v>-33.925643443427802</v>
          </cell>
          <cell r="D149">
            <v>18.877890941986902</v>
          </cell>
        </row>
        <row r="150">
          <cell r="A150">
            <v>148</v>
          </cell>
          <cell r="B150" t="str">
            <v>Idas Valley</v>
          </cell>
          <cell r="C150">
            <v>-33.920462649656599</v>
          </cell>
          <cell r="D150">
            <v>18.875823137693502</v>
          </cell>
        </row>
        <row r="151">
          <cell r="A151">
            <v>149</v>
          </cell>
          <cell r="B151" t="str">
            <v>Idas Valley</v>
          </cell>
          <cell r="C151">
            <v>-33.9197101397978</v>
          </cell>
          <cell r="D151">
            <v>18.8792106436122</v>
          </cell>
        </row>
        <row r="152">
          <cell r="A152">
            <v>150</v>
          </cell>
          <cell r="B152" t="str">
            <v>Idas Valley</v>
          </cell>
          <cell r="C152">
            <v>-33.9228545428507</v>
          </cell>
          <cell r="D152">
            <v>18.886297758105002</v>
          </cell>
        </row>
        <row r="153">
          <cell r="A153">
            <v>151</v>
          </cell>
          <cell r="B153" t="str">
            <v>Idas Valley</v>
          </cell>
          <cell r="C153">
            <v>-33.918747665374603</v>
          </cell>
          <cell r="D153">
            <v>18.871934835433901</v>
          </cell>
        </row>
        <row r="154">
          <cell r="A154">
            <v>152</v>
          </cell>
          <cell r="B154" t="str">
            <v>Idas Valley</v>
          </cell>
          <cell r="C154">
            <v>-33.918348777165903</v>
          </cell>
          <cell r="D154">
            <v>18.894482594865199</v>
          </cell>
        </row>
        <row r="155">
          <cell r="A155">
            <v>153</v>
          </cell>
          <cell r="B155" t="str">
            <v>Idas Valley</v>
          </cell>
          <cell r="C155">
            <v>-33.925983710207298</v>
          </cell>
          <cell r="D155">
            <v>18.874158562729001</v>
          </cell>
        </row>
        <row r="156">
          <cell r="A156">
            <v>154</v>
          </cell>
          <cell r="B156" t="str">
            <v>Idas Valley</v>
          </cell>
          <cell r="C156">
            <v>-33.920658581289302</v>
          </cell>
          <cell r="D156">
            <v>18.891444708353099</v>
          </cell>
        </row>
        <row r="157">
          <cell r="A157">
            <v>155</v>
          </cell>
          <cell r="B157" t="str">
            <v>Idas Valley</v>
          </cell>
          <cell r="C157">
            <v>-33.924153977624101</v>
          </cell>
          <cell r="D157">
            <v>18.877251558651199</v>
          </cell>
        </row>
        <row r="158">
          <cell r="A158">
            <v>156</v>
          </cell>
          <cell r="B158" t="str">
            <v>Idas Valley</v>
          </cell>
          <cell r="C158">
            <v>-33.918005701592797</v>
          </cell>
          <cell r="D158">
            <v>18.890656436192401</v>
          </cell>
        </row>
        <row r="159">
          <cell r="A159">
            <v>157</v>
          </cell>
          <cell r="B159" t="str">
            <v>Idas Valley</v>
          </cell>
          <cell r="C159">
            <v>-33.923632626252001</v>
          </cell>
          <cell r="D159">
            <v>18.889576883160299</v>
          </cell>
        </row>
        <row r="160">
          <cell r="A160">
            <v>158</v>
          </cell>
          <cell r="B160" t="str">
            <v>Idas Valley</v>
          </cell>
          <cell r="C160">
            <v>-33.919700911573699</v>
          </cell>
          <cell r="D160">
            <v>18.886554866124801</v>
          </cell>
        </row>
        <row r="161">
          <cell r="A161">
            <v>159</v>
          </cell>
          <cell r="B161" t="str">
            <v>Idas Valley</v>
          </cell>
          <cell r="C161">
            <v>-33.924941728527997</v>
          </cell>
          <cell r="D161">
            <v>18.871487980960499</v>
          </cell>
        </row>
        <row r="162">
          <cell r="A162">
            <v>160</v>
          </cell>
          <cell r="B162" t="str">
            <v>Idas Valley</v>
          </cell>
          <cell r="C162">
            <v>-33.923016767718799</v>
          </cell>
          <cell r="D162">
            <v>18.8907255779724</v>
          </cell>
        </row>
        <row r="163">
          <cell r="A163">
            <v>161</v>
          </cell>
          <cell r="B163" t="str">
            <v>Idas Valley</v>
          </cell>
          <cell r="C163">
            <v>-33.922527145465999</v>
          </cell>
          <cell r="D163">
            <v>18.894175550384698</v>
          </cell>
        </row>
        <row r="164">
          <cell r="A164">
            <v>162</v>
          </cell>
          <cell r="B164" t="str">
            <v>Idas Valley</v>
          </cell>
          <cell r="C164">
            <v>-33.921786890966402</v>
          </cell>
          <cell r="D164">
            <v>18.893866421671401</v>
          </cell>
        </row>
        <row r="165">
          <cell r="A165">
            <v>163</v>
          </cell>
          <cell r="B165" t="str">
            <v>Idas Valley</v>
          </cell>
          <cell r="C165">
            <v>-33.926181969496803</v>
          </cell>
          <cell r="D165">
            <v>18.886104358160701</v>
          </cell>
        </row>
        <row r="166">
          <cell r="A166">
            <v>164</v>
          </cell>
          <cell r="B166" t="str">
            <v>Idas Valley</v>
          </cell>
          <cell r="C166">
            <v>-33.918934799522603</v>
          </cell>
          <cell r="D166">
            <v>18.892930841002499</v>
          </cell>
        </row>
        <row r="167">
          <cell r="A167">
            <v>165</v>
          </cell>
          <cell r="B167" t="str">
            <v>Idas Valley</v>
          </cell>
          <cell r="C167">
            <v>-33.921967441973003</v>
          </cell>
          <cell r="D167">
            <v>18.882098885440801</v>
          </cell>
        </row>
        <row r="168">
          <cell r="A168">
            <v>166</v>
          </cell>
          <cell r="B168" t="str">
            <v>Idas Valley</v>
          </cell>
          <cell r="C168">
            <v>-33.920404069929198</v>
          </cell>
          <cell r="D168">
            <v>18.891044003089199</v>
          </cell>
        </row>
        <row r="169">
          <cell r="A169">
            <v>167</v>
          </cell>
          <cell r="B169" t="str">
            <v>Idas Valley</v>
          </cell>
          <cell r="C169">
            <v>-33.919149990718502</v>
          </cell>
          <cell r="D169">
            <v>18.889180444460099</v>
          </cell>
        </row>
        <row r="170">
          <cell r="A170">
            <v>168</v>
          </cell>
          <cell r="B170" t="str">
            <v>Idas Valley</v>
          </cell>
          <cell r="C170">
            <v>-33.920680355457399</v>
          </cell>
          <cell r="D170">
            <v>18.878828747011902</v>
          </cell>
        </row>
        <row r="171">
          <cell r="A171">
            <v>169</v>
          </cell>
          <cell r="B171" t="str">
            <v>Idas Valley</v>
          </cell>
          <cell r="C171">
            <v>-33.922116797401401</v>
          </cell>
          <cell r="D171">
            <v>18.891927151736599</v>
          </cell>
        </row>
        <row r="172">
          <cell r="A172">
            <v>170</v>
          </cell>
          <cell r="B172" t="str">
            <v>Idas Valley</v>
          </cell>
          <cell r="C172">
            <v>-33.922814537877997</v>
          </cell>
          <cell r="D172">
            <v>18.883047116390799</v>
          </cell>
        </row>
        <row r="173">
          <cell r="A173">
            <v>171</v>
          </cell>
          <cell r="B173" t="str">
            <v>Idas Valley</v>
          </cell>
          <cell r="C173">
            <v>-33.925801041084299</v>
          </cell>
          <cell r="D173">
            <v>18.8841468941669</v>
          </cell>
        </row>
        <row r="174">
          <cell r="A174">
            <v>172</v>
          </cell>
          <cell r="B174" t="str">
            <v>Idas Valley</v>
          </cell>
          <cell r="C174">
            <v>-33.920250039667302</v>
          </cell>
          <cell r="D174">
            <v>18.889106980250698</v>
          </cell>
        </row>
        <row r="175">
          <cell r="A175">
            <v>173</v>
          </cell>
          <cell r="B175" t="str">
            <v>Idas Valley</v>
          </cell>
          <cell r="C175">
            <v>-33.926266724024501</v>
          </cell>
          <cell r="D175">
            <v>18.890922172335301</v>
          </cell>
        </row>
        <row r="176">
          <cell r="A176">
            <v>174</v>
          </cell>
          <cell r="B176" t="str">
            <v>Idas Valley</v>
          </cell>
          <cell r="C176">
            <v>-33.9226260764054</v>
          </cell>
          <cell r="D176">
            <v>18.877877007908001</v>
          </cell>
        </row>
        <row r="177">
          <cell r="A177">
            <v>175</v>
          </cell>
          <cell r="B177" t="str">
            <v>Idas Valley</v>
          </cell>
          <cell r="C177">
            <v>-33.918471730955901</v>
          </cell>
          <cell r="D177">
            <v>18.879704463237299</v>
          </cell>
        </row>
        <row r="178">
          <cell r="A178">
            <v>176</v>
          </cell>
          <cell r="B178" t="str">
            <v>Idas Valley</v>
          </cell>
          <cell r="C178">
            <v>-33.922322372849997</v>
          </cell>
          <cell r="D178">
            <v>18.890347016539899</v>
          </cell>
        </row>
        <row r="179">
          <cell r="A179">
            <v>177</v>
          </cell>
          <cell r="B179" t="str">
            <v>Idas Valley</v>
          </cell>
          <cell r="C179">
            <v>-33.920846522528201</v>
          </cell>
          <cell r="D179">
            <v>18.893029484785899</v>
          </cell>
        </row>
        <row r="180">
          <cell r="A180">
            <v>178</v>
          </cell>
          <cell r="B180" t="str">
            <v>Idas Valley</v>
          </cell>
          <cell r="C180">
            <v>-33.923179623157303</v>
          </cell>
          <cell r="D180">
            <v>18.873189437159201</v>
          </cell>
        </row>
        <row r="181">
          <cell r="A181">
            <v>179</v>
          </cell>
          <cell r="B181" t="str">
            <v>Idas Valley</v>
          </cell>
          <cell r="C181">
            <v>-33.924544618879501</v>
          </cell>
          <cell r="D181">
            <v>18.885468498456099</v>
          </cell>
        </row>
        <row r="182">
          <cell r="A182">
            <v>180</v>
          </cell>
          <cell r="B182" t="str">
            <v>Idas Valley</v>
          </cell>
          <cell r="C182">
            <v>-33.923798721919901</v>
          </cell>
          <cell r="D182">
            <v>18.872571425627999</v>
          </cell>
        </row>
        <row r="183">
          <cell r="A183">
            <v>181</v>
          </cell>
          <cell r="B183" t="str">
            <v>Idas Valley</v>
          </cell>
          <cell r="C183">
            <v>-33.924789772135</v>
          </cell>
          <cell r="D183">
            <v>18.894574541824898</v>
          </cell>
        </row>
        <row r="184">
          <cell r="A184">
            <v>182</v>
          </cell>
          <cell r="B184" t="str">
            <v>Idas Valley</v>
          </cell>
          <cell r="C184">
            <v>-33.920140541876101</v>
          </cell>
          <cell r="D184">
            <v>18.889435873819501</v>
          </cell>
        </row>
        <row r="185">
          <cell r="A185">
            <v>183</v>
          </cell>
          <cell r="B185" t="str">
            <v>Idas Valley</v>
          </cell>
          <cell r="C185">
            <v>-33.9190884819212</v>
          </cell>
          <cell r="D185">
            <v>18.873901220806701</v>
          </cell>
        </row>
        <row r="186">
          <cell r="A186">
            <v>184</v>
          </cell>
          <cell r="B186" t="str">
            <v>Idas Valley</v>
          </cell>
          <cell r="C186">
            <v>-33.920166788146503</v>
          </cell>
          <cell r="D186">
            <v>18.880388333214501</v>
          </cell>
        </row>
        <row r="187">
          <cell r="A187">
            <v>185</v>
          </cell>
          <cell r="B187" t="str">
            <v>Idas Valley</v>
          </cell>
          <cell r="C187">
            <v>-33.920670256134898</v>
          </cell>
          <cell r="D187">
            <v>18.877290454229101</v>
          </cell>
        </row>
        <row r="188">
          <cell r="A188">
            <v>186</v>
          </cell>
          <cell r="B188" t="str">
            <v>Idas Valley</v>
          </cell>
          <cell r="C188">
            <v>-33.9261812032276</v>
          </cell>
          <cell r="D188">
            <v>18.871220611178401</v>
          </cell>
        </row>
        <row r="189">
          <cell r="A189">
            <v>187</v>
          </cell>
          <cell r="B189" t="str">
            <v>Idas Valley</v>
          </cell>
          <cell r="C189">
            <v>-33.919911769039302</v>
          </cell>
          <cell r="D189">
            <v>18.886844303204899</v>
          </cell>
        </row>
        <row r="190">
          <cell r="A190">
            <v>188</v>
          </cell>
          <cell r="B190" t="str">
            <v>Idas Valley</v>
          </cell>
          <cell r="C190">
            <v>-33.925599153572797</v>
          </cell>
          <cell r="D190">
            <v>18.894520558050999</v>
          </cell>
        </row>
        <row r="191">
          <cell r="A191">
            <v>189</v>
          </cell>
          <cell r="B191" t="str">
            <v>Idas Valley</v>
          </cell>
          <cell r="C191">
            <v>-33.924994819252802</v>
          </cell>
          <cell r="D191">
            <v>18.8905647756417</v>
          </cell>
        </row>
        <row r="192">
          <cell r="A192">
            <v>190</v>
          </cell>
          <cell r="B192" t="str">
            <v>Idas Valley</v>
          </cell>
          <cell r="C192">
            <v>-33.919967372055503</v>
          </cell>
          <cell r="D192">
            <v>18.8729362959062</v>
          </cell>
        </row>
        <row r="193">
          <cell r="A193">
            <v>191</v>
          </cell>
          <cell r="B193" t="str">
            <v>Idas Valley</v>
          </cell>
          <cell r="C193">
            <v>-33.922941739248401</v>
          </cell>
          <cell r="D193">
            <v>18.8943642399414</v>
          </cell>
        </row>
        <row r="194">
          <cell r="A194">
            <v>192</v>
          </cell>
          <cell r="B194" t="str">
            <v>Idas Valley</v>
          </cell>
          <cell r="C194">
            <v>-33.923899385909898</v>
          </cell>
          <cell r="D194">
            <v>18.8846819129602</v>
          </cell>
        </row>
        <row r="195">
          <cell r="A195">
            <v>193</v>
          </cell>
          <cell r="B195" t="str">
            <v>Idas Valley</v>
          </cell>
          <cell r="C195">
            <v>-33.922815659772901</v>
          </cell>
          <cell r="D195">
            <v>18.891942833091999</v>
          </cell>
        </row>
        <row r="196">
          <cell r="A196">
            <v>194</v>
          </cell>
          <cell r="B196" t="str">
            <v>Idas Valley</v>
          </cell>
          <cell r="C196">
            <v>-33.924485905549297</v>
          </cell>
          <cell r="D196">
            <v>18.8748653757245</v>
          </cell>
        </row>
        <row r="197">
          <cell r="A197">
            <v>195</v>
          </cell>
          <cell r="B197" t="str">
            <v>Idas Valley</v>
          </cell>
          <cell r="C197">
            <v>-33.9178667817799</v>
          </cell>
          <cell r="D197">
            <v>18.893298008364098</v>
          </cell>
        </row>
        <row r="198">
          <cell r="A198">
            <v>196</v>
          </cell>
          <cell r="B198" t="str">
            <v>Idas Valley</v>
          </cell>
          <cell r="C198">
            <v>-33.920433203271699</v>
          </cell>
          <cell r="D198">
            <v>18.879263175973598</v>
          </cell>
        </row>
        <row r="199">
          <cell r="A199">
            <v>197</v>
          </cell>
          <cell r="B199" t="str">
            <v>Idas Valley</v>
          </cell>
          <cell r="C199">
            <v>-33.924049555059199</v>
          </cell>
          <cell r="D199">
            <v>18.880825095592499</v>
          </cell>
        </row>
        <row r="200">
          <cell r="A200">
            <v>198</v>
          </cell>
          <cell r="B200" t="str">
            <v>Idas Valley</v>
          </cell>
          <cell r="C200">
            <v>-33.9224262580992</v>
          </cell>
          <cell r="D200">
            <v>18.883559970116998</v>
          </cell>
        </row>
        <row r="201">
          <cell r="A201">
            <v>199</v>
          </cell>
          <cell r="B201" t="str">
            <v>Idas Valley</v>
          </cell>
          <cell r="C201">
            <v>-33.918604421554299</v>
          </cell>
          <cell r="D201">
            <v>18.876986525455699</v>
          </cell>
        </row>
        <row r="202">
          <cell r="A202">
            <v>200</v>
          </cell>
          <cell r="B202" t="str">
            <v>Idas Valley</v>
          </cell>
          <cell r="C202">
            <v>-33.924907195174399</v>
          </cell>
          <cell r="D202">
            <v>18.873515228220199</v>
          </cell>
        </row>
        <row r="203">
          <cell r="A203">
            <v>201</v>
          </cell>
          <cell r="B203" t="str">
            <v>Idas Valley</v>
          </cell>
          <cell r="C203">
            <v>-33.919016519753498</v>
          </cell>
          <cell r="D203">
            <v>18.885521091971398</v>
          </cell>
        </row>
        <row r="204">
          <cell r="A204">
            <v>202</v>
          </cell>
          <cell r="B204" t="str">
            <v>Idas Valley</v>
          </cell>
          <cell r="C204">
            <v>-33.918353295245304</v>
          </cell>
          <cell r="D204">
            <v>18.8766626504421</v>
          </cell>
        </row>
        <row r="205">
          <cell r="A205">
            <v>203</v>
          </cell>
          <cell r="B205" t="str">
            <v>Idas Valley</v>
          </cell>
          <cell r="C205">
            <v>-33.925707506780697</v>
          </cell>
          <cell r="D205">
            <v>18.8782833980692</v>
          </cell>
        </row>
        <row r="206">
          <cell r="A206">
            <v>204</v>
          </cell>
          <cell r="B206" t="str">
            <v>Idas Valley</v>
          </cell>
          <cell r="C206">
            <v>-33.921707604417897</v>
          </cell>
          <cell r="D206">
            <v>18.873416860517601</v>
          </cell>
        </row>
        <row r="207">
          <cell r="A207">
            <v>205</v>
          </cell>
          <cell r="B207" t="str">
            <v>Idas Valley</v>
          </cell>
          <cell r="C207">
            <v>-33.920785398538897</v>
          </cell>
          <cell r="D207">
            <v>18.886872367136899</v>
          </cell>
        </row>
        <row r="208">
          <cell r="A208">
            <v>206</v>
          </cell>
          <cell r="B208" t="str">
            <v>Idas Valley</v>
          </cell>
          <cell r="C208">
            <v>-33.925183917563203</v>
          </cell>
          <cell r="D208">
            <v>18.8893556459198</v>
          </cell>
        </row>
        <row r="209">
          <cell r="A209">
            <v>207</v>
          </cell>
          <cell r="B209" t="str">
            <v>Idas Valley</v>
          </cell>
          <cell r="C209">
            <v>-33.9210460808264</v>
          </cell>
          <cell r="D209">
            <v>18.883751460619202</v>
          </cell>
        </row>
        <row r="210">
          <cell r="A210">
            <v>208</v>
          </cell>
          <cell r="B210" t="str">
            <v>Idas Valley</v>
          </cell>
          <cell r="C210">
            <v>-33.9194116669211</v>
          </cell>
          <cell r="D210">
            <v>18.8731397463599</v>
          </cell>
        </row>
        <row r="211">
          <cell r="A211">
            <v>209</v>
          </cell>
          <cell r="B211" t="str">
            <v>Idas Valley</v>
          </cell>
          <cell r="C211">
            <v>-33.924188892881901</v>
          </cell>
          <cell r="D211">
            <v>18.880531982263101</v>
          </cell>
        </row>
        <row r="212">
          <cell r="A212">
            <v>210</v>
          </cell>
          <cell r="B212" t="str">
            <v>Idas Valley</v>
          </cell>
          <cell r="C212">
            <v>-33.922954990653899</v>
          </cell>
          <cell r="D212">
            <v>18.873925962562499</v>
          </cell>
        </row>
        <row r="213">
          <cell r="A213">
            <v>211</v>
          </cell>
          <cell r="B213" t="str">
            <v>Idas Valley</v>
          </cell>
          <cell r="C213">
            <v>-33.9253024379056</v>
          </cell>
          <cell r="D213">
            <v>18.892459612807102</v>
          </cell>
        </row>
        <row r="214">
          <cell r="A214">
            <v>212</v>
          </cell>
          <cell r="B214" t="str">
            <v>Idas Valley</v>
          </cell>
          <cell r="C214">
            <v>-33.918059008928203</v>
          </cell>
          <cell r="D214">
            <v>18.873098086087001</v>
          </cell>
        </row>
      </sheetData>
      <sheetData sheetId="9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Cloetesville</v>
          </cell>
          <cell r="C2">
            <v>-33.90845831483</v>
          </cell>
          <cell r="D2">
            <v>18.8521130056046</v>
          </cell>
        </row>
        <row r="3">
          <cell r="A3">
            <v>1</v>
          </cell>
          <cell r="B3" t="str">
            <v>Cloetesville</v>
          </cell>
          <cell r="C3">
            <v>-33.905068410556296</v>
          </cell>
          <cell r="D3">
            <v>18.8464069003305</v>
          </cell>
        </row>
        <row r="4">
          <cell r="A4">
            <v>2</v>
          </cell>
          <cell r="B4" t="str">
            <v>Cloetesville</v>
          </cell>
          <cell r="C4">
            <v>-33.915726435300499</v>
          </cell>
          <cell r="D4">
            <v>18.852047076256198</v>
          </cell>
        </row>
        <row r="5">
          <cell r="A5">
            <v>3</v>
          </cell>
          <cell r="B5" t="str">
            <v>Cloetesville</v>
          </cell>
          <cell r="C5">
            <v>-33.910545536628703</v>
          </cell>
          <cell r="D5">
            <v>18.8469285168946</v>
          </cell>
        </row>
        <row r="6">
          <cell r="A6">
            <v>4</v>
          </cell>
          <cell r="B6" t="str">
            <v>Cloetesville</v>
          </cell>
          <cell r="C6">
            <v>-33.898688923937797</v>
          </cell>
          <cell r="D6">
            <v>18.8440857495473</v>
          </cell>
        </row>
        <row r="7">
          <cell r="A7">
            <v>5</v>
          </cell>
          <cell r="B7" t="str">
            <v>Cloetesville</v>
          </cell>
          <cell r="C7">
            <v>-33.917119772361403</v>
          </cell>
          <cell r="D7">
            <v>18.8538243231412</v>
          </cell>
        </row>
        <row r="8">
          <cell r="A8">
            <v>6</v>
          </cell>
          <cell r="B8" t="str">
            <v>Cloetesville</v>
          </cell>
          <cell r="C8">
            <v>-33.911021138859901</v>
          </cell>
          <cell r="D8">
            <v>18.850825337581401</v>
          </cell>
        </row>
        <row r="9">
          <cell r="A9">
            <v>7</v>
          </cell>
          <cell r="B9" t="str">
            <v>Cloetesville</v>
          </cell>
          <cell r="C9">
            <v>-33.907922019346401</v>
          </cell>
          <cell r="D9">
            <v>18.8593188387797</v>
          </cell>
        </row>
        <row r="10">
          <cell r="A10">
            <v>8</v>
          </cell>
          <cell r="B10" t="str">
            <v>Cloetesville</v>
          </cell>
          <cell r="C10">
            <v>-33.9078376675687</v>
          </cell>
          <cell r="D10">
            <v>18.851270941766501</v>
          </cell>
        </row>
        <row r="11">
          <cell r="A11">
            <v>9</v>
          </cell>
          <cell r="B11" t="str">
            <v>Cloetesville</v>
          </cell>
          <cell r="C11">
            <v>-33.9028196056395</v>
          </cell>
          <cell r="D11">
            <v>18.858739008196899</v>
          </cell>
        </row>
        <row r="12">
          <cell r="A12">
            <v>10</v>
          </cell>
          <cell r="B12" t="str">
            <v>Cloetesville</v>
          </cell>
          <cell r="C12">
            <v>-33.906849370459703</v>
          </cell>
          <cell r="D12">
            <v>18.852286062134699</v>
          </cell>
        </row>
        <row r="13">
          <cell r="A13">
            <v>11</v>
          </cell>
          <cell r="B13" t="str">
            <v>Cloetesville</v>
          </cell>
          <cell r="C13">
            <v>-33.903257975498597</v>
          </cell>
          <cell r="D13">
            <v>18.8467229059513</v>
          </cell>
        </row>
        <row r="14">
          <cell r="A14">
            <v>12</v>
          </cell>
          <cell r="B14" t="str">
            <v>Cloetesville</v>
          </cell>
          <cell r="C14">
            <v>-33.914602314213198</v>
          </cell>
          <cell r="D14">
            <v>18.859067067201899</v>
          </cell>
        </row>
        <row r="15">
          <cell r="A15">
            <v>13</v>
          </cell>
          <cell r="B15" t="str">
            <v>Cloetesville</v>
          </cell>
          <cell r="C15">
            <v>-33.916084280175397</v>
          </cell>
          <cell r="D15">
            <v>18.853586796745201</v>
          </cell>
        </row>
        <row r="16">
          <cell r="A16">
            <v>14</v>
          </cell>
          <cell r="B16" t="str">
            <v>Cloetesville</v>
          </cell>
          <cell r="C16">
            <v>-33.915010255049502</v>
          </cell>
          <cell r="D16">
            <v>18.8574378254667</v>
          </cell>
        </row>
        <row r="17">
          <cell r="A17">
            <v>15</v>
          </cell>
          <cell r="B17" t="str">
            <v>Cloetesville</v>
          </cell>
          <cell r="C17">
            <v>-33.907793796460602</v>
          </cell>
          <cell r="D17">
            <v>18.859130478603699</v>
          </cell>
        </row>
        <row r="18">
          <cell r="A18">
            <v>16</v>
          </cell>
          <cell r="B18" t="str">
            <v>Cloetesville</v>
          </cell>
          <cell r="C18">
            <v>-33.900266841726904</v>
          </cell>
          <cell r="D18">
            <v>18.845439054670301</v>
          </cell>
        </row>
        <row r="19">
          <cell r="A19">
            <v>17</v>
          </cell>
          <cell r="B19" t="str">
            <v>Cloetesville</v>
          </cell>
          <cell r="C19">
            <v>-33.917600576766702</v>
          </cell>
          <cell r="D19">
            <v>18.8532640823755</v>
          </cell>
        </row>
        <row r="20">
          <cell r="A20">
            <v>18</v>
          </cell>
          <cell r="B20" t="str">
            <v>Cloetesville</v>
          </cell>
          <cell r="C20">
            <v>-33.918240195232201</v>
          </cell>
          <cell r="D20">
            <v>18.844652177982699</v>
          </cell>
        </row>
        <row r="21">
          <cell r="A21">
            <v>19</v>
          </cell>
          <cell r="B21" t="str">
            <v>Cloetesville</v>
          </cell>
          <cell r="C21">
            <v>-33.905532254418901</v>
          </cell>
          <cell r="D21">
            <v>18.856950754276799</v>
          </cell>
        </row>
        <row r="22">
          <cell r="A22">
            <v>20</v>
          </cell>
          <cell r="B22" t="str">
            <v>Cloetesville</v>
          </cell>
          <cell r="C22">
            <v>-33.912997036292502</v>
          </cell>
          <cell r="D22">
            <v>18.8573757511537</v>
          </cell>
        </row>
        <row r="23">
          <cell r="A23">
            <v>21</v>
          </cell>
          <cell r="B23" t="str">
            <v>Cloetesville</v>
          </cell>
          <cell r="C23">
            <v>-33.910993406331897</v>
          </cell>
          <cell r="D23">
            <v>18.847779898257201</v>
          </cell>
        </row>
        <row r="24">
          <cell r="A24">
            <v>22</v>
          </cell>
          <cell r="B24" t="str">
            <v>Cloetesville</v>
          </cell>
          <cell r="C24">
            <v>-33.918942019618903</v>
          </cell>
          <cell r="D24">
            <v>18.850735751802901</v>
          </cell>
        </row>
        <row r="25">
          <cell r="A25">
            <v>23</v>
          </cell>
          <cell r="B25" t="str">
            <v>Cloetesville</v>
          </cell>
          <cell r="C25">
            <v>-33.918492401200403</v>
          </cell>
          <cell r="D25">
            <v>18.855589901480901</v>
          </cell>
        </row>
        <row r="26">
          <cell r="A26">
            <v>24</v>
          </cell>
          <cell r="B26" t="str">
            <v>Cloetesville</v>
          </cell>
          <cell r="C26">
            <v>-33.918506442264203</v>
          </cell>
          <cell r="D26">
            <v>18.852775286261501</v>
          </cell>
        </row>
        <row r="27">
          <cell r="A27">
            <v>25</v>
          </cell>
          <cell r="B27" t="str">
            <v>Cloetesville</v>
          </cell>
          <cell r="C27">
            <v>-33.898273131995701</v>
          </cell>
          <cell r="D27">
            <v>18.847386522655501</v>
          </cell>
        </row>
        <row r="28">
          <cell r="A28">
            <v>26</v>
          </cell>
          <cell r="B28" t="str">
            <v>Cloetesville</v>
          </cell>
          <cell r="C28">
            <v>-33.9119049873268</v>
          </cell>
          <cell r="D28">
            <v>18.853108512346999</v>
          </cell>
        </row>
        <row r="29">
          <cell r="A29">
            <v>27</v>
          </cell>
          <cell r="B29" t="str">
            <v>Cloetesville</v>
          </cell>
          <cell r="C29">
            <v>-33.909193562498402</v>
          </cell>
          <cell r="D29">
            <v>18.8493313628409</v>
          </cell>
        </row>
        <row r="30">
          <cell r="A30">
            <v>28</v>
          </cell>
          <cell r="B30" t="str">
            <v>Cloetesville</v>
          </cell>
          <cell r="C30">
            <v>-33.903805668419501</v>
          </cell>
          <cell r="D30">
            <v>18.854824832894501</v>
          </cell>
        </row>
        <row r="31">
          <cell r="A31">
            <v>29</v>
          </cell>
          <cell r="B31" t="str">
            <v>Cloetesville</v>
          </cell>
          <cell r="C31">
            <v>-33.905869488265601</v>
          </cell>
          <cell r="D31">
            <v>18.853690102841</v>
          </cell>
        </row>
        <row r="32">
          <cell r="A32">
            <v>30</v>
          </cell>
          <cell r="B32" t="str">
            <v>Cloetesville</v>
          </cell>
          <cell r="C32">
            <v>-33.912652640949403</v>
          </cell>
          <cell r="D32">
            <v>18.8574416531068</v>
          </cell>
        </row>
        <row r="33">
          <cell r="A33">
            <v>31</v>
          </cell>
          <cell r="B33" t="str">
            <v>Cloetesville</v>
          </cell>
          <cell r="C33">
            <v>-33.9152804358786</v>
          </cell>
          <cell r="D33">
            <v>18.855444425511099</v>
          </cell>
        </row>
        <row r="34">
          <cell r="A34">
            <v>32</v>
          </cell>
          <cell r="B34" t="str">
            <v>Cloetesville</v>
          </cell>
          <cell r="C34">
            <v>-33.910926040101103</v>
          </cell>
          <cell r="D34">
            <v>18.855951262810301</v>
          </cell>
        </row>
        <row r="35">
          <cell r="A35">
            <v>33</v>
          </cell>
          <cell r="B35" t="str">
            <v>Cloetesville</v>
          </cell>
          <cell r="C35">
            <v>-33.901747107108797</v>
          </cell>
          <cell r="D35">
            <v>18.843954801530501</v>
          </cell>
        </row>
        <row r="36">
          <cell r="A36">
            <v>34</v>
          </cell>
          <cell r="B36" t="str">
            <v>Cloetesville</v>
          </cell>
          <cell r="C36">
            <v>-33.909781512103301</v>
          </cell>
          <cell r="D36">
            <v>18.8498296349069</v>
          </cell>
        </row>
        <row r="37">
          <cell r="A37">
            <v>35</v>
          </cell>
          <cell r="B37" t="str">
            <v>Cloetesville</v>
          </cell>
          <cell r="C37">
            <v>-33.901708290245601</v>
          </cell>
          <cell r="D37">
            <v>18.848594565362401</v>
          </cell>
        </row>
        <row r="38">
          <cell r="A38">
            <v>36</v>
          </cell>
          <cell r="B38" t="str">
            <v>Cloetesville</v>
          </cell>
          <cell r="C38">
            <v>-33.916848605626598</v>
          </cell>
          <cell r="D38">
            <v>18.843982196735499</v>
          </cell>
        </row>
        <row r="39">
          <cell r="A39">
            <v>37</v>
          </cell>
          <cell r="B39" t="str">
            <v>Cloetesville</v>
          </cell>
          <cell r="C39">
            <v>-33.902777642546901</v>
          </cell>
          <cell r="D39">
            <v>18.855813957469099</v>
          </cell>
        </row>
        <row r="40">
          <cell r="A40">
            <v>38</v>
          </cell>
          <cell r="B40" t="str">
            <v>Cloetesville</v>
          </cell>
          <cell r="C40">
            <v>-33.896861677944301</v>
          </cell>
          <cell r="D40">
            <v>18.8592798723706</v>
          </cell>
        </row>
        <row r="41">
          <cell r="A41">
            <v>39</v>
          </cell>
          <cell r="B41" t="str">
            <v>Cloetesville</v>
          </cell>
          <cell r="C41">
            <v>-33.916871268374898</v>
          </cell>
          <cell r="D41">
            <v>18.847196055605501</v>
          </cell>
        </row>
        <row r="42">
          <cell r="A42">
            <v>40</v>
          </cell>
          <cell r="B42" t="str">
            <v>Cloetesville</v>
          </cell>
          <cell r="C42">
            <v>-33.906681494650897</v>
          </cell>
          <cell r="D42">
            <v>18.847446947724901</v>
          </cell>
        </row>
        <row r="43">
          <cell r="A43">
            <v>41</v>
          </cell>
          <cell r="B43" t="str">
            <v>Cloetesville</v>
          </cell>
          <cell r="C43">
            <v>-33.901391498227397</v>
          </cell>
          <cell r="D43">
            <v>18.8473197727957</v>
          </cell>
        </row>
        <row r="44">
          <cell r="A44">
            <v>42</v>
          </cell>
          <cell r="B44" t="str">
            <v>Cloetesville</v>
          </cell>
          <cell r="C44">
            <v>-33.900130170260297</v>
          </cell>
          <cell r="D44">
            <v>18.853022560384002</v>
          </cell>
        </row>
        <row r="45">
          <cell r="A45">
            <v>43</v>
          </cell>
          <cell r="B45" t="str">
            <v>Cloetesville</v>
          </cell>
          <cell r="C45">
            <v>-33.918422787696301</v>
          </cell>
          <cell r="D45">
            <v>18.858352349657999</v>
          </cell>
        </row>
        <row r="46">
          <cell r="A46">
            <v>44</v>
          </cell>
          <cell r="B46" t="str">
            <v>Cloetesville</v>
          </cell>
          <cell r="C46">
            <v>-33.9127126279433</v>
          </cell>
          <cell r="D46">
            <v>18.849375860722301</v>
          </cell>
        </row>
        <row r="47">
          <cell r="A47">
            <v>45</v>
          </cell>
          <cell r="B47" t="str">
            <v>Cloetesville</v>
          </cell>
          <cell r="C47">
            <v>-33.910684153514097</v>
          </cell>
          <cell r="D47">
            <v>18.847684013132501</v>
          </cell>
        </row>
        <row r="48">
          <cell r="A48">
            <v>46</v>
          </cell>
          <cell r="B48" t="str">
            <v>Cloetesville</v>
          </cell>
          <cell r="C48">
            <v>-33.918208234819602</v>
          </cell>
          <cell r="D48">
            <v>18.853137150128202</v>
          </cell>
        </row>
        <row r="49">
          <cell r="A49">
            <v>47</v>
          </cell>
          <cell r="B49" t="str">
            <v>Cloetesville</v>
          </cell>
          <cell r="C49">
            <v>-33.903039046281997</v>
          </cell>
          <cell r="D49">
            <v>18.847882730102</v>
          </cell>
        </row>
        <row r="50">
          <cell r="A50">
            <v>48</v>
          </cell>
          <cell r="B50" t="str">
            <v>Cloetesville</v>
          </cell>
          <cell r="C50">
            <v>-33.911634777333902</v>
          </cell>
          <cell r="D50">
            <v>18.8470955446593</v>
          </cell>
        </row>
        <row r="51">
          <cell r="A51">
            <v>49</v>
          </cell>
          <cell r="B51" t="str">
            <v>Cloetesville</v>
          </cell>
          <cell r="C51">
            <v>-33.900604096833099</v>
          </cell>
          <cell r="D51">
            <v>18.851643231386401</v>
          </cell>
        </row>
        <row r="52">
          <cell r="A52">
            <v>50</v>
          </cell>
          <cell r="B52" t="str">
            <v>Cloetesville</v>
          </cell>
          <cell r="C52">
            <v>-33.905479443652503</v>
          </cell>
          <cell r="D52">
            <v>18.854284965110399</v>
          </cell>
        </row>
        <row r="53">
          <cell r="A53">
            <v>51</v>
          </cell>
          <cell r="B53" t="str">
            <v>Cloetesville</v>
          </cell>
          <cell r="C53">
            <v>-33.897346626730602</v>
          </cell>
          <cell r="D53">
            <v>18.854362729759</v>
          </cell>
        </row>
        <row r="54">
          <cell r="A54">
            <v>52</v>
          </cell>
          <cell r="B54" t="str">
            <v>Cloetesville</v>
          </cell>
          <cell r="C54">
            <v>-33.903051977431801</v>
          </cell>
          <cell r="D54">
            <v>18.8439505024092</v>
          </cell>
        </row>
        <row r="55">
          <cell r="A55">
            <v>53</v>
          </cell>
          <cell r="B55" t="str">
            <v>Cloetesville</v>
          </cell>
          <cell r="C55">
            <v>-33.900463355041097</v>
          </cell>
          <cell r="D55">
            <v>18.845945010417299</v>
          </cell>
        </row>
        <row r="56">
          <cell r="A56">
            <v>54</v>
          </cell>
          <cell r="B56" t="str">
            <v>Cloetesville</v>
          </cell>
          <cell r="C56">
            <v>-33.906831659015999</v>
          </cell>
          <cell r="D56">
            <v>18.851759464871702</v>
          </cell>
        </row>
        <row r="57">
          <cell r="A57">
            <v>55</v>
          </cell>
          <cell r="B57" t="str">
            <v>Cloetesville</v>
          </cell>
          <cell r="C57">
            <v>-33.917717204184903</v>
          </cell>
          <cell r="D57">
            <v>18.8586818193283</v>
          </cell>
        </row>
        <row r="58">
          <cell r="A58">
            <v>56</v>
          </cell>
          <cell r="B58" t="str">
            <v>Cloetesville</v>
          </cell>
          <cell r="C58">
            <v>-33.917960291791601</v>
          </cell>
          <cell r="D58">
            <v>18.844307650680701</v>
          </cell>
        </row>
        <row r="59">
          <cell r="A59">
            <v>57</v>
          </cell>
          <cell r="B59" t="str">
            <v>Cloetesville</v>
          </cell>
          <cell r="C59">
            <v>-33.8967936264836</v>
          </cell>
          <cell r="D59">
            <v>18.849027723038901</v>
          </cell>
        </row>
        <row r="60">
          <cell r="A60">
            <v>58</v>
          </cell>
          <cell r="B60" t="str">
            <v>Cloetesville</v>
          </cell>
          <cell r="C60">
            <v>-33.900983845297198</v>
          </cell>
          <cell r="D60">
            <v>18.8450696522386</v>
          </cell>
        </row>
        <row r="61">
          <cell r="A61">
            <v>59</v>
          </cell>
          <cell r="B61" t="str">
            <v>Cloetesville</v>
          </cell>
          <cell r="C61">
            <v>-33.910896356881999</v>
          </cell>
          <cell r="D61">
            <v>18.845185868087</v>
          </cell>
        </row>
        <row r="62">
          <cell r="A62">
            <v>60</v>
          </cell>
          <cell r="B62" t="str">
            <v>Cloetesville</v>
          </cell>
          <cell r="C62">
            <v>-33.897367926573303</v>
          </cell>
          <cell r="D62">
            <v>18.843915239183101</v>
          </cell>
        </row>
        <row r="63">
          <cell r="A63">
            <v>61</v>
          </cell>
          <cell r="B63" t="str">
            <v>Cloetesville</v>
          </cell>
          <cell r="C63">
            <v>-33.897525016851397</v>
          </cell>
          <cell r="D63">
            <v>18.844966314667499</v>
          </cell>
        </row>
        <row r="64">
          <cell r="A64">
            <v>62</v>
          </cell>
          <cell r="B64" t="str">
            <v>Cloetesville</v>
          </cell>
          <cell r="C64">
            <v>-33.914846739021002</v>
          </cell>
          <cell r="D64">
            <v>18.856699124235099</v>
          </cell>
        </row>
        <row r="65">
          <cell r="A65">
            <v>63</v>
          </cell>
          <cell r="B65" t="str">
            <v>Cloetesville</v>
          </cell>
          <cell r="C65">
            <v>-33.9028394737051</v>
          </cell>
          <cell r="D65">
            <v>18.8561918711539</v>
          </cell>
        </row>
        <row r="66">
          <cell r="A66">
            <v>64</v>
          </cell>
          <cell r="B66" t="str">
            <v>Cloetesville</v>
          </cell>
          <cell r="C66">
            <v>-33.907767698648698</v>
          </cell>
          <cell r="D66">
            <v>18.8552586602049</v>
          </cell>
        </row>
        <row r="67">
          <cell r="A67">
            <v>65</v>
          </cell>
          <cell r="B67" t="str">
            <v>Cloetesville</v>
          </cell>
          <cell r="C67">
            <v>-33.911180374803102</v>
          </cell>
          <cell r="D67">
            <v>18.857467603538201</v>
          </cell>
        </row>
        <row r="68">
          <cell r="A68">
            <v>66</v>
          </cell>
          <cell r="B68" t="str">
            <v>Cloetesville</v>
          </cell>
          <cell r="C68">
            <v>-33.918270363942398</v>
          </cell>
          <cell r="D68">
            <v>18.8471132688998</v>
          </cell>
        </row>
        <row r="69">
          <cell r="A69">
            <v>67</v>
          </cell>
          <cell r="B69" t="str">
            <v>Cloetesville</v>
          </cell>
          <cell r="C69">
            <v>-33.912975768902903</v>
          </cell>
          <cell r="D69">
            <v>18.857519447688698</v>
          </cell>
        </row>
        <row r="70">
          <cell r="A70">
            <v>68</v>
          </cell>
          <cell r="B70" t="str">
            <v>Cloetesville</v>
          </cell>
          <cell r="C70">
            <v>-33.915606852629097</v>
          </cell>
          <cell r="D70">
            <v>18.848985655573799</v>
          </cell>
        </row>
        <row r="71">
          <cell r="A71">
            <v>69</v>
          </cell>
          <cell r="B71" t="str">
            <v>Cloetesville</v>
          </cell>
          <cell r="C71">
            <v>-33.900920229673801</v>
          </cell>
          <cell r="D71">
            <v>18.854703600025999</v>
          </cell>
        </row>
        <row r="72">
          <cell r="A72">
            <v>70</v>
          </cell>
          <cell r="B72" t="str">
            <v>Cloetesville</v>
          </cell>
          <cell r="C72">
            <v>-33.918023401389704</v>
          </cell>
          <cell r="D72">
            <v>18.8510831055289</v>
          </cell>
        </row>
        <row r="73">
          <cell r="A73">
            <v>71</v>
          </cell>
          <cell r="B73" t="str">
            <v>Cloetesville</v>
          </cell>
          <cell r="C73">
            <v>-33.909141393811801</v>
          </cell>
          <cell r="D73">
            <v>18.851106608962802</v>
          </cell>
        </row>
        <row r="74">
          <cell r="A74">
            <v>72</v>
          </cell>
          <cell r="B74" t="str">
            <v>Cloetesville</v>
          </cell>
          <cell r="C74">
            <v>-33.898609234835803</v>
          </cell>
          <cell r="D74">
            <v>18.857184417100399</v>
          </cell>
        </row>
        <row r="75">
          <cell r="A75">
            <v>73</v>
          </cell>
          <cell r="B75" t="str">
            <v>Cloetesville</v>
          </cell>
          <cell r="C75">
            <v>-33.916877330732603</v>
          </cell>
          <cell r="D75">
            <v>18.8576223482603</v>
          </cell>
        </row>
        <row r="76">
          <cell r="A76">
            <v>74</v>
          </cell>
          <cell r="B76" t="str">
            <v>Cloetesville</v>
          </cell>
          <cell r="C76">
            <v>-33.903961412112601</v>
          </cell>
          <cell r="D76">
            <v>18.851687270114301</v>
          </cell>
        </row>
        <row r="77">
          <cell r="A77">
            <v>75</v>
          </cell>
          <cell r="B77" t="str">
            <v>Cloetesville</v>
          </cell>
          <cell r="C77">
            <v>-33.910884653248303</v>
          </cell>
          <cell r="D77">
            <v>18.846213294293602</v>
          </cell>
        </row>
        <row r="78">
          <cell r="A78">
            <v>76</v>
          </cell>
          <cell r="B78" t="str">
            <v>Cloetesville</v>
          </cell>
          <cell r="C78">
            <v>-33.899038809771803</v>
          </cell>
          <cell r="D78">
            <v>18.850018081569399</v>
          </cell>
        </row>
        <row r="79">
          <cell r="A79">
            <v>77</v>
          </cell>
          <cell r="B79" t="str">
            <v>Cloetesville</v>
          </cell>
          <cell r="C79">
            <v>-33.9161337885254</v>
          </cell>
          <cell r="D79">
            <v>18.847382783770801</v>
          </cell>
        </row>
        <row r="80">
          <cell r="A80">
            <v>78</v>
          </cell>
          <cell r="B80" t="str">
            <v>Cloetesville</v>
          </cell>
          <cell r="C80">
            <v>-33.898690907674798</v>
          </cell>
          <cell r="D80">
            <v>18.843916646333899</v>
          </cell>
        </row>
        <row r="81">
          <cell r="A81">
            <v>79</v>
          </cell>
          <cell r="B81" t="str">
            <v>Cloetesville</v>
          </cell>
          <cell r="C81">
            <v>-33.918034320331202</v>
          </cell>
          <cell r="D81">
            <v>18.855711178504698</v>
          </cell>
        </row>
        <row r="82">
          <cell r="A82">
            <v>80</v>
          </cell>
          <cell r="B82" t="str">
            <v>Cloetesville</v>
          </cell>
          <cell r="C82">
            <v>-33.911201538886502</v>
          </cell>
          <cell r="D82">
            <v>18.853497119686601</v>
          </cell>
        </row>
        <row r="83">
          <cell r="A83">
            <v>81</v>
          </cell>
          <cell r="B83" t="str">
            <v>Cloetesville</v>
          </cell>
          <cell r="C83">
            <v>-33.9045918174115</v>
          </cell>
          <cell r="D83">
            <v>18.844553112956099</v>
          </cell>
        </row>
        <row r="84">
          <cell r="A84">
            <v>82</v>
          </cell>
          <cell r="B84" t="str">
            <v>Cloetesville</v>
          </cell>
          <cell r="C84">
            <v>-33.9072902747779</v>
          </cell>
          <cell r="D84">
            <v>18.857955136776901</v>
          </cell>
        </row>
        <row r="85">
          <cell r="A85">
            <v>83</v>
          </cell>
          <cell r="B85" t="str">
            <v>Cloetesville</v>
          </cell>
          <cell r="C85">
            <v>-33.9158380581137</v>
          </cell>
          <cell r="D85">
            <v>18.846103247721899</v>
          </cell>
        </row>
        <row r="86">
          <cell r="A86">
            <v>84</v>
          </cell>
          <cell r="B86" t="str">
            <v>Cloetesville</v>
          </cell>
          <cell r="C86">
            <v>-33.902360600414603</v>
          </cell>
          <cell r="D86">
            <v>18.8564651214629</v>
          </cell>
        </row>
        <row r="87">
          <cell r="A87">
            <v>85</v>
          </cell>
          <cell r="B87" t="str">
            <v>Cloetesville</v>
          </cell>
          <cell r="C87">
            <v>-33.9100910784014</v>
          </cell>
          <cell r="D87">
            <v>18.850861211182401</v>
          </cell>
        </row>
        <row r="88">
          <cell r="A88">
            <v>86</v>
          </cell>
          <cell r="B88" t="str">
            <v>Cloetesville</v>
          </cell>
          <cell r="C88">
            <v>-33.898724551269297</v>
          </cell>
          <cell r="D88">
            <v>18.8549230858623</v>
          </cell>
        </row>
        <row r="89">
          <cell r="A89">
            <v>87</v>
          </cell>
          <cell r="B89" t="str">
            <v>Cloetesville</v>
          </cell>
          <cell r="C89">
            <v>-33.8968359360791</v>
          </cell>
          <cell r="D89">
            <v>18.855342645041102</v>
          </cell>
        </row>
        <row r="90">
          <cell r="A90">
            <v>88</v>
          </cell>
          <cell r="B90" t="str">
            <v>Cloetesville</v>
          </cell>
          <cell r="C90">
            <v>-33.907229970438401</v>
          </cell>
          <cell r="D90">
            <v>18.8477234729563</v>
          </cell>
        </row>
        <row r="91">
          <cell r="A91">
            <v>89</v>
          </cell>
          <cell r="B91" t="str">
            <v>Cloetesville</v>
          </cell>
          <cell r="C91">
            <v>-33.918409627110698</v>
          </cell>
          <cell r="D91">
            <v>18.851709541049601</v>
          </cell>
        </row>
        <row r="92">
          <cell r="A92">
            <v>90</v>
          </cell>
          <cell r="B92" t="str">
            <v>Cloetesville</v>
          </cell>
          <cell r="C92">
            <v>-33.902723054011901</v>
          </cell>
          <cell r="D92">
            <v>18.8518658394493</v>
          </cell>
        </row>
        <row r="93">
          <cell r="A93">
            <v>91</v>
          </cell>
          <cell r="B93" t="str">
            <v>Cloetesville</v>
          </cell>
          <cell r="C93">
            <v>-33.911436052733102</v>
          </cell>
          <cell r="D93">
            <v>18.858240285005099</v>
          </cell>
        </row>
        <row r="94">
          <cell r="A94">
            <v>92</v>
          </cell>
          <cell r="B94" t="str">
            <v>Cloetesville</v>
          </cell>
          <cell r="C94">
            <v>-33.8968713478775</v>
          </cell>
          <cell r="D94">
            <v>18.848510431812699</v>
          </cell>
        </row>
        <row r="95">
          <cell r="A95">
            <v>93</v>
          </cell>
          <cell r="B95" t="str">
            <v>Cloetesville</v>
          </cell>
          <cell r="C95">
            <v>-33.903785458806901</v>
          </cell>
          <cell r="D95">
            <v>18.855669089761999</v>
          </cell>
        </row>
        <row r="96">
          <cell r="A96">
            <v>94</v>
          </cell>
          <cell r="B96" t="str">
            <v>Cloetesville</v>
          </cell>
          <cell r="C96">
            <v>-33.899010856298197</v>
          </cell>
          <cell r="D96">
            <v>18.8557769556691</v>
          </cell>
        </row>
        <row r="97">
          <cell r="A97">
            <v>95</v>
          </cell>
          <cell r="B97" t="str">
            <v>Cloetesville</v>
          </cell>
          <cell r="C97">
            <v>-33.9198192594787</v>
          </cell>
          <cell r="D97">
            <v>18.8472427398418</v>
          </cell>
        </row>
        <row r="98">
          <cell r="A98">
            <v>96</v>
          </cell>
          <cell r="B98" t="str">
            <v>Cloetesville</v>
          </cell>
          <cell r="C98">
            <v>-33.912641434995002</v>
          </cell>
          <cell r="D98">
            <v>18.8531210920383</v>
          </cell>
        </row>
        <row r="99">
          <cell r="A99">
            <v>97</v>
          </cell>
          <cell r="B99" t="str">
            <v>Cloetesville</v>
          </cell>
          <cell r="C99">
            <v>-33.918057658214998</v>
          </cell>
          <cell r="D99">
            <v>18.8520248257202</v>
          </cell>
        </row>
        <row r="100">
          <cell r="A100">
            <v>98</v>
          </cell>
          <cell r="B100" t="str">
            <v>Cloetesville</v>
          </cell>
          <cell r="C100">
            <v>-33.917739119265498</v>
          </cell>
          <cell r="D100">
            <v>18.8524395555187</v>
          </cell>
        </row>
        <row r="101">
          <cell r="A101">
            <v>99</v>
          </cell>
          <cell r="B101" t="str">
            <v>Cloetesville</v>
          </cell>
          <cell r="C101">
            <v>-33.911885983455598</v>
          </cell>
          <cell r="D101">
            <v>18.8510828916761</v>
          </cell>
        </row>
        <row r="102">
          <cell r="A102">
            <v>100</v>
          </cell>
          <cell r="B102" t="str">
            <v>Cloetesville</v>
          </cell>
          <cell r="C102">
            <v>-33.902740568608202</v>
          </cell>
          <cell r="D102">
            <v>18.844166749462101</v>
          </cell>
        </row>
        <row r="103">
          <cell r="A103">
            <v>101</v>
          </cell>
          <cell r="B103" t="str">
            <v>Cloetesville</v>
          </cell>
          <cell r="C103">
            <v>-33.915318149268799</v>
          </cell>
          <cell r="D103">
            <v>18.852871174690002</v>
          </cell>
        </row>
        <row r="104">
          <cell r="A104">
            <v>102</v>
          </cell>
          <cell r="B104" t="str">
            <v>Cloetesville</v>
          </cell>
          <cell r="C104">
            <v>-33.908335273569001</v>
          </cell>
          <cell r="D104">
            <v>18.858014320187301</v>
          </cell>
        </row>
        <row r="105">
          <cell r="A105">
            <v>103</v>
          </cell>
          <cell r="B105" t="str">
            <v>Cloetesville</v>
          </cell>
          <cell r="C105">
            <v>-33.900334155584801</v>
          </cell>
          <cell r="D105">
            <v>18.851660857921701</v>
          </cell>
        </row>
        <row r="106">
          <cell r="A106">
            <v>104</v>
          </cell>
          <cell r="B106" t="str">
            <v>Cloetesville</v>
          </cell>
          <cell r="C106">
            <v>-33.919547703248597</v>
          </cell>
          <cell r="D106">
            <v>18.8586881557193</v>
          </cell>
        </row>
        <row r="107">
          <cell r="A107">
            <v>105</v>
          </cell>
          <cell r="B107" t="str">
            <v>Cloetesville</v>
          </cell>
          <cell r="C107">
            <v>-33.898457047124801</v>
          </cell>
          <cell r="D107">
            <v>18.8532590170833</v>
          </cell>
        </row>
        <row r="108">
          <cell r="A108">
            <v>106</v>
          </cell>
          <cell r="B108" t="str">
            <v>Cloetesville</v>
          </cell>
          <cell r="C108">
            <v>-33.915288052203103</v>
          </cell>
          <cell r="D108">
            <v>18.8510186340527</v>
          </cell>
        </row>
        <row r="109">
          <cell r="A109">
            <v>107</v>
          </cell>
          <cell r="B109" t="str">
            <v>Cloetesville</v>
          </cell>
          <cell r="C109">
            <v>-33.918505236151503</v>
          </cell>
          <cell r="D109">
            <v>18.844938683826701</v>
          </cell>
        </row>
        <row r="110">
          <cell r="A110">
            <v>108</v>
          </cell>
          <cell r="B110" t="str">
            <v>Cloetesville</v>
          </cell>
          <cell r="C110">
            <v>-33.899886745383597</v>
          </cell>
          <cell r="D110">
            <v>18.843482171036001</v>
          </cell>
        </row>
        <row r="111">
          <cell r="A111">
            <v>109</v>
          </cell>
          <cell r="B111" t="str">
            <v>Cloetesville</v>
          </cell>
          <cell r="C111">
            <v>-33.896954612261901</v>
          </cell>
          <cell r="D111">
            <v>18.844178702453</v>
          </cell>
        </row>
        <row r="112">
          <cell r="A112">
            <v>110</v>
          </cell>
          <cell r="B112" t="str">
            <v>Cloetesville</v>
          </cell>
          <cell r="C112">
            <v>-33.902682377502799</v>
          </cell>
          <cell r="D112">
            <v>18.846337368029399</v>
          </cell>
        </row>
        <row r="113">
          <cell r="A113">
            <v>111</v>
          </cell>
          <cell r="B113" t="str">
            <v>Cloetesville</v>
          </cell>
          <cell r="C113">
            <v>-33.915295345593101</v>
          </cell>
          <cell r="D113">
            <v>18.847636305128201</v>
          </cell>
        </row>
        <row r="114">
          <cell r="A114">
            <v>112</v>
          </cell>
          <cell r="B114" t="str">
            <v>Cloetesville</v>
          </cell>
          <cell r="C114">
            <v>-33.901815237447202</v>
          </cell>
          <cell r="D114">
            <v>18.846708309551499</v>
          </cell>
        </row>
        <row r="115">
          <cell r="A115">
            <v>113</v>
          </cell>
          <cell r="B115" t="str">
            <v>Cloetesville</v>
          </cell>
          <cell r="C115">
            <v>-33.907556804346903</v>
          </cell>
          <cell r="D115">
            <v>18.854593583918501</v>
          </cell>
        </row>
        <row r="116">
          <cell r="A116">
            <v>114</v>
          </cell>
          <cell r="B116" t="str">
            <v>Cloetesville</v>
          </cell>
          <cell r="C116">
            <v>-33.9096030950151</v>
          </cell>
          <cell r="D116">
            <v>18.8496248128403</v>
          </cell>
        </row>
        <row r="117">
          <cell r="A117">
            <v>115</v>
          </cell>
          <cell r="B117" t="str">
            <v>Cloetesville</v>
          </cell>
          <cell r="C117">
            <v>-33.918108494607701</v>
          </cell>
          <cell r="D117">
            <v>18.8576572806965</v>
          </cell>
        </row>
        <row r="118">
          <cell r="A118">
            <v>116</v>
          </cell>
          <cell r="B118" t="str">
            <v>Cloetesville</v>
          </cell>
          <cell r="C118">
            <v>-33.900410398638897</v>
          </cell>
          <cell r="D118">
            <v>18.855995679660801</v>
          </cell>
        </row>
        <row r="119">
          <cell r="A119">
            <v>117</v>
          </cell>
          <cell r="B119" t="str">
            <v>Cloetesville</v>
          </cell>
          <cell r="C119">
            <v>-33.905537440325901</v>
          </cell>
          <cell r="D119">
            <v>18.8560255752394</v>
          </cell>
        </row>
        <row r="120">
          <cell r="A120">
            <v>118</v>
          </cell>
          <cell r="B120" t="str">
            <v>Cloetesville</v>
          </cell>
          <cell r="C120">
            <v>-33.902156564402297</v>
          </cell>
          <cell r="D120">
            <v>18.858596251931601</v>
          </cell>
        </row>
        <row r="121">
          <cell r="A121">
            <v>119</v>
          </cell>
          <cell r="B121" t="str">
            <v>Cloetesville</v>
          </cell>
          <cell r="C121">
            <v>-33.901402916259698</v>
          </cell>
          <cell r="D121">
            <v>18.855457794814601</v>
          </cell>
        </row>
        <row r="122">
          <cell r="A122">
            <v>120</v>
          </cell>
          <cell r="B122" t="str">
            <v>Cloetesville</v>
          </cell>
          <cell r="C122">
            <v>-33.896473509468898</v>
          </cell>
          <cell r="D122">
            <v>18.845973819257299</v>
          </cell>
        </row>
        <row r="123">
          <cell r="A123">
            <v>121</v>
          </cell>
          <cell r="B123" t="str">
            <v>Cloetesville</v>
          </cell>
          <cell r="C123">
            <v>-33.914579949784397</v>
          </cell>
          <cell r="D123">
            <v>18.8547612221493</v>
          </cell>
        </row>
        <row r="124">
          <cell r="A124">
            <v>122</v>
          </cell>
          <cell r="B124" t="str">
            <v>Cloetesville</v>
          </cell>
          <cell r="C124">
            <v>-33.908493097572098</v>
          </cell>
          <cell r="D124">
            <v>18.855709682892599</v>
          </cell>
        </row>
        <row r="125">
          <cell r="A125">
            <v>123</v>
          </cell>
          <cell r="B125" t="str">
            <v>Cloetesville</v>
          </cell>
          <cell r="C125">
            <v>-33.899345500614999</v>
          </cell>
          <cell r="D125">
            <v>18.854287426849201</v>
          </cell>
        </row>
        <row r="126">
          <cell r="A126">
            <v>124</v>
          </cell>
          <cell r="B126" t="str">
            <v>Cloetesville</v>
          </cell>
          <cell r="C126">
            <v>-33.919307657707201</v>
          </cell>
          <cell r="D126">
            <v>18.852871924579102</v>
          </cell>
        </row>
        <row r="127">
          <cell r="A127">
            <v>125</v>
          </cell>
          <cell r="B127" t="str">
            <v>Cloetesville</v>
          </cell>
          <cell r="C127">
            <v>-33.907905738456897</v>
          </cell>
          <cell r="D127">
            <v>18.846609797047002</v>
          </cell>
        </row>
        <row r="128">
          <cell r="A128">
            <v>126</v>
          </cell>
          <cell r="B128" t="str">
            <v>Cloetesville</v>
          </cell>
          <cell r="C128">
            <v>-33.898315249561001</v>
          </cell>
          <cell r="D128">
            <v>18.847737180410299</v>
          </cell>
        </row>
        <row r="129">
          <cell r="A129">
            <v>127</v>
          </cell>
          <cell r="B129" t="str">
            <v>Cloetesville</v>
          </cell>
          <cell r="C129">
            <v>-33.919795329588801</v>
          </cell>
          <cell r="D129">
            <v>18.848660194809501</v>
          </cell>
        </row>
        <row r="130">
          <cell r="A130">
            <v>128</v>
          </cell>
          <cell r="B130" t="str">
            <v>Cloetesville</v>
          </cell>
          <cell r="C130">
            <v>-33.911601825940402</v>
          </cell>
          <cell r="D130">
            <v>18.846259974427301</v>
          </cell>
        </row>
        <row r="131">
          <cell r="A131">
            <v>129</v>
          </cell>
          <cell r="B131" t="str">
            <v>Cloetesville</v>
          </cell>
          <cell r="C131">
            <v>-33.9116261461525</v>
          </cell>
          <cell r="D131">
            <v>18.848282913618</v>
          </cell>
        </row>
        <row r="132">
          <cell r="A132">
            <v>130</v>
          </cell>
          <cell r="B132" t="str">
            <v>Cloetesville</v>
          </cell>
          <cell r="C132">
            <v>-33.897518964489201</v>
          </cell>
          <cell r="D132">
            <v>18.849155405601401</v>
          </cell>
        </row>
        <row r="133">
          <cell r="A133">
            <v>131</v>
          </cell>
          <cell r="B133" t="str">
            <v>Cloetesville</v>
          </cell>
          <cell r="C133">
            <v>-33.910923313611697</v>
          </cell>
          <cell r="D133">
            <v>18.8592683634621</v>
          </cell>
        </row>
        <row r="134">
          <cell r="A134">
            <v>132</v>
          </cell>
          <cell r="B134" t="str">
            <v>Cloetesville</v>
          </cell>
          <cell r="C134">
            <v>-33.915266336250703</v>
          </cell>
          <cell r="D134">
            <v>18.8498562482241</v>
          </cell>
        </row>
        <row r="135">
          <cell r="A135">
            <v>133</v>
          </cell>
          <cell r="B135" t="str">
            <v>Cloetesville</v>
          </cell>
          <cell r="C135">
            <v>-33.915407011045801</v>
          </cell>
          <cell r="D135">
            <v>18.8547541567794</v>
          </cell>
        </row>
        <row r="136">
          <cell r="A136">
            <v>134</v>
          </cell>
          <cell r="B136" t="str">
            <v>Cloetesville</v>
          </cell>
          <cell r="C136">
            <v>-33.919122564640297</v>
          </cell>
          <cell r="D136">
            <v>18.848997758533201</v>
          </cell>
        </row>
        <row r="137">
          <cell r="A137">
            <v>135</v>
          </cell>
          <cell r="B137" t="str">
            <v>Cloetesville</v>
          </cell>
          <cell r="C137">
            <v>-33.912104932787003</v>
          </cell>
          <cell r="D137">
            <v>18.844412525389298</v>
          </cell>
        </row>
        <row r="138">
          <cell r="A138">
            <v>136</v>
          </cell>
          <cell r="B138" t="str">
            <v>Cloetesville</v>
          </cell>
          <cell r="C138">
            <v>-33.900034647560197</v>
          </cell>
          <cell r="D138">
            <v>18.843619740624899</v>
          </cell>
        </row>
        <row r="139">
          <cell r="A139">
            <v>137</v>
          </cell>
          <cell r="B139" t="str">
            <v>Cloetesville</v>
          </cell>
          <cell r="C139">
            <v>-33.913554834446899</v>
          </cell>
          <cell r="D139">
            <v>18.857383237518601</v>
          </cell>
        </row>
        <row r="140">
          <cell r="A140">
            <v>138</v>
          </cell>
          <cell r="B140" t="str">
            <v>Cloetesville</v>
          </cell>
          <cell r="C140">
            <v>-33.913922602458499</v>
          </cell>
          <cell r="D140">
            <v>18.848381676885801</v>
          </cell>
        </row>
        <row r="141">
          <cell r="A141">
            <v>139</v>
          </cell>
          <cell r="B141" t="str">
            <v>Cloetesville</v>
          </cell>
          <cell r="C141">
            <v>-33.898439072019997</v>
          </cell>
          <cell r="D141">
            <v>18.850587450383401</v>
          </cell>
        </row>
        <row r="142">
          <cell r="A142">
            <v>140</v>
          </cell>
          <cell r="B142" t="str">
            <v>Cloetesville</v>
          </cell>
          <cell r="C142">
            <v>-33.916950500824797</v>
          </cell>
          <cell r="D142">
            <v>18.8514809666612</v>
          </cell>
        </row>
        <row r="143">
          <cell r="A143">
            <v>141</v>
          </cell>
          <cell r="B143" t="str">
            <v>Cloetesville</v>
          </cell>
          <cell r="C143">
            <v>-33.897019545517999</v>
          </cell>
          <cell r="D143">
            <v>18.851448163053998</v>
          </cell>
        </row>
        <row r="144">
          <cell r="A144">
            <v>142</v>
          </cell>
          <cell r="B144" t="str">
            <v>Cloetesville</v>
          </cell>
          <cell r="C144">
            <v>-33.896447553887</v>
          </cell>
          <cell r="D144">
            <v>18.849783578039599</v>
          </cell>
        </row>
        <row r="145">
          <cell r="A145">
            <v>143</v>
          </cell>
          <cell r="B145" t="str">
            <v>Cloetesville</v>
          </cell>
          <cell r="C145">
            <v>-33.905275968128898</v>
          </cell>
          <cell r="D145">
            <v>18.8551572049486</v>
          </cell>
        </row>
        <row r="146">
          <cell r="A146">
            <v>144</v>
          </cell>
          <cell r="B146" t="str">
            <v>Cloetesville</v>
          </cell>
          <cell r="C146">
            <v>-33.918555416535099</v>
          </cell>
          <cell r="D146">
            <v>18.857928664856999</v>
          </cell>
        </row>
        <row r="147">
          <cell r="A147">
            <v>145</v>
          </cell>
          <cell r="B147" t="str">
            <v>Cloetesville</v>
          </cell>
          <cell r="C147">
            <v>-33.904016869678003</v>
          </cell>
          <cell r="D147">
            <v>18.8568709290541</v>
          </cell>
        </row>
        <row r="148">
          <cell r="A148">
            <v>146</v>
          </cell>
          <cell r="B148" t="str">
            <v>Cloetesville</v>
          </cell>
          <cell r="C148">
            <v>-33.899166368561701</v>
          </cell>
          <cell r="D148">
            <v>18.8535609449413</v>
          </cell>
        </row>
        <row r="149">
          <cell r="A149">
            <v>147</v>
          </cell>
          <cell r="B149" t="str">
            <v>Cloetesville</v>
          </cell>
          <cell r="C149">
            <v>-33.918173249856999</v>
          </cell>
          <cell r="D149">
            <v>18.848186039667102</v>
          </cell>
        </row>
        <row r="150">
          <cell r="A150">
            <v>148</v>
          </cell>
          <cell r="B150" t="str">
            <v>Cloetesville</v>
          </cell>
          <cell r="C150">
            <v>-33.9039615457745</v>
          </cell>
          <cell r="D150">
            <v>18.8468068946543</v>
          </cell>
        </row>
        <row r="151">
          <cell r="A151">
            <v>149</v>
          </cell>
          <cell r="B151" t="str">
            <v>Cloetesville</v>
          </cell>
          <cell r="C151">
            <v>-33.901897296953798</v>
          </cell>
          <cell r="D151">
            <v>18.849066229306299</v>
          </cell>
        </row>
        <row r="152">
          <cell r="A152">
            <v>150</v>
          </cell>
          <cell r="B152" t="str">
            <v>Cloetesville</v>
          </cell>
          <cell r="C152">
            <v>-33.910522872044702</v>
          </cell>
          <cell r="D152">
            <v>18.853793058938798</v>
          </cell>
        </row>
        <row r="153">
          <cell r="A153">
            <v>151</v>
          </cell>
          <cell r="B153" t="str">
            <v>Cloetesville</v>
          </cell>
          <cell r="C153">
            <v>-33.899257083447097</v>
          </cell>
          <cell r="D153">
            <v>18.844213548327001</v>
          </cell>
        </row>
        <row r="154">
          <cell r="A154">
            <v>152</v>
          </cell>
          <cell r="B154" t="str">
            <v>Cloetesville</v>
          </cell>
          <cell r="C154">
            <v>-33.898162872514703</v>
          </cell>
          <cell r="D154">
            <v>18.859252026615199</v>
          </cell>
        </row>
        <row r="155">
          <cell r="A155">
            <v>153</v>
          </cell>
          <cell r="B155" t="str">
            <v>Cloetesville</v>
          </cell>
          <cell r="C155">
            <v>-33.919106653306997</v>
          </cell>
          <cell r="D155">
            <v>18.845696687915598</v>
          </cell>
        </row>
        <row r="156">
          <cell r="A156">
            <v>154</v>
          </cell>
          <cell r="B156" t="str">
            <v>Cloetesville</v>
          </cell>
          <cell r="C156">
            <v>-33.904499015997501</v>
          </cell>
          <cell r="D156">
            <v>18.857225874504898</v>
          </cell>
        </row>
        <row r="157">
          <cell r="A157">
            <v>155</v>
          </cell>
          <cell r="B157" t="str">
            <v>Cloetesville</v>
          </cell>
          <cell r="C157">
            <v>-33.914087418963398</v>
          </cell>
          <cell r="D157">
            <v>18.847759595858399</v>
          </cell>
        </row>
        <row r="158">
          <cell r="A158">
            <v>156</v>
          </cell>
          <cell r="B158" t="str">
            <v>Cloetesville</v>
          </cell>
          <cell r="C158">
            <v>-33.897221764117297</v>
          </cell>
          <cell r="D158">
            <v>18.856700127642601</v>
          </cell>
        </row>
        <row r="159">
          <cell r="A159">
            <v>157</v>
          </cell>
          <cell r="B159" t="str">
            <v>Cloetesville</v>
          </cell>
          <cell r="C159">
            <v>-33.912657272976197</v>
          </cell>
          <cell r="D159">
            <v>18.8559801077717</v>
          </cell>
        </row>
        <row r="160">
          <cell r="A160">
            <v>158</v>
          </cell>
          <cell r="B160" t="str">
            <v>Cloetesville</v>
          </cell>
          <cell r="C160">
            <v>-33.9018719825335</v>
          </cell>
          <cell r="D160">
            <v>18.853964539984901</v>
          </cell>
        </row>
        <row r="161">
          <cell r="A161">
            <v>159</v>
          </cell>
          <cell r="B161" t="str">
            <v>Cloetesville</v>
          </cell>
          <cell r="C161">
            <v>-33.916248339322699</v>
          </cell>
          <cell r="D161">
            <v>18.8439155137788</v>
          </cell>
        </row>
        <row r="162">
          <cell r="A162">
            <v>160</v>
          </cell>
          <cell r="B162" t="str">
            <v>Cloetesville</v>
          </cell>
          <cell r="C162">
            <v>-33.910967879493597</v>
          </cell>
          <cell r="D162">
            <v>18.856746242519801</v>
          </cell>
        </row>
        <row r="163">
          <cell r="A163">
            <v>161</v>
          </cell>
          <cell r="B163" t="str">
            <v>Cloetesville</v>
          </cell>
          <cell r="C163">
            <v>-33.9096247712991</v>
          </cell>
          <cell r="D163">
            <v>18.8590472398927</v>
          </cell>
        </row>
        <row r="164">
          <cell r="A164">
            <v>162</v>
          </cell>
          <cell r="B164" t="str">
            <v>Cloetesville</v>
          </cell>
          <cell r="C164">
            <v>-33.907594140789797</v>
          </cell>
          <cell r="D164">
            <v>18.858841063067999</v>
          </cell>
        </row>
        <row r="165">
          <cell r="A165">
            <v>163</v>
          </cell>
          <cell r="B165" t="str">
            <v>Cloetesville</v>
          </cell>
          <cell r="C165">
            <v>-33.9196505086462</v>
          </cell>
          <cell r="D165">
            <v>18.8536640687005</v>
          </cell>
        </row>
        <row r="166">
          <cell r="A166">
            <v>164</v>
          </cell>
          <cell r="B166" t="str">
            <v>Cloetesville</v>
          </cell>
          <cell r="C166">
            <v>-33.899770420833903</v>
          </cell>
          <cell r="D166">
            <v>18.858217067161998</v>
          </cell>
        </row>
        <row r="167">
          <cell r="A167">
            <v>165</v>
          </cell>
          <cell r="B167" t="str">
            <v>Cloetesville</v>
          </cell>
          <cell r="C167">
            <v>-33.908089419619699</v>
          </cell>
          <cell r="D167">
            <v>18.850992574234901</v>
          </cell>
        </row>
        <row r="168">
          <cell r="A168">
            <v>166</v>
          </cell>
          <cell r="B168" t="str">
            <v>Cloetesville</v>
          </cell>
          <cell r="C168">
            <v>-33.903800852686203</v>
          </cell>
          <cell r="D168">
            <v>18.856958619683901</v>
          </cell>
        </row>
        <row r="169">
          <cell r="A169">
            <v>167</v>
          </cell>
          <cell r="B169" t="str">
            <v>Cloetesville</v>
          </cell>
          <cell r="C169">
            <v>-33.900360722963498</v>
          </cell>
          <cell r="D169">
            <v>18.855715698582699</v>
          </cell>
        </row>
        <row r="170">
          <cell r="A170">
            <v>168</v>
          </cell>
          <cell r="B170" t="str">
            <v>Cloetesville</v>
          </cell>
          <cell r="C170">
            <v>-33.904558745847403</v>
          </cell>
          <cell r="D170">
            <v>18.848811519132202</v>
          </cell>
        </row>
        <row r="171">
          <cell r="A171">
            <v>169</v>
          </cell>
          <cell r="B171" t="str">
            <v>Cloetesville</v>
          </cell>
          <cell r="C171">
            <v>-33.908499124241402</v>
          </cell>
          <cell r="D171">
            <v>18.857547645471598</v>
          </cell>
        </row>
        <row r="172">
          <cell r="A172">
            <v>170</v>
          </cell>
          <cell r="B172" t="str">
            <v>Cloetesville</v>
          </cell>
          <cell r="C172">
            <v>-33.910413132329197</v>
          </cell>
          <cell r="D172">
            <v>18.8516250073863</v>
          </cell>
        </row>
        <row r="173">
          <cell r="A173">
            <v>171</v>
          </cell>
          <cell r="B173" t="str">
            <v>Cloetesville</v>
          </cell>
          <cell r="C173">
            <v>-33.918605564161801</v>
          </cell>
          <cell r="D173">
            <v>18.852358516374501</v>
          </cell>
        </row>
        <row r="174">
          <cell r="A174">
            <v>172</v>
          </cell>
          <cell r="B174" t="str">
            <v>Cloetesville</v>
          </cell>
          <cell r="C174">
            <v>-33.903378324286201</v>
          </cell>
          <cell r="D174">
            <v>18.855666700813298</v>
          </cell>
        </row>
        <row r="175">
          <cell r="A175">
            <v>173</v>
          </cell>
          <cell r="B175" t="str">
            <v>Cloetesville</v>
          </cell>
          <cell r="C175">
            <v>-33.919883003186499</v>
          </cell>
          <cell r="D175">
            <v>18.856877363311099</v>
          </cell>
        </row>
        <row r="176">
          <cell r="A176">
            <v>174</v>
          </cell>
          <cell r="B176" t="str">
            <v>Cloetesville</v>
          </cell>
          <cell r="C176">
            <v>-33.909896153889697</v>
          </cell>
          <cell r="D176">
            <v>18.848176746178702</v>
          </cell>
        </row>
        <row r="177">
          <cell r="A177">
            <v>175</v>
          </cell>
          <cell r="B177" t="str">
            <v>Cloetesville</v>
          </cell>
          <cell r="C177">
            <v>-33.8985001534326</v>
          </cell>
          <cell r="D177">
            <v>18.849395587783501</v>
          </cell>
        </row>
        <row r="178">
          <cell r="A178">
            <v>176</v>
          </cell>
          <cell r="B178" t="str">
            <v>Cloetesville</v>
          </cell>
          <cell r="C178">
            <v>-33.909063048916003</v>
          </cell>
          <cell r="D178">
            <v>18.856493756772799</v>
          </cell>
        </row>
        <row r="179">
          <cell r="A179">
            <v>177</v>
          </cell>
          <cell r="B179" t="str">
            <v>Cloetesville</v>
          </cell>
          <cell r="C179">
            <v>-33.905014567357199</v>
          </cell>
          <cell r="D179">
            <v>18.858282858727598</v>
          </cell>
        </row>
        <row r="180">
          <cell r="A180">
            <v>178</v>
          </cell>
          <cell r="B180" t="str">
            <v>Cloetesville</v>
          </cell>
          <cell r="C180">
            <v>-33.9114146166932</v>
          </cell>
          <cell r="D180">
            <v>18.845050318865798</v>
          </cell>
        </row>
        <row r="181">
          <cell r="A181">
            <v>179</v>
          </cell>
          <cell r="B181" t="str">
            <v>Cloetesville</v>
          </cell>
          <cell r="C181">
            <v>-33.9151590072508</v>
          </cell>
          <cell r="D181">
            <v>18.853239975016599</v>
          </cell>
        </row>
        <row r="182">
          <cell r="A182">
            <v>180</v>
          </cell>
          <cell r="B182" t="str">
            <v>Cloetesville</v>
          </cell>
          <cell r="C182">
            <v>-33.913112898616902</v>
          </cell>
          <cell r="D182">
            <v>18.844638129219</v>
          </cell>
        </row>
        <row r="183">
          <cell r="A183">
            <v>181</v>
          </cell>
          <cell r="B183" t="str">
            <v>Cloetesville</v>
          </cell>
          <cell r="C183">
            <v>-33.915831499859998</v>
          </cell>
          <cell r="D183">
            <v>18.859313351659999</v>
          </cell>
        </row>
        <row r="184">
          <cell r="A184">
            <v>182</v>
          </cell>
          <cell r="B184" t="str">
            <v>Cloetesville</v>
          </cell>
          <cell r="C184">
            <v>-33.903077955216503</v>
          </cell>
          <cell r="D184">
            <v>18.855886060027601</v>
          </cell>
        </row>
        <row r="185">
          <cell r="A185">
            <v>183</v>
          </cell>
          <cell r="B185" t="str">
            <v>Cloetesville</v>
          </cell>
          <cell r="C185">
            <v>-33.9001919949918</v>
          </cell>
          <cell r="D185">
            <v>18.8455250508657</v>
          </cell>
        </row>
        <row r="186">
          <cell r="A186">
            <v>184</v>
          </cell>
          <cell r="B186" t="str">
            <v>Cloetesville</v>
          </cell>
          <cell r="C186">
            <v>-33.903149952721897</v>
          </cell>
          <cell r="D186">
            <v>18.849851702451399</v>
          </cell>
        </row>
        <row r="187">
          <cell r="A187">
            <v>185</v>
          </cell>
          <cell r="B187" t="str">
            <v>Cloetesville</v>
          </cell>
          <cell r="C187">
            <v>-33.904531041872097</v>
          </cell>
          <cell r="D187">
            <v>18.847785537695501</v>
          </cell>
        </row>
        <row r="188">
          <cell r="A188">
            <v>186</v>
          </cell>
          <cell r="B188" t="str">
            <v>Cloetesville</v>
          </cell>
          <cell r="C188">
            <v>-33.919648406653401</v>
          </cell>
          <cell r="D188">
            <v>18.843737188536501</v>
          </cell>
        </row>
        <row r="189">
          <cell r="A189">
            <v>187</v>
          </cell>
          <cell r="B189" t="str">
            <v>Cloetesville</v>
          </cell>
          <cell r="C189">
            <v>-33.902450396583099</v>
          </cell>
          <cell r="D189">
            <v>18.854157583256299</v>
          </cell>
        </row>
        <row r="190">
          <cell r="A190">
            <v>188</v>
          </cell>
          <cell r="B190" t="str">
            <v>Cloetesville</v>
          </cell>
          <cell r="C190">
            <v>-33.918051756058702</v>
          </cell>
          <cell r="D190">
            <v>18.859277346583099</v>
          </cell>
        </row>
        <row r="191">
          <cell r="A191">
            <v>189</v>
          </cell>
          <cell r="B191" t="str">
            <v>Cloetesville</v>
          </cell>
          <cell r="C191">
            <v>-33.916393975243103</v>
          </cell>
          <cell r="D191">
            <v>18.856638993621399</v>
          </cell>
        </row>
        <row r="192">
          <cell r="A192">
            <v>190</v>
          </cell>
          <cell r="B192" t="str">
            <v>Cloetesville</v>
          </cell>
          <cell r="C192">
            <v>-33.902602924100599</v>
          </cell>
          <cell r="D192">
            <v>18.844881483498799</v>
          </cell>
        </row>
        <row r="193">
          <cell r="A193">
            <v>191</v>
          </cell>
          <cell r="B193" t="str">
            <v>Cloetesville</v>
          </cell>
          <cell r="C193">
            <v>-33.910762065005301</v>
          </cell>
          <cell r="D193">
            <v>18.8591730884858</v>
          </cell>
        </row>
        <row r="194">
          <cell r="A194">
            <v>192</v>
          </cell>
          <cell r="B194" t="str">
            <v>Cloetesville</v>
          </cell>
          <cell r="C194">
            <v>-33.913389035228597</v>
          </cell>
          <cell r="D194">
            <v>18.852715353093998</v>
          </cell>
        </row>
        <row r="195">
          <cell r="A195">
            <v>193</v>
          </cell>
          <cell r="B195" t="str">
            <v>Cloetesville</v>
          </cell>
          <cell r="C195">
            <v>-33.910416209857402</v>
          </cell>
          <cell r="D195">
            <v>18.857558104325602</v>
          </cell>
        </row>
        <row r="196">
          <cell r="A196">
            <v>194</v>
          </cell>
          <cell r="B196" t="str">
            <v>Cloetesville</v>
          </cell>
          <cell r="C196">
            <v>-33.914997947669598</v>
          </cell>
          <cell r="D196">
            <v>18.846168104684001</v>
          </cell>
        </row>
        <row r="197">
          <cell r="A197">
            <v>195</v>
          </cell>
          <cell r="B197" t="str">
            <v>Cloetesville</v>
          </cell>
          <cell r="C197">
            <v>-33.896840685973601</v>
          </cell>
          <cell r="D197">
            <v>18.858461953507</v>
          </cell>
        </row>
        <row r="198">
          <cell r="A198">
            <v>196</v>
          </cell>
          <cell r="B198" t="str">
            <v>Cloetesville</v>
          </cell>
          <cell r="C198">
            <v>-33.903880769868799</v>
          </cell>
          <cell r="D198">
            <v>18.8491012663475</v>
          </cell>
        </row>
        <row r="199">
          <cell r="A199">
            <v>197</v>
          </cell>
          <cell r="B199" t="str">
            <v>Cloetesville</v>
          </cell>
          <cell r="C199">
            <v>-33.913800972010002</v>
          </cell>
          <cell r="D199">
            <v>18.8501430059647</v>
          </cell>
        </row>
        <row r="200">
          <cell r="A200">
            <v>198</v>
          </cell>
          <cell r="B200" t="str">
            <v>Cloetesville</v>
          </cell>
          <cell r="C200">
            <v>-33.909348021931002</v>
          </cell>
          <cell r="D200">
            <v>18.851967060868301</v>
          </cell>
        </row>
        <row r="201">
          <cell r="A201">
            <v>199</v>
          </cell>
          <cell r="B201" t="str">
            <v>Cloetesville</v>
          </cell>
          <cell r="C201">
            <v>-33.898864143894798</v>
          </cell>
          <cell r="D201">
            <v>18.847582829028401</v>
          </cell>
        </row>
        <row r="202">
          <cell r="A202">
            <v>200</v>
          </cell>
          <cell r="B202" t="str">
            <v>Cloetesville</v>
          </cell>
          <cell r="C202">
            <v>-33.916153609089498</v>
          </cell>
          <cell r="D202">
            <v>18.845267608828099</v>
          </cell>
        </row>
        <row r="203">
          <cell r="A203">
            <v>201</v>
          </cell>
          <cell r="B203" t="str">
            <v>Cloetesville</v>
          </cell>
          <cell r="C203">
            <v>-33.899994591837398</v>
          </cell>
          <cell r="D203">
            <v>18.853275052844999</v>
          </cell>
        </row>
        <row r="204">
          <cell r="A204">
            <v>202</v>
          </cell>
          <cell r="B204" t="str">
            <v>Cloetesville</v>
          </cell>
          <cell r="C204">
            <v>-33.898175266292398</v>
          </cell>
          <cell r="D204">
            <v>18.847366816995201</v>
          </cell>
        </row>
        <row r="205">
          <cell r="A205">
            <v>203</v>
          </cell>
          <cell r="B205" t="str">
            <v>Cloetesville</v>
          </cell>
          <cell r="C205">
            <v>-33.918348985362599</v>
          </cell>
          <cell r="D205">
            <v>18.848447792604901</v>
          </cell>
        </row>
        <row r="206">
          <cell r="A206">
            <v>204</v>
          </cell>
          <cell r="B206" t="str">
            <v>Cloetesville</v>
          </cell>
          <cell r="C206">
            <v>-33.907376645746702</v>
          </cell>
          <cell r="D206">
            <v>18.845202001397599</v>
          </cell>
        </row>
        <row r="207">
          <cell r="A207">
            <v>205</v>
          </cell>
          <cell r="B207" t="str">
            <v>Cloetesville</v>
          </cell>
          <cell r="C207">
            <v>-33.904846894972103</v>
          </cell>
          <cell r="D207">
            <v>18.854176300807101</v>
          </cell>
        </row>
        <row r="208">
          <cell r="A208">
            <v>206</v>
          </cell>
          <cell r="B208" t="str">
            <v>Cloetesville</v>
          </cell>
          <cell r="C208">
            <v>-33.916912700625701</v>
          </cell>
          <cell r="D208">
            <v>18.855832551139901</v>
          </cell>
        </row>
        <row r="209">
          <cell r="A209">
            <v>207</v>
          </cell>
          <cell r="B209" t="str">
            <v>Cloetesville</v>
          </cell>
          <cell r="C209">
            <v>-33.905561986074602</v>
          </cell>
          <cell r="D209">
            <v>18.852094777583101</v>
          </cell>
        </row>
        <row r="210">
          <cell r="A210">
            <v>208</v>
          </cell>
          <cell r="B210" t="str">
            <v>Cloetesville</v>
          </cell>
          <cell r="C210">
            <v>-33.901078540526001</v>
          </cell>
          <cell r="D210">
            <v>18.845017177035899</v>
          </cell>
        </row>
        <row r="211">
          <cell r="A211">
            <v>209</v>
          </cell>
          <cell r="B211" t="str">
            <v>Cloetesville</v>
          </cell>
          <cell r="C211">
            <v>-33.914183196817802</v>
          </cell>
          <cell r="D211">
            <v>18.849947510777898</v>
          </cell>
        </row>
        <row r="212">
          <cell r="A212">
            <v>210</v>
          </cell>
          <cell r="B212" t="str">
            <v>Cloetesville</v>
          </cell>
          <cell r="C212">
            <v>-33.910798415622999</v>
          </cell>
          <cell r="D212">
            <v>18.845541552654201</v>
          </cell>
        </row>
        <row r="213">
          <cell r="A213">
            <v>211</v>
          </cell>
          <cell r="B213" t="str">
            <v>Cloetesville</v>
          </cell>
          <cell r="C213">
            <v>-33.917237819923599</v>
          </cell>
          <cell r="D213">
            <v>18.8579027762894</v>
          </cell>
        </row>
        <row r="214">
          <cell r="A214">
            <v>212</v>
          </cell>
          <cell r="B214" t="str">
            <v>Cloetesville</v>
          </cell>
          <cell r="C214">
            <v>-33.897367994233598</v>
          </cell>
          <cell r="D214">
            <v>18.8449893912547</v>
          </cell>
        </row>
        <row r="215">
          <cell r="A215">
            <v>213</v>
          </cell>
          <cell r="B215" t="str">
            <v>Cloetesville</v>
          </cell>
          <cell r="C215">
            <v>-33.917698894272398</v>
          </cell>
          <cell r="D215">
            <v>18.846800172372198</v>
          </cell>
        </row>
        <row r="216">
          <cell r="A216">
            <v>214</v>
          </cell>
          <cell r="B216" t="str">
            <v>Cloetesville</v>
          </cell>
          <cell r="C216">
            <v>-33.916737601257097</v>
          </cell>
          <cell r="D216">
            <v>18.857035267043599</v>
          </cell>
        </row>
        <row r="217">
          <cell r="A217">
            <v>215</v>
          </cell>
          <cell r="B217" t="str">
            <v>Cloetesville</v>
          </cell>
          <cell r="C217">
            <v>-33.908087828301703</v>
          </cell>
          <cell r="D217">
            <v>18.858608310491899</v>
          </cell>
        </row>
        <row r="218">
          <cell r="A218">
            <v>216</v>
          </cell>
          <cell r="B218" t="str">
            <v>Cloetesville</v>
          </cell>
          <cell r="C218">
            <v>-33.904600576674198</v>
          </cell>
          <cell r="D218">
            <v>18.8490227250497</v>
          </cell>
        </row>
        <row r="219">
          <cell r="A219">
            <v>217</v>
          </cell>
          <cell r="B219" t="str">
            <v>Cloetesville</v>
          </cell>
          <cell r="C219">
            <v>-33.901803662211499</v>
          </cell>
          <cell r="D219">
            <v>18.8566250467156</v>
          </cell>
        </row>
        <row r="220">
          <cell r="A220">
            <v>218</v>
          </cell>
          <cell r="B220" t="str">
            <v>Cloetesville</v>
          </cell>
          <cell r="C220">
            <v>-33.905881423536499</v>
          </cell>
          <cell r="D220">
            <v>18.852692483442102</v>
          </cell>
        </row>
        <row r="221">
          <cell r="A221">
            <v>219</v>
          </cell>
          <cell r="B221" t="str">
            <v>Cloetesville</v>
          </cell>
          <cell r="C221">
            <v>-33.9100208908648</v>
          </cell>
          <cell r="D221">
            <v>18.8583366704332</v>
          </cell>
        </row>
        <row r="222">
          <cell r="A222">
            <v>220</v>
          </cell>
          <cell r="B222" t="str">
            <v>Cloetesville</v>
          </cell>
          <cell r="C222">
            <v>-33.912986903735501</v>
          </cell>
          <cell r="D222">
            <v>18.843610781691002</v>
          </cell>
        </row>
        <row r="223">
          <cell r="A223">
            <v>221</v>
          </cell>
          <cell r="B223" t="str">
            <v>Cloetesville</v>
          </cell>
          <cell r="C223">
            <v>-33.913052250986297</v>
          </cell>
          <cell r="D223">
            <v>18.851254730026</v>
          </cell>
        </row>
      </sheetData>
      <sheetData sheetId="10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Kayamandi1</v>
          </cell>
          <cell r="C2">
            <v>-33.923294711851497</v>
          </cell>
          <cell r="D2">
            <v>18.840841092251001</v>
          </cell>
        </row>
        <row r="3">
          <cell r="A3">
            <v>1</v>
          </cell>
          <cell r="B3" t="str">
            <v>Kayamandi1</v>
          </cell>
          <cell r="C3">
            <v>-33.922172958619797</v>
          </cell>
          <cell r="D3">
            <v>18.837642046032499</v>
          </cell>
        </row>
        <row r="4">
          <cell r="A4">
            <v>2</v>
          </cell>
          <cell r="B4" t="str">
            <v>Kayamandi1</v>
          </cell>
          <cell r="C4">
            <v>-33.925699805614599</v>
          </cell>
          <cell r="D4">
            <v>18.840804129905901</v>
          </cell>
        </row>
        <row r="5">
          <cell r="A5">
            <v>3</v>
          </cell>
          <cell r="B5" t="str">
            <v>Kayamandi1</v>
          </cell>
          <cell r="C5">
            <v>-33.923985394422097</v>
          </cell>
          <cell r="D5">
            <v>18.8379344828904</v>
          </cell>
        </row>
        <row r="6">
          <cell r="A6">
            <v>4</v>
          </cell>
          <cell r="B6" t="str">
            <v>Kayamandi1</v>
          </cell>
          <cell r="C6">
            <v>-33.920061922686799</v>
          </cell>
          <cell r="D6">
            <v>18.836340726081598</v>
          </cell>
        </row>
        <row r="7">
          <cell r="A7">
            <v>5</v>
          </cell>
          <cell r="B7" t="str">
            <v>Kayamandi1</v>
          </cell>
          <cell r="C7">
            <v>-33.926160874784898</v>
          </cell>
          <cell r="D7">
            <v>18.841800517924302</v>
          </cell>
        </row>
        <row r="8">
          <cell r="A8">
            <v>6</v>
          </cell>
          <cell r="B8" t="str">
            <v>Kayamandi1</v>
          </cell>
          <cell r="C8">
            <v>-33.924142775957598</v>
          </cell>
          <cell r="D8">
            <v>18.840119179611399</v>
          </cell>
        </row>
        <row r="9">
          <cell r="A9">
            <v>7</v>
          </cell>
          <cell r="B9" t="str">
            <v>Kayamandi1</v>
          </cell>
          <cell r="C9">
            <v>-33.923117246311698</v>
          </cell>
          <cell r="D9">
            <v>18.8448809394432</v>
          </cell>
        </row>
        <row r="10">
          <cell r="A10">
            <v>8</v>
          </cell>
          <cell r="B10" t="str">
            <v>Kayamandi1</v>
          </cell>
          <cell r="C10">
            <v>-33.923089333464702</v>
          </cell>
          <cell r="D10">
            <v>18.8403690012174</v>
          </cell>
        </row>
        <row r="11">
          <cell r="A11">
            <v>9</v>
          </cell>
          <cell r="B11" t="str">
            <v>Kayamandi1</v>
          </cell>
          <cell r="C11">
            <v>-33.921428806579101</v>
          </cell>
          <cell r="D11">
            <v>18.844555865729401</v>
          </cell>
        </row>
        <row r="12">
          <cell r="A12">
            <v>10</v>
          </cell>
          <cell r="B12" t="str">
            <v>Kayamandi1</v>
          </cell>
          <cell r="C12">
            <v>-33.922762296065898</v>
          </cell>
          <cell r="D12">
            <v>18.8409381139167</v>
          </cell>
        </row>
        <row r="13">
          <cell r="A13">
            <v>11</v>
          </cell>
          <cell r="B13" t="str">
            <v>Kayamandi1</v>
          </cell>
          <cell r="C13">
            <v>-33.9215738675503</v>
          </cell>
          <cell r="D13">
            <v>18.837819210059099</v>
          </cell>
        </row>
        <row r="14">
          <cell r="A14">
            <v>12</v>
          </cell>
          <cell r="B14" t="str">
            <v>Kayamandi1</v>
          </cell>
          <cell r="C14">
            <v>-33.925327822702798</v>
          </cell>
          <cell r="D14">
            <v>18.844739787313099</v>
          </cell>
        </row>
        <row r="15">
          <cell r="A15">
            <v>13</v>
          </cell>
          <cell r="B15" t="str">
            <v>Kayamandi1</v>
          </cell>
          <cell r="C15">
            <v>-33.925818220063</v>
          </cell>
          <cell r="D15">
            <v>18.841667352151401</v>
          </cell>
        </row>
        <row r="16">
          <cell r="A16">
            <v>14</v>
          </cell>
          <cell r="B16" t="str">
            <v>Kayamandi1</v>
          </cell>
          <cell r="C16">
            <v>-33.925462814405897</v>
          </cell>
          <cell r="D16">
            <v>18.8438263762628</v>
          </cell>
        </row>
        <row r="17">
          <cell r="A17">
            <v>15</v>
          </cell>
          <cell r="B17" t="str">
            <v>Kayamandi1</v>
          </cell>
          <cell r="C17">
            <v>-33.923074816076202</v>
          </cell>
          <cell r="D17">
            <v>18.844775338007601</v>
          </cell>
        </row>
        <row r="18">
          <cell r="A18">
            <v>16</v>
          </cell>
          <cell r="B18" t="str">
            <v>Kayamandi1</v>
          </cell>
          <cell r="C18">
            <v>-33.920584071466401</v>
          </cell>
          <cell r="D18">
            <v>18.837099437221301</v>
          </cell>
        </row>
        <row r="19">
          <cell r="A19">
            <v>17</v>
          </cell>
          <cell r="B19" t="str">
            <v>Kayamandi1</v>
          </cell>
          <cell r="C19">
            <v>-33.926319977771897</v>
          </cell>
          <cell r="D19">
            <v>18.841486426960799</v>
          </cell>
        </row>
        <row r="20">
          <cell r="A20">
            <v>18</v>
          </cell>
          <cell r="B20" t="str">
            <v>Kayamandi1</v>
          </cell>
          <cell r="C20">
            <v>-33.9265316339199</v>
          </cell>
          <cell r="D20">
            <v>18.836658286073401</v>
          </cell>
        </row>
        <row r="21">
          <cell r="A21">
            <v>19</v>
          </cell>
          <cell r="B21" t="str">
            <v>Kayamandi1</v>
          </cell>
          <cell r="C21">
            <v>-33.922326449193498</v>
          </cell>
          <cell r="D21">
            <v>18.8435533067743</v>
          </cell>
        </row>
        <row r="22">
          <cell r="A22">
            <v>20</v>
          </cell>
          <cell r="B22" t="str">
            <v>Kayamandi1</v>
          </cell>
          <cell r="C22">
            <v>-33.924796620182001</v>
          </cell>
          <cell r="D22">
            <v>18.843791575188</v>
          </cell>
        </row>
        <row r="23">
          <cell r="A23">
            <v>21</v>
          </cell>
          <cell r="B23" t="str">
            <v>Kayamandi1</v>
          </cell>
          <cell r="C23">
            <v>-33.9241335989867</v>
          </cell>
          <cell r="D23">
            <v>18.8384117976608</v>
          </cell>
        </row>
        <row r="24">
          <cell r="A24">
            <v>22</v>
          </cell>
          <cell r="B24" t="str">
            <v>Kayamandi1</v>
          </cell>
          <cell r="C24">
            <v>-33.926763874629401</v>
          </cell>
          <cell r="D24">
            <v>18.840068954627501</v>
          </cell>
        </row>
        <row r="25">
          <cell r="A25">
            <v>23</v>
          </cell>
          <cell r="B25" t="str">
            <v>Kayamandi1</v>
          </cell>
          <cell r="C25">
            <v>-33.926615091397402</v>
          </cell>
          <cell r="D25">
            <v>18.842790364139798</v>
          </cell>
        </row>
        <row r="26">
          <cell r="A26">
            <v>24</v>
          </cell>
          <cell r="B26" t="str">
            <v>Kayamandi1</v>
          </cell>
          <cell r="C26">
            <v>-33.9266197377259</v>
          </cell>
          <cell r="D26">
            <v>18.841212390418399</v>
          </cell>
        </row>
        <row r="27">
          <cell r="A27">
            <v>25</v>
          </cell>
          <cell r="B27" t="str">
            <v>Kayamandi1</v>
          </cell>
          <cell r="C27">
            <v>-33.919924332974198</v>
          </cell>
          <cell r="D27">
            <v>18.838191257262199</v>
          </cell>
        </row>
        <row r="28">
          <cell r="A28">
            <v>26</v>
          </cell>
          <cell r="B28" t="str">
            <v>Kayamandi1</v>
          </cell>
          <cell r="C28">
            <v>-33.924435250256003</v>
          </cell>
          <cell r="D28">
            <v>18.8413992088519</v>
          </cell>
        </row>
        <row r="29">
          <cell r="A29">
            <v>27</v>
          </cell>
          <cell r="B29" t="str">
            <v>Kayamandi1</v>
          </cell>
          <cell r="C29">
            <v>-33.923538012659201</v>
          </cell>
          <cell r="D29">
            <v>18.839281604064801</v>
          </cell>
        </row>
        <row r="30">
          <cell r="A30">
            <v>28</v>
          </cell>
          <cell r="B30" t="str">
            <v>Kayamandi1</v>
          </cell>
          <cell r="C30">
            <v>-33.921755104616103</v>
          </cell>
          <cell r="D30">
            <v>18.8423614393915</v>
          </cell>
        </row>
        <row r="31">
          <cell r="A31">
            <v>29</v>
          </cell>
          <cell r="B31" t="str">
            <v>Kayamandi1</v>
          </cell>
          <cell r="C31">
            <v>-33.922438043246501</v>
          </cell>
          <cell r="D31">
            <v>18.8417252692348</v>
          </cell>
        </row>
        <row r="32">
          <cell r="A32">
            <v>30</v>
          </cell>
          <cell r="B32" t="str">
            <v>Kayamandi1</v>
          </cell>
          <cell r="C32">
            <v>-33.924682656318197</v>
          </cell>
          <cell r="D32">
            <v>18.843828522174402</v>
          </cell>
        </row>
        <row r="33">
          <cell r="A33">
            <v>31</v>
          </cell>
          <cell r="B33" t="str">
            <v>Kayamandi1</v>
          </cell>
          <cell r="C33">
            <v>-33.925552219944699</v>
          </cell>
          <cell r="D33">
            <v>18.842708805120299</v>
          </cell>
        </row>
        <row r="34">
          <cell r="A34">
            <v>32</v>
          </cell>
          <cell r="B34" t="str">
            <v>Kayamandi1</v>
          </cell>
          <cell r="C34">
            <v>-33.924111306827101</v>
          </cell>
          <cell r="D34">
            <v>18.842992956195001</v>
          </cell>
        </row>
        <row r="35">
          <cell r="A35">
            <v>33</v>
          </cell>
          <cell r="B35" t="str">
            <v>Kayamandi1</v>
          </cell>
          <cell r="C35">
            <v>-33.921073906087599</v>
          </cell>
          <cell r="D35">
            <v>18.836267311950898</v>
          </cell>
        </row>
        <row r="36">
          <cell r="A36">
            <v>34</v>
          </cell>
          <cell r="B36" t="str">
            <v>Kayamandi1</v>
          </cell>
          <cell r="C36">
            <v>-33.923732571064498</v>
          </cell>
          <cell r="D36">
            <v>18.839560953164</v>
          </cell>
        </row>
        <row r="37">
          <cell r="A37">
            <v>35</v>
          </cell>
          <cell r="B37" t="str">
            <v>Kayamandi1</v>
          </cell>
          <cell r="C37">
            <v>-33.921061061199303</v>
          </cell>
          <cell r="D37">
            <v>18.8388685291083</v>
          </cell>
        </row>
        <row r="38">
          <cell r="A38">
            <v>36</v>
          </cell>
          <cell r="B38" t="str">
            <v>Kayamandi1</v>
          </cell>
          <cell r="C38">
            <v>-33.926071143000001</v>
          </cell>
          <cell r="D38">
            <v>18.836282670680301</v>
          </cell>
        </row>
        <row r="39">
          <cell r="A39">
            <v>37</v>
          </cell>
          <cell r="B39" t="str">
            <v>Kayamandi1</v>
          </cell>
          <cell r="C39">
            <v>-33.921414920571998</v>
          </cell>
          <cell r="D39">
            <v>18.8429159779214</v>
          </cell>
        </row>
        <row r="40">
          <cell r="A40">
            <v>38</v>
          </cell>
          <cell r="B40" t="str">
            <v>Kayamandi1</v>
          </cell>
          <cell r="C40">
            <v>-33.919457268710502</v>
          </cell>
          <cell r="D40">
            <v>18.844859093483901</v>
          </cell>
        </row>
        <row r="41">
          <cell r="A41">
            <v>39</v>
          </cell>
          <cell r="B41" t="str">
            <v>Kayamandi1</v>
          </cell>
          <cell r="C41">
            <v>-33.926078642330097</v>
          </cell>
          <cell r="D41">
            <v>18.838084474637899</v>
          </cell>
        </row>
        <row r="42">
          <cell r="A42">
            <v>40</v>
          </cell>
          <cell r="B42" t="str">
            <v>Kayamandi1</v>
          </cell>
          <cell r="C42">
            <v>-33.922706744281498</v>
          </cell>
          <cell r="D42">
            <v>18.8382251337122</v>
          </cell>
        </row>
        <row r="43">
          <cell r="A43">
            <v>41</v>
          </cell>
          <cell r="B43" t="str">
            <v>Kayamandi1</v>
          </cell>
          <cell r="C43">
            <v>-33.920956231551799</v>
          </cell>
          <cell r="D43">
            <v>18.8381538349091</v>
          </cell>
        </row>
        <row r="44">
          <cell r="A44">
            <v>42</v>
          </cell>
          <cell r="B44" t="str">
            <v>Kayamandi1</v>
          </cell>
          <cell r="C44">
            <v>-33.920538845510997</v>
          </cell>
          <cell r="D44">
            <v>18.841351021114502</v>
          </cell>
        </row>
        <row r="45">
          <cell r="A45">
            <v>43</v>
          </cell>
          <cell r="B45" t="str">
            <v>Kayamandi1</v>
          </cell>
          <cell r="C45">
            <v>-33.9265920555926</v>
          </cell>
          <cell r="D45">
            <v>18.844339091155899</v>
          </cell>
        </row>
        <row r="46">
          <cell r="A46">
            <v>44</v>
          </cell>
          <cell r="B46" t="str">
            <v>Kayamandi1</v>
          </cell>
          <cell r="C46">
            <v>-33.924702506614501</v>
          </cell>
          <cell r="D46">
            <v>18.8393065511648</v>
          </cell>
        </row>
        <row r="47">
          <cell r="A47">
            <v>45</v>
          </cell>
          <cell r="B47" t="str">
            <v>Kayamandi1</v>
          </cell>
          <cell r="C47">
            <v>-33.924031264135998</v>
          </cell>
          <cell r="D47">
            <v>18.8383580410385</v>
          </cell>
        </row>
        <row r="48">
          <cell r="A48">
            <v>46</v>
          </cell>
          <cell r="B48" t="str">
            <v>Kayamandi1</v>
          </cell>
          <cell r="C48">
            <v>-33.926521057899699</v>
          </cell>
          <cell r="D48">
            <v>18.8414152642139</v>
          </cell>
        </row>
        <row r="49">
          <cell r="A49">
            <v>47</v>
          </cell>
          <cell r="B49" t="str">
            <v>Kayamandi1</v>
          </cell>
          <cell r="C49">
            <v>-33.921501421682699</v>
          </cell>
          <cell r="D49">
            <v>18.838469448862099</v>
          </cell>
        </row>
        <row r="50">
          <cell r="A50">
            <v>48</v>
          </cell>
          <cell r="B50" t="str">
            <v>Kayamandi1</v>
          </cell>
          <cell r="C50">
            <v>-33.924345835066603</v>
          </cell>
          <cell r="D50">
            <v>18.838028124615001</v>
          </cell>
        </row>
        <row r="51">
          <cell r="A51">
            <v>49</v>
          </cell>
          <cell r="B51" t="str">
            <v>Kayamandi1</v>
          </cell>
          <cell r="C51">
            <v>-33.920695672554402</v>
          </cell>
          <cell r="D51">
            <v>18.8405777200621</v>
          </cell>
        </row>
        <row r="52">
          <cell r="A52">
            <v>50</v>
          </cell>
          <cell r="B52" t="str">
            <v>Kayamandi1</v>
          </cell>
          <cell r="C52">
            <v>-33.922308973582702</v>
          </cell>
          <cell r="D52">
            <v>18.842058770248599</v>
          </cell>
        </row>
        <row r="53">
          <cell r="A53">
            <v>51</v>
          </cell>
          <cell r="B53" t="str">
            <v>Kayamandi1</v>
          </cell>
          <cell r="C53">
            <v>-33.9196177431146</v>
          </cell>
          <cell r="D53">
            <v>18.8421023678853</v>
          </cell>
        </row>
        <row r="54">
          <cell r="A54">
            <v>52</v>
          </cell>
          <cell r="B54" t="str">
            <v>Kayamandi1</v>
          </cell>
          <cell r="C54">
            <v>-33.921505700729497</v>
          </cell>
          <cell r="D54">
            <v>18.836264901710098</v>
          </cell>
        </row>
        <row r="55">
          <cell r="A55">
            <v>53</v>
          </cell>
          <cell r="B55" t="str">
            <v>Kayamandi1</v>
          </cell>
          <cell r="C55">
            <v>-33.920649099687701</v>
          </cell>
          <cell r="D55">
            <v>18.837383094066301</v>
          </cell>
        </row>
        <row r="56">
          <cell r="A56">
            <v>54</v>
          </cell>
          <cell r="B56" t="str">
            <v>Kayamandi1</v>
          </cell>
          <cell r="C56">
            <v>-33.922756435171998</v>
          </cell>
          <cell r="D56">
            <v>18.8406428847013</v>
          </cell>
        </row>
        <row r="57">
          <cell r="A57">
            <v>55</v>
          </cell>
          <cell r="B57" t="str">
            <v>Kayamandi1</v>
          </cell>
          <cell r="C57">
            <v>-33.926358570951102</v>
          </cell>
          <cell r="D57">
            <v>18.844523803609</v>
          </cell>
        </row>
        <row r="58">
          <cell r="A58">
            <v>56</v>
          </cell>
          <cell r="B58" t="str">
            <v>Kayamandi1</v>
          </cell>
          <cell r="C58">
            <v>-33.9264390110717</v>
          </cell>
          <cell r="D58">
            <v>18.836465131774698</v>
          </cell>
        </row>
        <row r="59">
          <cell r="A59">
            <v>57</v>
          </cell>
          <cell r="B59" t="str">
            <v>Kayamandi1</v>
          </cell>
          <cell r="C59">
            <v>-33.919434749801503</v>
          </cell>
          <cell r="D59">
            <v>18.8391113727575</v>
          </cell>
        </row>
        <row r="60">
          <cell r="A60">
            <v>58</v>
          </cell>
          <cell r="B60" t="str">
            <v>Kayamandi1</v>
          </cell>
          <cell r="C60">
            <v>-33.920821335119598</v>
          </cell>
          <cell r="D60">
            <v>18.836892337037298</v>
          </cell>
        </row>
        <row r="61">
          <cell r="A61">
            <v>59</v>
          </cell>
          <cell r="B61" t="str">
            <v>Kayamandi1</v>
          </cell>
          <cell r="C61">
            <v>-33.924101484353002</v>
          </cell>
          <cell r="D61">
            <v>18.836957491788699</v>
          </cell>
        </row>
        <row r="62">
          <cell r="A62">
            <v>60</v>
          </cell>
          <cell r="B62" t="str">
            <v>Kayamandi1</v>
          </cell>
          <cell r="C62">
            <v>-33.919624791445599</v>
          </cell>
          <cell r="D62">
            <v>18.836245131887299</v>
          </cell>
        </row>
        <row r="63">
          <cell r="A63">
            <v>61</v>
          </cell>
          <cell r="B63" t="str">
            <v>Kayamandi1</v>
          </cell>
          <cell r="C63">
            <v>-33.919676774189902</v>
          </cell>
          <cell r="D63">
            <v>18.836834402307701</v>
          </cell>
        </row>
        <row r="64">
          <cell r="A64">
            <v>62</v>
          </cell>
          <cell r="B64" t="str">
            <v>Kayamandi1</v>
          </cell>
          <cell r="C64">
            <v>-33.925408705316499</v>
          </cell>
          <cell r="D64">
            <v>18.8434122339944</v>
          </cell>
        </row>
        <row r="65">
          <cell r="A65">
            <v>63</v>
          </cell>
          <cell r="B65" t="str">
            <v>Kayamandi1</v>
          </cell>
          <cell r="C65">
            <v>-33.921435381120702</v>
          </cell>
          <cell r="D65">
            <v>18.843127849817598</v>
          </cell>
        </row>
        <row r="66">
          <cell r="A66">
            <v>64</v>
          </cell>
          <cell r="B66" t="str">
            <v>Kayamandi1</v>
          </cell>
          <cell r="C66">
            <v>-33.923066180049197</v>
          </cell>
          <cell r="D66">
            <v>18.842604658461301</v>
          </cell>
        </row>
        <row r="67">
          <cell r="A67">
            <v>65</v>
          </cell>
          <cell r="B67" t="str">
            <v>Kayamandi1</v>
          </cell>
          <cell r="C67">
            <v>-33.924195468724001</v>
          </cell>
          <cell r="D67">
            <v>18.843843070912101</v>
          </cell>
        </row>
        <row r="68">
          <cell r="A68">
            <v>66</v>
          </cell>
          <cell r="B68" t="str">
            <v>Kayamandi1</v>
          </cell>
          <cell r="C68">
            <v>-33.926541617047903</v>
          </cell>
          <cell r="D68">
            <v>18.8380380614567</v>
          </cell>
        </row>
        <row r="69">
          <cell r="A69">
            <v>67</v>
          </cell>
          <cell r="B69" t="str">
            <v>Kayamandi1</v>
          </cell>
          <cell r="C69">
            <v>-33.924789582590002</v>
          </cell>
          <cell r="D69">
            <v>18.8438721365928</v>
          </cell>
        </row>
        <row r="70">
          <cell r="A70">
            <v>68</v>
          </cell>
          <cell r="B70" t="str">
            <v>Kayamandi1</v>
          </cell>
          <cell r="C70">
            <v>-33.925660234512499</v>
          </cell>
          <cell r="D70">
            <v>18.839087788235499</v>
          </cell>
        </row>
        <row r="71">
          <cell r="A71">
            <v>69</v>
          </cell>
          <cell r="B71" t="str">
            <v>Kayamandi1</v>
          </cell>
          <cell r="C71">
            <v>-33.920800284073501</v>
          </cell>
          <cell r="D71">
            <v>18.842293471919699</v>
          </cell>
        </row>
        <row r="72">
          <cell r="A72">
            <v>70</v>
          </cell>
          <cell r="B72" t="str">
            <v>Kayamandi1</v>
          </cell>
          <cell r="C72">
            <v>-33.926459894668902</v>
          </cell>
          <cell r="D72">
            <v>18.840263693520299</v>
          </cell>
        </row>
        <row r="73">
          <cell r="A73">
            <v>71</v>
          </cell>
          <cell r="B73" t="str">
            <v>Kayamandi1</v>
          </cell>
          <cell r="C73">
            <v>-33.923520749519</v>
          </cell>
          <cell r="D73">
            <v>18.840276870383999</v>
          </cell>
        </row>
        <row r="74">
          <cell r="A74">
            <v>72</v>
          </cell>
          <cell r="B74" t="str">
            <v>Kayamandi1</v>
          </cell>
          <cell r="C74">
            <v>-33.920035552765903</v>
          </cell>
          <cell r="D74">
            <v>18.843684306490601</v>
          </cell>
        </row>
        <row r="75">
          <cell r="A75">
            <v>73</v>
          </cell>
          <cell r="B75" t="str">
            <v>Kayamandi1</v>
          </cell>
          <cell r="C75">
            <v>-33.9260806484249</v>
          </cell>
          <cell r="D75">
            <v>18.843929826324899</v>
          </cell>
        </row>
        <row r="76">
          <cell r="A76">
            <v>74</v>
          </cell>
          <cell r="B76" t="str">
            <v>Kayamandi1</v>
          </cell>
          <cell r="C76">
            <v>-33.921806641761997</v>
          </cell>
          <cell r="D76">
            <v>18.840602409744299</v>
          </cell>
        </row>
        <row r="77">
          <cell r="A77">
            <v>75</v>
          </cell>
          <cell r="B77" t="str">
            <v>Kayamandi1</v>
          </cell>
          <cell r="C77">
            <v>-33.924097611503598</v>
          </cell>
          <cell r="D77">
            <v>18.837533503580101</v>
          </cell>
        </row>
        <row r="78">
          <cell r="A78">
            <v>76</v>
          </cell>
          <cell r="B78" t="str">
            <v>Kayamandi1</v>
          </cell>
          <cell r="C78">
            <v>-33.920177703409003</v>
          </cell>
          <cell r="D78">
            <v>18.8396666030871</v>
          </cell>
        </row>
        <row r="79">
          <cell r="A79">
            <v>77</v>
          </cell>
          <cell r="B79" t="str">
            <v>Kayamandi1</v>
          </cell>
          <cell r="C79">
            <v>-33.925834602871198</v>
          </cell>
          <cell r="D79">
            <v>18.838189161110002</v>
          </cell>
        </row>
        <row r="80">
          <cell r="A80">
            <v>78</v>
          </cell>
          <cell r="B80" t="str">
            <v>Kayamandi1</v>
          </cell>
          <cell r="C80">
            <v>-33.9200625791253</v>
          </cell>
          <cell r="D80">
            <v>18.8362459207863</v>
          </cell>
        </row>
        <row r="81">
          <cell r="A81">
            <v>79</v>
          </cell>
          <cell r="B81" t="str">
            <v>Kayamandi1</v>
          </cell>
          <cell r="C81">
            <v>-33.9264635078559</v>
          </cell>
          <cell r="D81">
            <v>18.842858356366701</v>
          </cell>
        </row>
        <row r="82">
          <cell r="A82">
            <v>80</v>
          </cell>
          <cell r="B82" t="str">
            <v>Kayamandi1</v>
          </cell>
          <cell r="C82">
            <v>-33.924202472130901</v>
          </cell>
          <cell r="D82">
            <v>18.841617075992499</v>
          </cell>
        </row>
        <row r="83">
          <cell r="A83">
            <v>81</v>
          </cell>
          <cell r="B83" t="str">
            <v>Kayamandi1</v>
          </cell>
          <cell r="C83">
            <v>-33.922015249181001</v>
          </cell>
          <cell r="D83">
            <v>18.836602746684701</v>
          </cell>
        </row>
        <row r="84">
          <cell r="A84">
            <v>82</v>
          </cell>
          <cell r="B84" t="str">
            <v>Kayamandi1</v>
          </cell>
          <cell r="C84">
            <v>-33.922908195714903</v>
          </cell>
          <cell r="D84">
            <v>18.844116399441599</v>
          </cell>
        </row>
        <row r="85">
          <cell r="A85">
            <v>83</v>
          </cell>
          <cell r="B85" t="str">
            <v>Kayamandi1</v>
          </cell>
          <cell r="C85">
            <v>-33.925736742719998</v>
          </cell>
          <cell r="D85">
            <v>18.837471807545398</v>
          </cell>
        </row>
        <row r="86">
          <cell r="A86">
            <v>84</v>
          </cell>
          <cell r="B86" t="str">
            <v>Kayamandi1</v>
          </cell>
          <cell r="C86">
            <v>-33.921276917158998</v>
          </cell>
          <cell r="D86">
            <v>18.843281043690801</v>
          </cell>
        </row>
        <row r="87">
          <cell r="A87">
            <v>85</v>
          </cell>
          <cell r="B87" t="str">
            <v>Kayamandi1</v>
          </cell>
          <cell r="C87">
            <v>-33.923835009648997</v>
          </cell>
          <cell r="D87">
            <v>18.840139291632099</v>
          </cell>
        </row>
        <row r="88">
          <cell r="A88">
            <v>86</v>
          </cell>
          <cell r="B88" t="str">
            <v>Kayamandi1</v>
          </cell>
          <cell r="C88">
            <v>-33.920073712127198</v>
          </cell>
          <cell r="D88">
            <v>18.842416523511101</v>
          </cell>
        </row>
        <row r="89">
          <cell r="A89">
            <v>87</v>
          </cell>
          <cell r="B89" t="str">
            <v>Kayamandi1</v>
          </cell>
          <cell r="C89">
            <v>-33.919448750469897</v>
          </cell>
          <cell r="D89">
            <v>18.842651743357202</v>
          </cell>
        </row>
        <row r="90">
          <cell r="A90">
            <v>88</v>
          </cell>
          <cell r="B90" t="str">
            <v>Kayamandi1</v>
          </cell>
          <cell r="C90">
            <v>-33.922888240405797</v>
          </cell>
          <cell r="D90">
            <v>18.8383801636237</v>
          </cell>
        </row>
        <row r="91">
          <cell r="A91">
            <v>89</v>
          </cell>
          <cell r="B91" t="str">
            <v>Kayamandi1</v>
          </cell>
          <cell r="C91">
            <v>-33.926587700623202</v>
          </cell>
          <cell r="D91">
            <v>18.840614895625301</v>
          </cell>
        </row>
        <row r="92">
          <cell r="A92">
            <v>90</v>
          </cell>
          <cell r="B92" t="str">
            <v>Kayamandi1</v>
          </cell>
          <cell r="C92">
            <v>-33.921396856679799</v>
          </cell>
          <cell r="D92">
            <v>18.840702522085099</v>
          </cell>
        </row>
        <row r="93">
          <cell r="A93">
            <v>91</v>
          </cell>
          <cell r="B93" t="str">
            <v>Kayamandi1</v>
          </cell>
          <cell r="C93">
            <v>-33.924280075108399</v>
          </cell>
          <cell r="D93">
            <v>18.844276263712899</v>
          </cell>
        </row>
        <row r="94">
          <cell r="A94">
            <v>92</v>
          </cell>
          <cell r="B94" t="str">
            <v>Kayamandi1</v>
          </cell>
          <cell r="C94">
            <v>-33.919460468588198</v>
          </cell>
          <cell r="D94">
            <v>18.838821360838399</v>
          </cell>
        </row>
        <row r="95">
          <cell r="A95">
            <v>93</v>
          </cell>
          <cell r="B95" t="str">
            <v>Kayamandi1</v>
          </cell>
          <cell r="C95">
            <v>-33.921748417053102</v>
          </cell>
          <cell r="D95">
            <v>18.8428347599157</v>
          </cell>
        </row>
        <row r="96">
          <cell r="A96">
            <v>94</v>
          </cell>
          <cell r="B96" t="str">
            <v>Kayamandi1</v>
          </cell>
          <cell r="C96">
            <v>-33.920168453324997</v>
          </cell>
          <cell r="D96">
            <v>18.842895233392099</v>
          </cell>
        </row>
        <row r="97">
          <cell r="A97">
            <v>95</v>
          </cell>
          <cell r="B97" t="str">
            <v>Kayamandi1</v>
          </cell>
          <cell r="C97">
            <v>-33.927054162073603</v>
          </cell>
          <cell r="D97">
            <v>18.838110647486499</v>
          </cell>
        </row>
        <row r="98">
          <cell r="A98">
            <v>96</v>
          </cell>
          <cell r="B98" t="str">
            <v>Kayamandi1</v>
          </cell>
          <cell r="C98">
            <v>-33.924678948155801</v>
          </cell>
          <cell r="D98">
            <v>18.841406261475701</v>
          </cell>
        </row>
        <row r="99">
          <cell r="A99">
            <v>97</v>
          </cell>
          <cell r="B99" t="str">
            <v>Kayamandi1</v>
          </cell>
          <cell r="C99">
            <v>-33.926471230595098</v>
          </cell>
          <cell r="D99">
            <v>18.840791655461398</v>
          </cell>
        </row>
        <row r="100">
          <cell r="A100">
            <v>98</v>
          </cell>
          <cell r="B100" t="str">
            <v>Kayamandi1</v>
          </cell>
          <cell r="C100">
            <v>-33.926365822870501</v>
          </cell>
          <cell r="D100">
            <v>18.8410241677846</v>
          </cell>
        </row>
        <row r="101">
          <cell r="A101">
            <v>99</v>
          </cell>
          <cell r="B101" t="str">
            <v>Kayamandi1</v>
          </cell>
          <cell r="C101">
            <v>-33.924428961684903</v>
          </cell>
          <cell r="D101">
            <v>18.8402635736268</v>
          </cell>
        </row>
        <row r="102">
          <cell r="A102">
            <v>100</v>
          </cell>
          <cell r="B102" t="str">
            <v>Kayamandi1</v>
          </cell>
          <cell r="C102">
            <v>-33.921402652434899</v>
          </cell>
          <cell r="D102">
            <v>18.836386137523998</v>
          </cell>
        </row>
        <row r="103">
          <cell r="A103">
            <v>101</v>
          </cell>
          <cell r="B103" t="str">
            <v>Kayamandi1</v>
          </cell>
          <cell r="C103">
            <v>-33.925564699682802</v>
          </cell>
          <cell r="D103">
            <v>18.841266148892799</v>
          </cell>
        </row>
        <row r="104">
          <cell r="A104">
            <v>102</v>
          </cell>
          <cell r="B104" t="str">
            <v>Kayamandi1</v>
          </cell>
          <cell r="C104">
            <v>-33.923253996267498</v>
          </cell>
          <cell r="D104">
            <v>18.844149579773301</v>
          </cell>
        </row>
        <row r="105">
          <cell r="A105">
            <v>103</v>
          </cell>
          <cell r="B105" t="str">
            <v>Kayamandi1</v>
          </cell>
          <cell r="C105">
            <v>-33.920606346295301</v>
          </cell>
          <cell r="D105">
            <v>18.8405876021267</v>
          </cell>
        </row>
        <row r="106">
          <cell r="A106">
            <v>104</v>
          </cell>
          <cell r="B106" t="str">
            <v>Kayamandi1</v>
          </cell>
          <cell r="C106">
            <v>-33.926964301400901</v>
          </cell>
          <cell r="D106">
            <v>18.844527356015899</v>
          </cell>
        </row>
        <row r="107">
          <cell r="A107">
            <v>105</v>
          </cell>
          <cell r="B107" t="str">
            <v>Kayamandi1</v>
          </cell>
          <cell r="C107">
            <v>-33.919985192330103</v>
          </cell>
          <cell r="D107">
            <v>18.841483587177301</v>
          </cell>
        </row>
        <row r="108">
          <cell r="A108">
            <v>106</v>
          </cell>
          <cell r="B108" t="str">
            <v>Kayamandi1</v>
          </cell>
          <cell r="C108">
            <v>-33.925554740262697</v>
          </cell>
          <cell r="D108">
            <v>18.840227548510299</v>
          </cell>
        </row>
        <row r="109">
          <cell r="A109">
            <v>107</v>
          </cell>
          <cell r="B109" t="str">
            <v>Kayamandi1</v>
          </cell>
          <cell r="C109">
            <v>-33.926619338611196</v>
          </cell>
          <cell r="D109">
            <v>18.836818911472498</v>
          </cell>
        </row>
        <row r="110">
          <cell r="A110">
            <v>108</v>
          </cell>
          <cell r="B110" t="str">
            <v>Kayamandi1</v>
          </cell>
          <cell r="C110">
            <v>-33.920458293784499</v>
          </cell>
          <cell r="D110">
            <v>18.836002338431602</v>
          </cell>
        </row>
        <row r="111">
          <cell r="A111">
            <v>109</v>
          </cell>
          <cell r="B111" t="str">
            <v>Kayamandi1</v>
          </cell>
          <cell r="C111">
            <v>-33.919488021605801</v>
          </cell>
          <cell r="D111">
            <v>18.836392838797199</v>
          </cell>
        </row>
        <row r="112">
          <cell r="A112">
            <v>110</v>
          </cell>
          <cell r="B112" t="str">
            <v>Kayamandi1</v>
          </cell>
          <cell r="C112">
            <v>-33.921383396415997</v>
          </cell>
          <cell r="D112">
            <v>18.837603063743501</v>
          </cell>
        </row>
        <row r="113">
          <cell r="A113">
            <v>111</v>
          </cell>
          <cell r="B113" t="str">
            <v>Kayamandi1</v>
          </cell>
          <cell r="C113">
            <v>-33.925557153718401</v>
          </cell>
          <cell r="D113">
            <v>18.838331294229</v>
          </cell>
        </row>
        <row r="114">
          <cell r="A114">
            <v>112</v>
          </cell>
          <cell r="B114" t="str">
            <v>Kayamandi1</v>
          </cell>
          <cell r="C114">
            <v>-33.921096451098101</v>
          </cell>
          <cell r="D114">
            <v>18.837811026796501</v>
          </cell>
        </row>
        <row r="115">
          <cell r="A115">
            <v>113</v>
          </cell>
          <cell r="B115" t="str">
            <v>Kayamandi1</v>
          </cell>
          <cell r="C115">
            <v>-33.922996393015303</v>
          </cell>
          <cell r="D115">
            <v>18.842231792964299</v>
          </cell>
        </row>
        <row r="116">
          <cell r="A116">
            <v>114</v>
          </cell>
          <cell r="B116" t="str">
            <v>Kayamandi1</v>
          </cell>
          <cell r="C116">
            <v>-33.923673531065397</v>
          </cell>
          <cell r="D116">
            <v>18.839446122605199</v>
          </cell>
        </row>
        <row r="117">
          <cell r="A117">
            <v>115</v>
          </cell>
          <cell r="B117" t="str">
            <v>Kayamandi1</v>
          </cell>
          <cell r="C117">
            <v>-33.926488052865899</v>
          </cell>
          <cell r="D117">
            <v>18.843949410695</v>
          </cell>
        </row>
        <row r="118">
          <cell r="A118">
            <v>116</v>
          </cell>
          <cell r="B118" t="str">
            <v>Kayamandi1</v>
          </cell>
          <cell r="C118">
            <v>-33.920631575884499</v>
          </cell>
          <cell r="D118">
            <v>18.843017857866201</v>
          </cell>
        </row>
        <row r="119">
          <cell r="A119">
            <v>117</v>
          </cell>
          <cell r="B119" t="str">
            <v>Kayamandi1</v>
          </cell>
          <cell r="C119">
            <v>-33.922328165262002</v>
          </cell>
          <cell r="D119">
            <v>18.843034618394199</v>
          </cell>
        </row>
        <row r="120">
          <cell r="A120">
            <v>118</v>
          </cell>
          <cell r="B120" t="str">
            <v>Kayamandi1</v>
          </cell>
          <cell r="C120">
            <v>-33.921209399601601</v>
          </cell>
          <cell r="D120">
            <v>18.844475831473201</v>
          </cell>
        </row>
        <row r="121">
          <cell r="A121">
            <v>119</v>
          </cell>
          <cell r="B121" t="str">
            <v>Kayamandi1</v>
          </cell>
          <cell r="C121">
            <v>-33.920960009892902</v>
          </cell>
          <cell r="D121">
            <v>18.842716300428901</v>
          </cell>
        </row>
        <row r="122">
          <cell r="A122">
            <v>120</v>
          </cell>
          <cell r="B122" t="str">
            <v>Kayamandi1</v>
          </cell>
          <cell r="C122">
            <v>-33.919328819879397</v>
          </cell>
          <cell r="D122">
            <v>18.837399245330001</v>
          </cell>
        </row>
        <row r="123">
          <cell r="A123">
            <v>121</v>
          </cell>
          <cell r="B123" t="str">
            <v>Kayamandi1</v>
          </cell>
          <cell r="C123">
            <v>-33.925320422089598</v>
          </cell>
          <cell r="D123">
            <v>18.8423257769381</v>
          </cell>
        </row>
        <row r="124">
          <cell r="A124">
            <v>122</v>
          </cell>
          <cell r="B124" t="str">
            <v>Kayamandi1</v>
          </cell>
          <cell r="C124">
            <v>-33.923306221808701</v>
          </cell>
          <cell r="D124">
            <v>18.842857517873199</v>
          </cell>
        </row>
        <row r="125">
          <cell r="A125">
            <v>123</v>
          </cell>
          <cell r="B125" t="str">
            <v>Kayamandi1</v>
          </cell>
          <cell r="C125">
            <v>-33.920279190476698</v>
          </cell>
          <cell r="D125">
            <v>18.842060150387201</v>
          </cell>
        </row>
        <row r="126">
          <cell r="A126">
            <v>124</v>
          </cell>
          <cell r="B126" t="str">
            <v>Kayamandi1</v>
          </cell>
          <cell r="C126">
            <v>-33.926884867930198</v>
          </cell>
          <cell r="D126">
            <v>18.8412665693074</v>
          </cell>
        </row>
        <row r="127">
          <cell r="A127">
            <v>125</v>
          </cell>
          <cell r="B127" t="str">
            <v>Kayamandi1</v>
          </cell>
          <cell r="C127">
            <v>-33.9231118588024</v>
          </cell>
          <cell r="D127">
            <v>18.8377557971715</v>
          </cell>
        </row>
        <row r="128">
          <cell r="A128">
            <v>126</v>
          </cell>
          <cell r="B128" t="str">
            <v>Kayamandi1</v>
          </cell>
          <cell r="C128">
            <v>-33.919938270097902</v>
          </cell>
          <cell r="D128">
            <v>18.838387848511498</v>
          </cell>
        </row>
        <row r="129">
          <cell r="A129">
            <v>127</v>
          </cell>
          <cell r="B129" t="str">
            <v>Kayamandi1</v>
          </cell>
          <cell r="C129">
            <v>-33.927046243433701</v>
          </cell>
          <cell r="D129">
            <v>18.838905323318102</v>
          </cell>
        </row>
        <row r="130">
          <cell r="A130">
            <v>128</v>
          </cell>
          <cell r="B130" t="str">
            <v>Kayamandi1</v>
          </cell>
          <cell r="C130">
            <v>-33.924334931120903</v>
          </cell>
          <cell r="D130">
            <v>18.837559674128698</v>
          </cell>
        </row>
        <row r="131">
          <cell r="A131">
            <v>129</v>
          </cell>
          <cell r="B131" t="str">
            <v>Kayamandi1</v>
          </cell>
          <cell r="C131">
            <v>-33.924342978922297</v>
          </cell>
          <cell r="D131">
            <v>18.838693806020299</v>
          </cell>
        </row>
        <row r="132">
          <cell r="A132">
            <v>130</v>
          </cell>
          <cell r="B132" t="str">
            <v>Kayamandi1</v>
          </cell>
          <cell r="C132">
            <v>-33.919674771402804</v>
          </cell>
          <cell r="D132">
            <v>18.839182956157899</v>
          </cell>
        </row>
        <row r="133">
          <cell r="A133">
            <v>131</v>
          </cell>
          <cell r="B133" t="str">
            <v>Kayamandi1</v>
          </cell>
          <cell r="C133">
            <v>-33.924110404604498</v>
          </cell>
          <cell r="D133">
            <v>18.844852641179099</v>
          </cell>
        </row>
        <row r="134">
          <cell r="A134">
            <v>132</v>
          </cell>
          <cell r="B134" t="str">
            <v>Kayamandi1</v>
          </cell>
          <cell r="C134">
            <v>-33.9255475542368</v>
          </cell>
          <cell r="D134">
            <v>18.8395758735392</v>
          </cell>
        </row>
        <row r="135">
          <cell r="A135">
            <v>133</v>
          </cell>
          <cell r="B135" t="str">
            <v>Kayamandi1</v>
          </cell>
          <cell r="C135">
            <v>-33.925594104933602</v>
          </cell>
          <cell r="D135">
            <v>18.8423218158396</v>
          </cell>
        </row>
        <row r="136">
          <cell r="A136">
            <v>134</v>
          </cell>
          <cell r="B136" t="str">
            <v>Kayamandi1</v>
          </cell>
          <cell r="C136">
            <v>-33.926823618782898</v>
          </cell>
          <cell r="D136">
            <v>18.839094573586401</v>
          </cell>
        </row>
        <row r="137">
          <cell r="A137">
            <v>135</v>
          </cell>
          <cell r="B137" t="str">
            <v>Kayamandi1</v>
          </cell>
          <cell r="C137">
            <v>-33.924501414208699</v>
          </cell>
          <cell r="D137">
            <v>18.8365239282784</v>
          </cell>
        </row>
        <row r="138">
          <cell r="A138">
            <v>136</v>
          </cell>
          <cell r="B138" t="str">
            <v>Kayamandi1</v>
          </cell>
          <cell r="C138">
            <v>-33.920507236094103</v>
          </cell>
          <cell r="D138">
            <v>18.8360794648518</v>
          </cell>
        </row>
        <row r="139">
          <cell r="A139">
            <v>137</v>
          </cell>
          <cell r="B139" t="str">
            <v>Kayamandi1</v>
          </cell>
          <cell r="C139">
            <v>-33.924981201170702</v>
          </cell>
          <cell r="D139">
            <v>18.843795772311299</v>
          </cell>
        </row>
        <row r="140">
          <cell r="A140">
            <v>138</v>
          </cell>
          <cell r="B140" t="str">
            <v>Kayamandi1</v>
          </cell>
          <cell r="C140">
            <v>-33.925102899284298</v>
          </cell>
          <cell r="D140">
            <v>18.838749176232199</v>
          </cell>
        </row>
        <row r="141">
          <cell r="A141">
            <v>139</v>
          </cell>
          <cell r="B141" t="str">
            <v>Kayamandi1</v>
          </cell>
          <cell r="C141">
            <v>-33.919979244188099</v>
          </cell>
          <cell r="D141">
            <v>18.839985811560101</v>
          </cell>
        </row>
        <row r="142">
          <cell r="A142">
            <v>140</v>
          </cell>
          <cell r="B142" t="str">
            <v>Kayamandi1</v>
          </cell>
          <cell r="C142">
            <v>-33.926104861140303</v>
          </cell>
          <cell r="D142">
            <v>18.840486748667299</v>
          </cell>
        </row>
        <row r="143">
          <cell r="A143">
            <v>141</v>
          </cell>
          <cell r="B143" t="str">
            <v>Kayamandi1</v>
          </cell>
          <cell r="C143">
            <v>-33.919509508669698</v>
          </cell>
          <cell r="D143">
            <v>18.840468357794698</v>
          </cell>
        </row>
        <row r="144">
          <cell r="A144">
            <v>142</v>
          </cell>
          <cell r="B144" t="str">
            <v>Kayamandi1</v>
          </cell>
          <cell r="C144">
            <v>-33.919320230917698</v>
          </cell>
          <cell r="D144">
            <v>18.839535132040901</v>
          </cell>
        </row>
        <row r="145">
          <cell r="A145">
            <v>143</v>
          </cell>
          <cell r="B145" t="str">
            <v>Kayamandi1</v>
          </cell>
          <cell r="C145">
            <v>-33.922241641496598</v>
          </cell>
          <cell r="D145">
            <v>18.842547779024599</v>
          </cell>
        </row>
        <row r="146">
          <cell r="A146">
            <v>144</v>
          </cell>
          <cell r="B146" t="str">
            <v>Kayamandi1</v>
          </cell>
          <cell r="C146">
            <v>-33.926635943801998</v>
          </cell>
          <cell r="D146">
            <v>18.844101558338799</v>
          </cell>
        </row>
        <row r="147">
          <cell r="A147">
            <v>145</v>
          </cell>
          <cell r="B147" t="str">
            <v>Kayamandi1</v>
          </cell>
          <cell r="C147">
            <v>-33.921824993225101</v>
          </cell>
          <cell r="D147">
            <v>18.843508553906201</v>
          </cell>
        </row>
        <row r="148">
          <cell r="A148">
            <v>146</v>
          </cell>
          <cell r="B148" t="str">
            <v>Kayamandi1</v>
          </cell>
          <cell r="C148">
            <v>-33.920219913888502</v>
          </cell>
          <cell r="D148">
            <v>18.8416528587077</v>
          </cell>
        </row>
        <row r="149">
          <cell r="A149">
            <v>147</v>
          </cell>
          <cell r="B149" t="str">
            <v>Kayamandi1</v>
          </cell>
          <cell r="C149">
            <v>-33.926509481025597</v>
          </cell>
          <cell r="D149">
            <v>18.838639495026801</v>
          </cell>
        </row>
        <row r="150">
          <cell r="A150">
            <v>148</v>
          </cell>
          <cell r="B150" t="str">
            <v>Kayamandi1</v>
          </cell>
          <cell r="C150">
            <v>-33.921806685992003</v>
          </cell>
          <cell r="D150">
            <v>18.837866297122801</v>
          </cell>
        </row>
        <row r="151">
          <cell r="A151">
            <v>149</v>
          </cell>
          <cell r="B151" t="str">
            <v>Kayamandi1</v>
          </cell>
          <cell r="C151">
            <v>-33.921123605409598</v>
          </cell>
          <cell r="D151">
            <v>18.839132960745001</v>
          </cell>
        </row>
        <row r="152">
          <cell r="A152">
            <v>150</v>
          </cell>
          <cell r="B152" t="str">
            <v>Kayamandi1</v>
          </cell>
          <cell r="C152">
            <v>-33.923977894484601</v>
          </cell>
          <cell r="D152">
            <v>18.841782990096799</v>
          </cell>
        </row>
        <row r="153">
          <cell r="A153">
            <v>151</v>
          </cell>
          <cell r="B153" t="str">
            <v>Kayamandi1</v>
          </cell>
          <cell r="C153">
            <v>-33.920249932351503</v>
          </cell>
          <cell r="D153">
            <v>18.836412374637501</v>
          </cell>
        </row>
        <row r="154">
          <cell r="A154">
            <v>152</v>
          </cell>
          <cell r="B154" t="str">
            <v>Kayamandi1</v>
          </cell>
          <cell r="C154">
            <v>-33.9198878470091</v>
          </cell>
          <cell r="D154">
            <v>18.844843482159899</v>
          </cell>
        </row>
        <row r="155">
          <cell r="A155">
            <v>153</v>
          </cell>
          <cell r="B155" t="str">
            <v>Kayamandi1</v>
          </cell>
          <cell r="C155">
            <v>-33.926818353563597</v>
          </cell>
          <cell r="D155">
            <v>18.8372438756113</v>
          </cell>
        </row>
        <row r="156">
          <cell r="A156">
            <v>154</v>
          </cell>
          <cell r="B156" t="str">
            <v>Kayamandi1</v>
          </cell>
          <cell r="C156">
            <v>-33.921984540264901</v>
          </cell>
          <cell r="D156">
            <v>18.843707548990899</v>
          </cell>
        </row>
        <row r="157">
          <cell r="A157">
            <v>155</v>
          </cell>
          <cell r="B157" t="str">
            <v>Kayamandi1</v>
          </cell>
          <cell r="C157">
            <v>-33.9251574387144</v>
          </cell>
          <cell r="D157">
            <v>18.838400415411499</v>
          </cell>
        </row>
        <row r="158">
          <cell r="A158">
            <v>156</v>
          </cell>
          <cell r="B158" t="str">
            <v>Kayamandi1</v>
          </cell>
          <cell r="C158">
            <v>-33.919576424827</v>
          </cell>
          <cell r="D158">
            <v>18.843412796540498</v>
          </cell>
        </row>
        <row r="159">
          <cell r="A159">
            <v>157</v>
          </cell>
          <cell r="B159" t="str">
            <v>Kayamandi1</v>
          </cell>
          <cell r="C159">
            <v>-33.924684189102102</v>
          </cell>
          <cell r="D159">
            <v>18.8430091277095</v>
          </cell>
        </row>
        <row r="160">
          <cell r="A160">
            <v>158</v>
          </cell>
          <cell r="B160" t="str">
            <v>Kayamandi1</v>
          </cell>
          <cell r="C160">
            <v>-33.921115228614703</v>
          </cell>
          <cell r="D160">
            <v>18.84187912849</v>
          </cell>
        </row>
        <row r="161">
          <cell r="A161">
            <v>159</v>
          </cell>
          <cell r="B161" t="str">
            <v>Kayamandi1</v>
          </cell>
          <cell r="C161">
            <v>-33.925872508875898</v>
          </cell>
          <cell r="D161">
            <v>18.836245285835499</v>
          </cell>
        </row>
        <row r="162">
          <cell r="A162">
            <v>160</v>
          </cell>
          <cell r="B162" t="str">
            <v>Kayamandi1</v>
          </cell>
          <cell r="C162">
            <v>-33.924125151900597</v>
          </cell>
          <cell r="D162">
            <v>18.843438650186101</v>
          </cell>
        </row>
        <row r="163">
          <cell r="A163">
            <v>161</v>
          </cell>
          <cell r="B163" t="str">
            <v>Kayamandi1</v>
          </cell>
          <cell r="C163">
            <v>-33.9236807039646</v>
          </cell>
          <cell r="D163">
            <v>18.844728671416199</v>
          </cell>
        </row>
        <row r="164">
          <cell r="A164">
            <v>162</v>
          </cell>
          <cell r="B164" t="str">
            <v>Kayamandi1</v>
          </cell>
          <cell r="C164">
            <v>-33.923008748017601</v>
          </cell>
          <cell r="D164">
            <v>18.844613081331602</v>
          </cell>
        </row>
        <row r="165">
          <cell r="A165">
            <v>163</v>
          </cell>
          <cell r="B165" t="str">
            <v>Kayamandi1</v>
          </cell>
          <cell r="C165">
            <v>-33.926998320735201</v>
          </cell>
          <cell r="D165">
            <v>18.841710673566698</v>
          </cell>
        </row>
        <row r="166">
          <cell r="A166">
            <v>164</v>
          </cell>
          <cell r="B166" t="str">
            <v>Kayamandi1</v>
          </cell>
          <cell r="C166">
            <v>-33.920419800827403</v>
          </cell>
          <cell r="D166">
            <v>18.844263246961599</v>
          </cell>
        </row>
        <row r="167">
          <cell r="A167">
            <v>165</v>
          </cell>
          <cell r="B167" t="str">
            <v>Kayamandi1</v>
          </cell>
          <cell r="C167">
            <v>-33.923172640736503</v>
          </cell>
          <cell r="D167">
            <v>18.840212938446601</v>
          </cell>
        </row>
        <row r="168">
          <cell r="A168">
            <v>166</v>
          </cell>
          <cell r="B168" t="str">
            <v>Kayamandi1</v>
          </cell>
          <cell r="C168">
            <v>-33.9217535110418</v>
          </cell>
          <cell r="D168">
            <v>18.843557716402199</v>
          </cell>
        </row>
        <row r="169">
          <cell r="A169">
            <v>167</v>
          </cell>
          <cell r="B169" t="str">
            <v>Kayamandi1</v>
          </cell>
          <cell r="C169">
            <v>-33.920615137706598</v>
          </cell>
          <cell r="D169">
            <v>18.842860890483699</v>
          </cell>
        </row>
        <row r="170">
          <cell r="A170">
            <v>168</v>
          </cell>
          <cell r="B170" t="str">
            <v>Kayamandi1</v>
          </cell>
          <cell r="C170">
            <v>-33.922004305469699</v>
          </cell>
          <cell r="D170">
            <v>18.838990161132902</v>
          </cell>
        </row>
        <row r="171">
          <cell r="A171">
            <v>169</v>
          </cell>
          <cell r="B171" t="str">
            <v>Kayamandi1</v>
          </cell>
          <cell r="C171">
            <v>-33.923308216093901</v>
          </cell>
          <cell r="D171">
            <v>18.843887945275998</v>
          </cell>
        </row>
        <row r="172">
          <cell r="A172">
            <v>170</v>
          </cell>
          <cell r="B172" t="str">
            <v>Kayamandi1</v>
          </cell>
          <cell r="C172">
            <v>-33.923941580514999</v>
          </cell>
          <cell r="D172">
            <v>18.840567503037398</v>
          </cell>
        </row>
        <row r="173">
          <cell r="A173">
            <v>171</v>
          </cell>
          <cell r="B173" t="str">
            <v>Kayamandi1</v>
          </cell>
          <cell r="C173">
            <v>-33.926652538153299</v>
          </cell>
          <cell r="D173">
            <v>18.840978734348798</v>
          </cell>
        </row>
        <row r="174">
          <cell r="A174">
            <v>172</v>
          </cell>
          <cell r="B174" t="str">
            <v>Kayamandi1</v>
          </cell>
          <cell r="C174">
            <v>-33.921613692167902</v>
          </cell>
          <cell r="D174">
            <v>18.842833420585801</v>
          </cell>
        </row>
        <row r="175">
          <cell r="A175">
            <v>173</v>
          </cell>
          <cell r="B175" t="str">
            <v>Kayamandi1</v>
          </cell>
          <cell r="C175">
            <v>-33.9270752555041</v>
          </cell>
          <cell r="D175">
            <v>18.8435121611802</v>
          </cell>
        </row>
        <row r="176">
          <cell r="A176">
            <v>174</v>
          </cell>
          <cell r="B176" t="str">
            <v>Kayamandi1</v>
          </cell>
          <cell r="C176">
            <v>-33.923770507178297</v>
          </cell>
          <cell r="D176">
            <v>18.8386342847656</v>
          </cell>
        </row>
        <row r="177">
          <cell r="A177">
            <v>175</v>
          </cell>
          <cell r="B177" t="str">
            <v>Kayamandi1</v>
          </cell>
          <cell r="C177">
            <v>-33.9199994566385</v>
          </cell>
          <cell r="D177">
            <v>18.8393176108593</v>
          </cell>
        </row>
        <row r="178">
          <cell r="A178">
            <v>176</v>
          </cell>
          <cell r="B178" t="str">
            <v>Kayamandi1</v>
          </cell>
          <cell r="C178">
            <v>-33.923494824409403</v>
          </cell>
          <cell r="D178">
            <v>18.8432970976673</v>
          </cell>
        </row>
        <row r="179">
          <cell r="A179">
            <v>177</v>
          </cell>
          <cell r="B179" t="str">
            <v>Kayamandi1</v>
          </cell>
          <cell r="C179">
            <v>-33.922155141366602</v>
          </cell>
          <cell r="D179">
            <v>18.844300132060798</v>
          </cell>
        </row>
        <row r="180">
          <cell r="A180">
            <v>178</v>
          </cell>
          <cell r="B180" t="str">
            <v>Kayamandi1</v>
          </cell>
          <cell r="C180">
            <v>-33.924272981708398</v>
          </cell>
          <cell r="D180">
            <v>18.836881498058698</v>
          </cell>
        </row>
        <row r="181">
          <cell r="A181">
            <v>179</v>
          </cell>
          <cell r="B181" t="str">
            <v>Kayamandi1</v>
          </cell>
          <cell r="C181">
            <v>-33.925512037997201</v>
          </cell>
          <cell r="D181">
            <v>18.841472911515201</v>
          </cell>
        </row>
        <row r="182">
          <cell r="A182">
            <v>180</v>
          </cell>
          <cell r="B182" t="str">
            <v>Kayamandi1</v>
          </cell>
          <cell r="C182">
            <v>-33.9248349601841</v>
          </cell>
          <cell r="D182">
            <v>18.836650409835201</v>
          </cell>
        </row>
        <row r="183">
          <cell r="A183">
            <v>181</v>
          </cell>
          <cell r="B183" t="str">
            <v>Kayamandi1</v>
          </cell>
          <cell r="C183">
            <v>-33.925734572528199</v>
          </cell>
          <cell r="D183">
            <v>18.844877863168101</v>
          </cell>
        </row>
        <row r="184">
          <cell r="A184">
            <v>182</v>
          </cell>
          <cell r="B184" t="str">
            <v>Kayamandi1</v>
          </cell>
          <cell r="C184">
            <v>-33.9215142970383</v>
          </cell>
          <cell r="D184">
            <v>18.842956401188399</v>
          </cell>
        </row>
        <row r="185">
          <cell r="A185">
            <v>183</v>
          </cell>
          <cell r="B185" t="str">
            <v>Kayamandi1</v>
          </cell>
          <cell r="C185">
            <v>-33.920559303933103</v>
          </cell>
          <cell r="D185">
            <v>18.837147649756901</v>
          </cell>
        </row>
        <row r="186">
          <cell r="A186">
            <v>184</v>
          </cell>
          <cell r="B186" t="str">
            <v>Kayamandi1</v>
          </cell>
          <cell r="C186">
            <v>-33.921538121733001</v>
          </cell>
          <cell r="D186">
            <v>18.8395733250169</v>
          </cell>
        </row>
        <row r="187">
          <cell r="A187">
            <v>185</v>
          </cell>
          <cell r="B187" t="str">
            <v>Kayamandi1</v>
          </cell>
          <cell r="C187">
            <v>-33.9219951379471</v>
          </cell>
          <cell r="D187">
            <v>18.8384149593311</v>
          </cell>
        </row>
        <row r="188">
          <cell r="A188">
            <v>186</v>
          </cell>
          <cell r="B188" t="str">
            <v>Kayamandi1</v>
          </cell>
          <cell r="C188">
            <v>-33.926997625164802</v>
          </cell>
          <cell r="D188">
            <v>18.836145310341799</v>
          </cell>
        </row>
        <row r="189">
          <cell r="A189">
            <v>187</v>
          </cell>
          <cell r="B189" t="str">
            <v>Kayamandi1</v>
          </cell>
          <cell r="C189">
            <v>-33.921306631609298</v>
          </cell>
          <cell r="D189">
            <v>18.841987355436</v>
          </cell>
        </row>
        <row r="190">
          <cell r="A190">
            <v>188</v>
          </cell>
          <cell r="B190" t="str">
            <v>Kayamandi1</v>
          </cell>
          <cell r="C190">
            <v>-33.926469277512503</v>
          </cell>
          <cell r="D190">
            <v>18.8448576774373</v>
          </cell>
        </row>
        <row r="191">
          <cell r="A191">
            <v>189</v>
          </cell>
          <cell r="B191" t="str">
            <v>Kayamandi1</v>
          </cell>
          <cell r="C191">
            <v>-33.925920701258697</v>
          </cell>
          <cell r="D191">
            <v>18.843378522626899</v>
          </cell>
        </row>
        <row r="192">
          <cell r="A192">
            <v>190</v>
          </cell>
          <cell r="B192" t="str">
            <v>Kayamandi1</v>
          </cell>
          <cell r="C192">
            <v>-33.921357104490497</v>
          </cell>
          <cell r="D192">
            <v>18.836786842927701</v>
          </cell>
        </row>
        <row r="193">
          <cell r="A193">
            <v>191</v>
          </cell>
          <cell r="B193" t="str">
            <v>Kayamandi1</v>
          </cell>
          <cell r="C193">
            <v>-33.924057045827801</v>
          </cell>
          <cell r="D193">
            <v>18.844799226627899</v>
          </cell>
        </row>
        <row r="194">
          <cell r="A194">
            <v>192</v>
          </cell>
          <cell r="B194" t="str">
            <v>Kayamandi1</v>
          </cell>
          <cell r="C194">
            <v>-33.924926336550897</v>
          </cell>
          <cell r="D194">
            <v>18.841178789746198</v>
          </cell>
        </row>
        <row r="195">
          <cell r="A195">
            <v>193</v>
          </cell>
          <cell r="B195" t="str">
            <v>Kayamandi1</v>
          </cell>
          <cell r="C195">
            <v>-33.923942598899899</v>
          </cell>
          <cell r="D195">
            <v>18.8438938088828</v>
          </cell>
        </row>
        <row r="196">
          <cell r="A196">
            <v>194</v>
          </cell>
          <cell r="B196" t="str">
            <v>Kayamandi1</v>
          </cell>
          <cell r="C196">
            <v>-33.925458741770797</v>
          </cell>
          <cell r="D196">
            <v>18.837508168672599</v>
          </cell>
        </row>
        <row r="197">
          <cell r="A197">
            <v>195</v>
          </cell>
          <cell r="B197" t="str">
            <v>Kayamandi1</v>
          </cell>
          <cell r="C197">
            <v>-33.919450322257497</v>
          </cell>
          <cell r="D197">
            <v>18.844400538984502</v>
          </cell>
        </row>
        <row r="198">
          <cell r="A198">
            <v>196</v>
          </cell>
          <cell r="B198" t="str">
            <v>Kayamandi1</v>
          </cell>
          <cell r="C198">
            <v>-33.9217799564369</v>
          </cell>
          <cell r="D198">
            <v>18.8391526037604</v>
          </cell>
        </row>
        <row r="199">
          <cell r="A199">
            <v>197</v>
          </cell>
          <cell r="B199" t="str">
            <v>Kayamandi1</v>
          </cell>
          <cell r="C199">
            <v>-33.925062650552299</v>
          </cell>
          <cell r="D199">
            <v>18.839736640160499</v>
          </cell>
        </row>
        <row r="200">
          <cell r="A200">
            <v>198</v>
          </cell>
          <cell r="B200" t="str">
            <v>Kayamandi1</v>
          </cell>
          <cell r="C200">
            <v>-33.923589124830499</v>
          </cell>
          <cell r="D200">
            <v>18.8407592704244</v>
          </cell>
        </row>
        <row r="201">
          <cell r="A201">
            <v>199</v>
          </cell>
          <cell r="B201" t="str">
            <v>Kayamandi1</v>
          </cell>
          <cell r="C201">
            <v>-33.920119904723201</v>
          </cell>
          <cell r="D201">
            <v>18.8383013136194</v>
          </cell>
        </row>
        <row r="202">
          <cell r="A202">
            <v>200</v>
          </cell>
          <cell r="B202" t="str">
            <v>Kayamandi1</v>
          </cell>
          <cell r="C202">
            <v>-33.925841161694201</v>
          </cell>
          <cell r="D202">
            <v>18.837003318564701</v>
          </cell>
        </row>
        <row r="203">
          <cell r="A203">
            <v>201</v>
          </cell>
          <cell r="B203" t="str">
            <v>Kayamandi1</v>
          </cell>
          <cell r="C203">
            <v>-33.920493981254701</v>
          </cell>
          <cell r="D203">
            <v>18.841492577397499</v>
          </cell>
        </row>
        <row r="204">
          <cell r="A204">
            <v>202</v>
          </cell>
          <cell r="B204" t="str">
            <v>Kayamandi1</v>
          </cell>
          <cell r="C204">
            <v>-33.919891948234103</v>
          </cell>
          <cell r="D204">
            <v>18.838180209565898</v>
          </cell>
        </row>
        <row r="205">
          <cell r="A205">
            <v>203</v>
          </cell>
          <cell r="B205" t="str">
            <v>Kayamandi1</v>
          </cell>
          <cell r="C205">
            <v>-33.926567633662202</v>
          </cell>
          <cell r="D205">
            <v>18.838786243063499</v>
          </cell>
        </row>
        <row r="206">
          <cell r="A206">
            <v>204</v>
          </cell>
          <cell r="B206" t="str">
            <v>Kayamandi1</v>
          </cell>
          <cell r="C206">
            <v>-33.922936776732399</v>
          </cell>
          <cell r="D206">
            <v>18.836966536698299</v>
          </cell>
        </row>
        <row r="207">
          <cell r="A207">
            <v>205</v>
          </cell>
          <cell r="B207" t="str">
            <v>Kayamandi1</v>
          </cell>
          <cell r="C207">
            <v>-33.922099656897203</v>
          </cell>
          <cell r="D207">
            <v>18.841997849162802</v>
          </cell>
        </row>
        <row r="208">
          <cell r="A208">
            <v>206</v>
          </cell>
          <cell r="B208" t="str">
            <v>Kayamandi1</v>
          </cell>
          <cell r="C208">
            <v>-33.926092352676299</v>
          </cell>
          <cell r="D208">
            <v>18.842926402196699</v>
          </cell>
        </row>
        <row r="209">
          <cell r="A209">
            <v>207</v>
          </cell>
          <cell r="B209" t="str">
            <v>Kayamandi1</v>
          </cell>
          <cell r="C209">
            <v>-33.9223362876957</v>
          </cell>
          <cell r="D209">
            <v>18.8408308729718</v>
          </cell>
        </row>
        <row r="210">
          <cell r="A210">
            <v>208</v>
          </cell>
          <cell r="B210" t="str">
            <v>Kayamandi1</v>
          </cell>
          <cell r="C210">
            <v>-33.920852670717998</v>
          </cell>
          <cell r="D210">
            <v>18.8368629175663</v>
          </cell>
        </row>
        <row r="211">
          <cell r="A211">
            <v>209</v>
          </cell>
          <cell r="B211" t="str">
            <v>Kayamandi1</v>
          </cell>
          <cell r="C211">
            <v>-33.925189132564398</v>
          </cell>
          <cell r="D211">
            <v>18.839627038583298</v>
          </cell>
        </row>
        <row r="212">
          <cell r="A212">
            <v>210</v>
          </cell>
          <cell r="B212" t="str">
            <v>Kayamandi1</v>
          </cell>
          <cell r="C212">
            <v>-33.924069074610699</v>
          </cell>
          <cell r="D212">
            <v>18.837156901248399</v>
          </cell>
        </row>
        <row r="213">
          <cell r="A213">
            <v>211</v>
          </cell>
          <cell r="B213" t="str">
            <v>Kayamandi1</v>
          </cell>
          <cell r="C213">
            <v>-33.926199937904002</v>
          </cell>
          <cell r="D213">
            <v>18.844087044284102</v>
          </cell>
        </row>
        <row r="214">
          <cell r="A214">
            <v>212</v>
          </cell>
          <cell r="B214" t="str">
            <v>Kayamandi1</v>
          </cell>
          <cell r="C214">
            <v>-33.9196248138351</v>
          </cell>
          <cell r="D214">
            <v>18.836847339865901</v>
          </cell>
        </row>
        <row r="215">
          <cell r="A215">
            <v>213</v>
          </cell>
          <cell r="B215" t="str">
            <v>Kayamandi1</v>
          </cell>
          <cell r="C215">
            <v>-33.9263525120179</v>
          </cell>
          <cell r="D215">
            <v>18.837862528371598</v>
          </cell>
        </row>
        <row r="216">
          <cell r="A216">
            <v>214</v>
          </cell>
          <cell r="B216" t="str">
            <v>Kayamandi1</v>
          </cell>
          <cell r="C216">
            <v>-33.926034410543799</v>
          </cell>
          <cell r="D216">
            <v>18.843600687646902</v>
          </cell>
        </row>
        <row r="217">
          <cell r="A217">
            <v>215</v>
          </cell>
          <cell r="B217" t="str">
            <v>Kayamandi1</v>
          </cell>
          <cell r="C217">
            <v>-33.923172114153402</v>
          </cell>
          <cell r="D217">
            <v>18.844482591932501</v>
          </cell>
        </row>
        <row r="218">
          <cell r="A218">
            <v>216</v>
          </cell>
          <cell r="B218" t="str">
            <v>Kayamandi1</v>
          </cell>
          <cell r="C218">
            <v>-33.922018147708698</v>
          </cell>
          <cell r="D218">
            <v>18.839108570706401</v>
          </cell>
        </row>
        <row r="219">
          <cell r="A219">
            <v>217</v>
          </cell>
          <cell r="B219" t="str">
            <v>Kayamandi1</v>
          </cell>
          <cell r="C219">
            <v>-33.9210926207368</v>
          </cell>
          <cell r="D219">
            <v>18.8433707034938</v>
          </cell>
        </row>
        <row r="220">
          <cell r="A220">
            <v>218</v>
          </cell>
          <cell r="B220" t="str">
            <v>Kayamandi1</v>
          </cell>
          <cell r="C220">
            <v>-33.922441992747103</v>
          </cell>
          <cell r="D220">
            <v>18.841165968203299</v>
          </cell>
        </row>
        <row r="221">
          <cell r="A221">
            <v>219</v>
          </cell>
          <cell r="B221" t="str">
            <v>Kayamandi1</v>
          </cell>
          <cell r="C221">
            <v>-33.923811783890997</v>
          </cell>
          <cell r="D221">
            <v>18.844330300823099</v>
          </cell>
        </row>
        <row r="222">
          <cell r="A222">
            <v>220</v>
          </cell>
          <cell r="B222" t="str">
            <v>Kayamandi1</v>
          </cell>
          <cell r="C222">
            <v>-33.924793267217503</v>
          </cell>
          <cell r="D222">
            <v>18.836074442153802</v>
          </cell>
        </row>
        <row r="223">
          <cell r="A223">
            <v>221</v>
          </cell>
          <cell r="B223" t="str">
            <v>Kayamandi1</v>
          </cell>
          <cell r="C223">
            <v>-33.924814891276498</v>
          </cell>
          <cell r="D223">
            <v>18.840359912337199</v>
          </cell>
        </row>
        <row r="224">
          <cell r="A224">
            <v>222</v>
          </cell>
          <cell r="B224" t="str">
            <v>Kayamandi1</v>
          </cell>
          <cell r="C224">
            <v>-33.919582377155699</v>
          </cell>
          <cell r="D224">
            <v>18.840187482020699</v>
          </cell>
        </row>
        <row r="225">
          <cell r="A225">
            <v>223</v>
          </cell>
          <cell r="B225" t="str">
            <v>Kayamandi1</v>
          </cell>
          <cell r="C225">
            <v>-33.926107143935603</v>
          </cell>
          <cell r="D225">
            <v>18.840941120351602</v>
          </cell>
        </row>
        <row r="226">
          <cell r="A226">
            <v>224</v>
          </cell>
          <cell r="B226" t="str">
            <v>Kayamandi1</v>
          </cell>
          <cell r="C226">
            <v>-33.926400914699897</v>
          </cell>
          <cell r="D226">
            <v>18.836017538180201</v>
          </cell>
        </row>
        <row r="227">
          <cell r="A227">
            <v>225</v>
          </cell>
          <cell r="B227" t="str">
            <v>Kayamandi1</v>
          </cell>
          <cell r="C227">
            <v>-33.926095060769697</v>
          </cell>
          <cell r="D227">
            <v>18.843455183132502</v>
          </cell>
        </row>
        <row r="228">
          <cell r="A228">
            <v>226</v>
          </cell>
          <cell r="B228" t="str">
            <v>Kayamandi1</v>
          </cell>
          <cell r="C228">
            <v>-33.920346444810498</v>
          </cell>
          <cell r="D228">
            <v>18.837276814292601</v>
          </cell>
        </row>
        <row r="229">
          <cell r="A229">
            <v>227</v>
          </cell>
          <cell r="B229" t="str">
            <v>Kayamandi1</v>
          </cell>
          <cell r="C229">
            <v>-33.9264572247356</v>
          </cell>
          <cell r="D229">
            <v>18.8426366375184</v>
          </cell>
        </row>
        <row r="230">
          <cell r="A230">
            <v>228</v>
          </cell>
          <cell r="B230" t="str">
            <v>Kayamandi1</v>
          </cell>
          <cell r="C230">
            <v>-33.923384288026597</v>
          </cell>
          <cell r="D230">
            <v>18.841606385856998</v>
          </cell>
        </row>
        <row r="231">
          <cell r="A231">
            <v>229</v>
          </cell>
          <cell r="B231" t="str">
            <v>Kayamandi1</v>
          </cell>
          <cell r="C231">
            <v>-33.926664681808603</v>
          </cell>
          <cell r="D231">
            <v>18.837954702850901</v>
          </cell>
        </row>
        <row r="232">
          <cell r="A232">
            <v>230</v>
          </cell>
          <cell r="B232" t="str">
            <v>Kayamandi1</v>
          </cell>
          <cell r="C232">
            <v>-33.923396614659197</v>
          </cell>
          <cell r="D232">
            <v>18.840910718750301</v>
          </cell>
        </row>
        <row r="233">
          <cell r="A233">
            <v>231</v>
          </cell>
          <cell r="B233" t="str">
            <v>Kayamandi1</v>
          </cell>
          <cell r="C233">
            <v>-33.920351306208197</v>
          </cell>
          <cell r="D233">
            <v>18.836595806059499</v>
          </cell>
        </row>
        <row r="234">
          <cell r="A234">
            <v>232</v>
          </cell>
          <cell r="B234" t="str">
            <v>Kayamandi1</v>
          </cell>
          <cell r="C234">
            <v>-33.923209159414697</v>
          </cell>
          <cell r="D234">
            <v>18.8391871566883</v>
          </cell>
        </row>
        <row r="235">
          <cell r="A235">
            <v>233</v>
          </cell>
          <cell r="B235" t="str">
            <v>Kayamandi1</v>
          </cell>
          <cell r="C235">
            <v>-33.921594443933998</v>
          </cell>
          <cell r="D235">
            <v>18.843053048573299</v>
          </cell>
        </row>
        <row r="236">
          <cell r="A236">
            <v>234</v>
          </cell>
          <cell r="B236" t="str">
            <v>Kayamandi1</v>
          </cell>
          <cell r="C236">
            <v>-33.920945870492098</v>
          </cell>
          <cell r="D236">
            <v>18.8388524467059</v>
          </cell>
        </row>
        <row r="237">
          <cell r="A237">
            <v>235</v>
          </cell>
          <cell r="B237" t="str">
            <v>Kayamandi1</v>
          </cell>
          <cell r="C237">
            <v>-33.920466146870702</v>
          </cell>
          <cell r="D237">
            <v>18.837440934310099</v>
          </cell>
        </row>
        <row r="238">
          <cell r="A238">
            <v>236</v>
          </cell>
          <cell r="B238" t="str">
            <v>Kayamandi1</v>
          </cell>
          <cell r="C238">
            <v>-33.922041807754603</v>
          </cell>
          <cell r="D238">
            <v>18.838800875368101</v>
          </cell>
        </row>
        <row r="239">
          <cell r="A239">
            <v>237</v>
          </cell>
          <cell r="B239" t="str">
            <v>Kayamandi1</v>
          </cell>
          <cell r="C239">
            <v>-33.926595310394198</v>
          </cell>
          <cell r="D239">
            <v>18.844666180936901</v>
          </cell>
        </row>
        <row r="240">
          <cell r="A240">
            <v>238</v>
          </cell>
          <cell r="B240" t="str">
            <v>Kayamandi1</v>
          </cell>
          <cell r="C240">
            <v>-33.922864597938499</v>
          </cell>
          <cell r="D240">
            <v>18.836311084612699</v>
          </cell>
        </row>
        <row r="241">
          <cell r="A241">
            <v>239</v>
          </cell>
          <cell r="B241" t="str">
            <v>Kayamandi1</v>
          </cell>
          <cell r="C241">
            <v>-33.924861026323697</v>
          </cell>
          <cell r="D241">
            <v>18.843207931601199</v>
          </cell>
        </row>
        <row r="242">
          <cell r="A242">
            <v>240</v>
          </cell>
          <cell r="B242" t="str">
            <v>Kayamandi1</v>
          </cell>
          <cell r="C242">
            <v>-33.922714763566702</v>
          </cell>
          <cell r="D242">
            <v>18.8360311364243</v>
          </cell>
        </row>
        <row r="243">
          <cell r="A243">
            <v>241</v>
          </cell>
          <cell r="B243" t="str">
            <v>Kayamandi1</v>
          </cell>
          <cell r="C243">
            <v>-33.921757465039299</v>
          </cell>
          <cell r="D243">
            <v>18.8423331928363</v>
          </cell>
        </row>
        <row r="244">
          <cell r="A244">
            <v>242</v>
          </cell>
          <cell r="B244" t="str">
            <v>Kayamandi1</v>
          </cell>
          <cell r="C244">
            <v>-33.923955236186799</v>
          </cell>
          <cell r="D244">
            <v>18.8448238998105</v>
          </cell>
        </row>
        <row r="245">
          <cell r="A245">
            <v>243</v>
          </cell>
          <cell r="B245" t="str">
            <v>Kayamandi1</v>
          </cell>
          <cell r="C245">
            <v>-33.9263505976038</v>
          </cell>
          <cell r="D245">
            <v>18.8364958111367</v>
          </cell>
        </row>
        <row r="246">
          <cell r="A246">
            <v>244</v>
          </cell>
          <cell r="B246" t="str">
            <v>Kayamandi1</v>
          </cell>
          <cell r="C246">
            <v>-33.9255603659361</v>
          </cell>
          <cell r="D246">
            <v>18.842367327227802</v>
          </cell>
        </row>
        <row r="247">
          <cell r="A247">
            <v>245</v>
          </cell>
          <cell r="B247" t="str">
            <v>Kayamandi1</v>
          </cell>
          <cell r="C247">
            <v>-33.921607072360203</v>
          </cell>
          <cell r="D247">
            <v>18.8368398172871</v>
          </cell>
        </row>
        <row r="248">
          <cell r="A248">
            <v>246</v>
          </cell>
          <cell r="B248" t="str">
            <v>Kayamandi1</v>
          </cell>
          <cell r="C248">
            <v>-33.921314741419103</v>
          </cell>
          <cell r="D248">
            <v>18.844086692801302</v>
          </cell>
        </row>
        <row r="249">
          <cell r="A249">
            <v>247</v>
          </cell>
          <cell r="B249" t="str">
            <v>Kayamandi1</v>
          </cell>
          <cell r="C249">
            <v>-33.919495555248403</v>
          </cell>
          <cell r="D249">
            <v>18.844130451137701</v>
          </cell>
        </row>
        <row r="250">
          <cell r="A250">
            <v>248</v>
          </cell>
          <cell r="B250" t="str">
            <v>Kayamandi1</v>
          </cell>
          <cell r="C250">
            <v>-33.919832131723197</v>
          </cell>
          <cell r="D250">
            <v>18.837398361273401</v>
          </cell>
        </row>
        <row r="251">
          <cell r="A251">
            <v>249</v>
          </cell>
          <cell r="B251" t="str">
            <v>Kayamandi1</v>
          </cell>
          <cell r="C251">
            <v>-33.922000851086104</v>
          </cell>
          <cell r="D251">
            <v>18.843018692266501</v>
          </cell>
        </row>
        <row r="252">
          <cell r="A252">
            <v>250</v>
          </cell>
          <cell r="B252" t="str">
            <v>Kayamandi1</v>
          </cell>
          <cell r="C252">
            <v>-33.922384862372503</v>
          </cell>
          <cell r="D252">
            <v>18.836747159167</v>
          </cell>
        </row>
        <row r="253">
          <cell r="A253">
            <v>251</v>
          </cell>
          <cell r="B253" t="str">
            <v>Kayamandi1</v>
          </cell>
          <cell r="C253">
            <v>-33.925011113230298</v>
          </cell>
          <cell r="D253">
            <v>18.837537614322901</v>
          </cell>
        </row>
        <row r="254">
          <cell r="A254">
            <v>252</v>
          </cell>
          <cell r="B254" t="str">
            <v>Kayamandi1</v>
          </cell>
          <cell r="C254">
            <v>-33.919273938641503</v>
          </cell>
          <cell r="D254">
            <v>18.8428619174266</v>
          </cell>
        </row>
        <row r="255">
          <cell r="A255">
            <v>253</v>
          </cell>
          <cell r="B255" t="str">
            <v>Kayamandi1</v>
          </cell>
          <cell r="C255">
            <v>-33.925818458447999</v>
          </cell>
          <cell r="D255">
            <v>18.843271384054098</v>
          </cell>
        </row>
        <row r="256">
          <cell r="A256">
            <v>254</v>
          </cell>
          <cell r="B256" t="str">
            <v>Kayamandi1</v>
          </cell>
          <cell r="C256">
            <v>-33.923890228558001</v>
          </cell>
          <cell r="D256">
            <v>18.840586256958002</v>
          </cell>
        </row>
        <row r="257">
          <cell r="A257">
            <v>255</v>
          </cell>
          <cell r="B257" t="str">
            <v>Kayamandi1</v>
          </cell>
          <cell r="C257">
            <v>-33.924673296716399</v>
          </cell>
          <cell r="D257">
            <v>18.842760225259301</v>
          </cell>
        </row>
        <row r="258">
          <cell r="A258">
            <v>256</v>
          </cell>
          <cell r="B258" t="str">
            <v>Kayamandi1</v>
          </cell>
          <cell r="C258">
            <v>-33.926997018485601</v>
          </cell>
          <cell r="D258">
            <v>18.838514187059001</v>
          </cell>
        </row>
        <row r="259">
          <cell r="A259">
            <v>257</v>
          </cell>
          <cell r="B259" t="str">
            <v>Kayamandi1</v>
          </cell>
          <cell r="C259">
            <v>-33.924692689062702</v>
          </cell>
          <cell r="D259">
            <v>18.8373871679464</v>
          </cell>
        </row>
        <row r="260">
          <cell r="A260">
            <v>258</v>
          </cell>
          <cell r="B260" t="str">
            <v>Kayamandi1</v>
          </cell>
          <cell r="C260">
            <v>-33.921064251787399</v>
          </cell>
          <cell r="D260">
            <v>18.840312585048199</v>
          </cell>
        </row>
        <row r="261">
          <cell r="A261">
            <v>259</v>
          </cell>
          <cell r="B261" t="str">
            <v>Kayamandi1</v>
          </cell>
          <cell r="C261">
            <v>-33.924523046763802</v>
          </cell>
          <cell r="D261">
            <v>18.837844903794799</v>
          </cell>
        </row>
        <row r="262">
          <cell r="A262">
            <v>260</v>
          </cell>
          <cell r="B262" t="str">
            <v>Kayamandi1</v>
          </cell>
          <cell r="C262">
            <v>-33.920744765997497</v>
          </cell>
          <cell r="D262">
            <v>18.844305130991501</v>
          </cell>
        </row>
        <row r="263">
          <cell r="A263">
            <v>261</v>
          </cell>
          <cell r="B263" t="str">
            <v>Kayamandi1</v>
          </cell>
          <cell r="C263">
            <v>-33.919937484129498</v>
          </cell>
          <cell r="D263">
            <v>18.841973566412499</v>
          </cell>
        </row>
        <row r="264">
          <cell r="A264">
            <v>262</v>
          </cell>
          <cell r="B264" t="str">
            <v>Kayamandi1</v>
          </cell>
          <cell r="C264">
            <v>-33.919442838942203</v>
          </cell>
          <cell r="D264">
            <v>18.8367647653711</v>
          </cell>
        </row>
        <row r="265">
          <cell r="A265">
            <v>263</v>
          </cell>
          <cell r="B265" t="str">
            <v>Kayamandi1</v>
          </cell>
          <cell r="C265">
            <v>-33.920648135889998</v>
          </cell>
          <cell r="D265">
            <v>18.842092758747899</v>
          </cell>
        </row>
        <row r="266">
          <cell r="A266">
            <v>264</v>
          </cell>
          <cell r="B266" t="str">
            <v>Kayamandi1</v>
          </cell>
          <cell r="C266">
            <v>-33.9258653570568</v>
          </cell>
          <cell r="D266">
            <v>18.844374240615601</v>
          </cell>
        </row>
        <row r="267">
          <cell r="A267">
            <v>265</v>
          </cell>
          <cell r="B267" t="str">
            <v>Kayamandi1</v>
          </cell>
          <cell r="C267">
            <v>-33.9232737546563</v>
          </cell>
          <cell r="D267">
            <v>18.843943646478099</v>
          </cell>
        </row>
        <row r="268">
          <cell r="A268">
            <v>266</v>
          </cell>
          <cell r="B268" t="str">
            <v>Kayamandi1</v>
          </cell>
          <cell r="C268">
            <v>-33.921505918048602</v>
          </cell>
          <cell r="D268">
            <v>18.837946836653099</v>
          </cell>
        </row>
        <row r="269">
          <cell r="A269">
            <v>267</v>
          </cell>
          <cell r="B269" t="str">
            <v>Kayamandi1</v>
          </cell>
          <cell r="C269">
            <v>-33.921982897525098</v>
          </cell>
          <cell r="D269">
            <v>18.837129438208301</v>
          </cell>
        </row>
        <row r="270">
          <cell r="A270">
            <v>268</v>
          </cell>
          <cell r="B270" t="str">
            <v>Kayamandi1</v>
          </cell>
          <cell r="C270">
            <v>-33.926512181329301</v>
          </cell>
          <cell r="D270">
            <v>18.841791810943601</v>
          </cell>
        </row>
        <row r="271">
          <cell r="A271">
            <v>269</v>
          </cell>
          <cell r="B271" t="str">
            <v>Kayamandi1</v>
          </cell>
          <cell r="C271">
            <v>-33.925473016887302</v>
          </cell>
          <cell r="D271">
            <v>18.836965073225599</v>
          </cell>
        </row>
        <row r="272">
          <cell r="A272">
            <v>270</v>
          </cell>
          <cell r="B272" t="str">
            <v>Kayamandi1</v>
          </cell>
          <cell r="C272">
            <v>-33.923806776893898</v>
          </cell>
          <cell r="D272">
            <v>18.840791653748798</v>
          </cell>
        </row>
        <row r="273">
          <cell r="A273">
            <v>271</v>
          </cell>
          <cell r="B273" t="str">
            <v>Kayamandi1</v>
          </cell>
          <cell r="C273">
            <v>-33.923205767281502</v>
          </cell>
          <cell r="D273">
            <v>18.844279436649501</v>
          </cell>
        </row>
        <row r="274">
          <cell r="A274">
            <v>272</v>
          </cell>
          <cell r="B274" t="str">
            <v>Kayamandi1</v>
          </cell>
          <cell r="C274">
            <v>-33.919992087071201</v>
          </cell>
          <cell r="D274">
            <v>18.844020718365801</v>
          </cell>
        </row>
        <row r="275">
          <cell r="A275">
            <v>273</v>
          </cell>
          <cell r="B275" t="str">
            <v>Kayamandi1</v>
          </cell>
          <cell r="C275">
            <v>-33.923998839754297</v>
          </cell>
          <cell r="D275">
            <v>18.838635922124801</v>
          </cell>
        </row>
        <row r="276">
          <cell r="A276">
            <v>274</v>
          </cell>
          <cell r="B276" t="str">
            <v>Kayamandi1</v>
          </cell>
          <cell r="C276">
            <v>-33.920629213297403</v>
          </cell>
          <cell r="D276">
            <v>18.843657295692299</v>
          </cell>
        </row>
        <row r="277">
          <cell r="A277">
            <v>275</v>
          </cell>
          <cell r="B277" t="str">
            <v>Kayamandi1</v>
          </cell>
          <cell r="C277">
            <v>-33.9267346375158</v>
          </cell>
          <cell r="D277">
            <v>18.8426496623632</v>
          </cell>
        </row>
        <row r="278">
          <cell r="A278">
            <v>276</v>
          </cell>
          <cell r="B278" t="str">
            <v>Kayamandi1</v>
          </cell>
          <cell r="C278">
            <v>-33.920221438150101</v>
          </cell>
          <cell r="D278">
            <v>18.8368837071569</v>
          </cell>
        </row>
        <row r="279">
          <cell r="A279">
            <v>277</v>
          </cell>
          <cell r="B279" t="str">
            <v>Kayamandi1</v>
          </cell>
          <cell r="C279">
            <v>-33.926486105118201</v>
          </cell>
          <cell r="D279">
            <v>18.839492248937798</v>
          </cell>
        </row>
        <row r="280">
          <cell r="A280">
            <v>278</v>
          </cell>
          <cell r="B280" t="str">
            <v>Kayamandi1</v>
          </cell>
          <cell r="C280">
            <v>-33.926052499337104</v>
          </cell>
          <cell r="D280">
            <v>18.8406614806755</v>
          </cell>
        </row>
        <row r="281">
          <cell r="A281">
            <v>279</v>
          </cell>
          <cell r="B281" t="str">
            <v>Kayamandi1</v>
          </cell>
          <cell r="C281">
            <v>-33.922740023000003</v>
          </cell>
          <cell r="D281">
            <v>18.8435172599822</v>
          </cell>
        </row>
        <row r="282">
          <cell r="A282">
            <v>280</v>
          </cell>
          <cell r="B282" t="str">
            <v>Kayamandi1</v>
          </cell>
          <cell r="C282">
            <v>-33.922169983457302</v>
          </cell>
          <cell r="D282">
            <v>18.840381185062402</v>
          </cell>
        </row>
        <row r="283">
          <cell r="A283">
            <v>281</v>
          </cell>
          <cell r="B283" t="str">
            <v>Kayamandi1</v>
          </cell>
          <cell r="C283">
            <v>-33.926098080743301</v>
          </cell>
          <cell r="D283">
            <v>18.839422417394399</v>
          </cell>
        </row>
        <row r="284">
          <cell r="A284">
            <v>282</v>
          </cell>
          <cell r="B284" t="str">
            <v>Kayamandi1</v>
          </cell>
          <cell r="C284">
            <v>-33.923344156406003</v>
          </cell>
          <cell r="D284">
            <v>18.837858990138599</v>
          </cell>
        </row>
        <row r="285">
          <cell r="A285">
            <v>283</v>
          </cell>
          <cell r="B285" t="str">
            <v>Kayamandi1</v>
          </cell>
          <cell r="C285">
            <v>-33.926176040593397</v>
          </cell>
          <cell r="D285">
            <v>18.840986692928102</v>
          </cell>
        </row>
        <row r="286">
          <cell r="A286">
            <v>284</v>
          </cell>
          <cell r="B286" t="str">
            <v>Kayamandi1</v>
          </cell>
          <cell r="C286">
            <v>-33.926292539244699</v>
          </cell>
          <cell r="D286">
            <v>18.8374445244539</v>
          </cell>
        </row>
      </sheetData>
      <sheetData sheetId="11">
        <row r="1">
          <cell r="A1" t="str">
            <v>PUP ID</v>
          </cell>
          <cell r="B1" t="str">
            <v>Cluster Name</v>
          </cell>
          <cell r="C1" t="str">
            <v>Latitude</v>
          </cell>
          <cell r="D1" t="str">
            <v>longitude</v>
          </cell>
        </row>
        <row r="2">
          <cell r="A2">
            <v>0</v>
          </cell>
          <cell r="B2" t="str">
            <v>Kayamandi2</v>
          </cell>
          <cell r="C2">
            <v>-33.915899795700199</v>
          </cell>
          <cell r="D2">
            <v>18.8463766346282</v>
          </cell>
        </row>
        <row r="3">
          <cell r="A3">
            <v>1</v>
          </cell>
          <cell r="B3" t="str">
            <v>Kayamandi2</v>
          </cell>
          <cell r="C3">
            <v>-33.914932425173298</v>
          </cell>
          <cell r="D3">
            <v>18.845394250356399</v>
          </cell>
        </row>
        <row r="4">
          <cell r="A4">
            <v>2</v>
          </cell>
          <cell r="B4" t="str">
            <v>Kayamandi2</v>
          </cell>
          <cell r="C4">
            <v>-33.917973885397402</v>
          </cell>
          <cell r="D4">
            <v>18.846365283986799</v>
          </cell>
        </row>
        <row r="5">
          <cell r="A5">
            <v>3</v>
          </cell>
          <cell r="B5" t="str">
            <v>Kayamandi2</v>
          </cell>
          <cell r="C5">
            <v>-33.916495422209998</v>
          </cell>
          <cell r="D5">
            <v>18.845484053800998</v>
          </cell>
        </row>
        <row r="6">
          <cell r="A6">
            <v>4</v>
          </cell>
          <cell r="B6" t="str">
            <v>Kayamandi2</v>
          </cell>
          <cell r="C6">
            <v>-33.913111923226197</v>
          </cell>
          <cell r="D6">
            <v>18.8449946324187</v>
          </cell>
        </row>
        <row r="7">
          <cell r="A7">
            <v>5</v>
          </cell>
          <cell r="B7" t="str">
            <v>Kayamandi2</v>
          </cell>
          <cell r="C7">
            <v>-33.918371499340999</v>
          </cell>
          <cell r="D7">
            <v>18.846671261409799</v>
          </cell>
        </row>
        <row r="8">
          <cell r="A8">
            <v>6</v>
          </cell>
          <cell r="B8" t="str">
            <v>Kayamandi2</v>
          </cell>
          <cell r="C8">
            <v>-33.916631143912902</v>
          </cell>
          <cell r="D8">
            <v>18.846154944919999</v>
          </cell>
        </row>
        <row r="9">
          <cell r="A9">
            <v>7</v>
          </cell>
          <cell r="B9" t="str">
            <v>Kayamandi2</v>
          </cell>
          <cell r="C9">
            <v>-33.9157467540794</v>
          </cell>
          <cell r="D9">
            <v>18.8476172176243</v>
          </cell>
        </row>
        <row r="10">
          <cell r="A10">
            <v>8</v>
          </cell>
          <cell r="B10" t="str">
            <v>Kayamandi2</v>
          </cell>
          <cell r="C10">
            <v>-33.9157226827732</v>
          </cell>
          <cell r="D10">
            <v>18.846231661791101</v>
          </cell>
        </row>
        <row r="11">
          <cell r="A11">
            <v>9</v>
          </cell>
          <cell r="B11" t="str">
            <v>Kayamandi2</v>
          </cell>
          <cell r="C11">
            <v>-33.914290687996903</v>
          </cell>
          <cell r="D11">
            <v>18.8475173918381</v>
          </cell>
        </row>
        <row r="12">
          <cell r="A12">
            <v>10</v>
          </cell>
          <cell r="B12" t="str">
            <v>Kayamandi2</v>
          </cell>
          <cell r="C12">
            <v>-33.9154406543093</v>
          </cell>
          <cell r="D12">
            <v>18.8464064286831</v>
          </cell>
        </row>
        <row r="13">
          <cell r="A13">
            <v>11</v>
          </cell>
          <cell r="B13" t="str">
            <v>Kayamandi2</v>
          </cell>
          <cell r="C13">
            <v>-33.9144157847687</v>
          </cell>
          <cell r="D13">
            <v>18.845448655057499</v>
          </cell>
        </row>
        <row r="14">
          <cell r="A14">
            <v>12</v>
          </cell>
          <cell r="B14" t="str">
            <v>Kayamandi2</v>
          </cell>
          <cell r="C14">
            <v>-33.917653097103504</v>
          </cell>
          <cell r="D14">
            <v>18.8475738716945</v>
          </cell>
        </row>
        <row r="15">
          <cell r="A15">
            <v>13</v>
          </cell>
          <cell r="B15" t="str">
            <v>Kayamandi2</v>
          </cell>
          <cell r="C15">
            <v>-33.918076002907902</v>
          </cell>
          <cell r="D15">
            <v>18.846630367983501</v>
          </cell>
        </row>
        <row r="16">
          <cell r="A16">
            <v>14</v>
          </cell>
          <cell r="B16" t="str">
            <v>Kayamandi2</v>
          </cell>
          <cell r="C16">
            <v>-33.917769510403097</v>
          </cell>
          <cell r="D16">
            <v>18.8472933753877</v>
          </cell>
        </row>
        <row r="17">
          <cell r="A17">
            <v>15</v>
          </cell>
          <cell r="B17" t="str">
            <v>Kayamandi2</v>
          </cell>
          <cell r="C17">
            <v>-33.915710163358597</v>
          </cell>
          <cell r="D17">
            <v>18.847584788837001</v>
          </cell>
        </row>
        <row r="18">
          <cell r="A18">
            <v>16</v>
          </cell>
          <cell r="B18" t="str">
            <v>Kayamandi2</v>
          </cell>
          <cell r="C18">
            <v>-33.913562210620597</v>
          </cell>
          <cell r="D18">
            <v>18.845227622453798</v>
          </cell>
        </row>
        <row r="19">
          <cell r="A19">
            <v>17</v>
          </cell>
          <cell r="B19" t="str">
            <v>Kayamandi2</v>
          </cell>
          <cell r="C19">
            <v>-33.918508705578503</v>
          </cell>
          <cell r="D19">
            <v>18.8465748082793</v>
          </cell>
        </row>
        <row r="20">
          <cell r="A20">
            <v>18</v>
          </cell>
          <cell r="B20" t="str">
            <v>Kayamandi2</v>
          </cell>
          <cell r="C20">
            <v>-33.918691232281901</v>
          </cell>
          <cell r="D20">
            <v>18.845092150841399</v>
          </cell>
        </row>
        <row r="21">
          <cell r="A21">
            <v>19</v>
          </cell>
          <cell r="B21" t="str">
            <v>Kayamandi2</v>
          </cell>
          <cell r="C21">
            <v>-33.915064791413101</v>
          </cell>
          <cell r="D21">
            <v>18.847209519403101</v>
          </cell>
        </row>
        <row r="22">
          <cell r="A22">
            <v>20</v>
          </cell>
          <cell r="B22" t="str">
            <v>Kayamandi2</v>
          </cell>
          <cell r="C22">
            <v>-33.917195002000398</v>
          </cell>
          <cell r="D22">
            <v>18.847282688443499</v>
          </cell>
        </row>
        <row r="23">
          <cell r="A23">
            <v>21</v>
          </cell>
          <cell r="B23" t="str">
            <v>Kayamandi2</v>
          </cell>
          <cell r="C23">
            <v>-33.916623229934203</v>
          </cell>
          <cell r="D23">
            <v>18.845630630777698</v>
          </cell>
        </row>
        <row r="24">
          <cell r="A24">
            <v>22</v>
          </cell>
          <cell r="B24" t="str">
            <v>Kayamandi2</v>
          </cell>
          <cell r="C24">
            <v>-33.918891510570603</v>
          </cell>
          <cell r="D24">
            <v>18.846139521499701</v>
          </cell>
        </row>
        <row r="25">
          <cell r="A25">
            <v>23</v>
          </cell>
          <cell r="B25" t="str">
            <v>Kayamandi2</v>
          </cell>
          <cell r="C25">
            <v>-33.918763203818799</v>
          </cell>
          <cell r="D25">
            <v>18.846975229932699</v>
          </cell>
        </row>
        <row r="26">
          <cell r="A26">
            <v>24</v>
          </cell>
          <cell r="B26" t="str">
            <v>Kayamandi2</v>
          </cell>
          <cell r="C26">
            <v>-33.918767210690397</v>
          </cell>
          <cell r="D26">
            <v>18.846490655325301</v>
          </cell>
        </row>
        <row r="27">
          <cell r="A27">
            <v>25</v>
          </cell>
          <cell r="B27" t="str">
            <v>Kayamandi2</v>
          </cell>
          <cell r="C27">
            <v>-33.9129932694714</v>
          </cell>
          <cell r="D27">
            <v>18.845562905773399</v>
          </cell>
        </row>
        <row r="28">
          <cell r="A28">
            <v>26</v>
          </cell>
          <cell r="B28" t="str">
            <v>Kayamandi2</v>
          </cell>
          <cell r="C28">
            <v>-33.916883366066699</v>
          </cell>
          <cell r="D28">
            <v>18.8465480247655</v>
          </cell>
        </row>
        <row r="29">
          <cell r="A29">
            <v>27</v>
          </cell>
          <cell r="B29" t="str">
            <v>Kayamandi2</v>
          </cell>
          <cell r="C29">
            <v>-33.916109611927098</v>
          </cell>
          <cell r="D29">
            <v>18.845897736681302</v>
          </cell>
        </row>
        <row r="30">
          <cell r="A30">
            <v>28</v>
          </cell>
          <cell r="B30" t="str">
            <v>Kayamandi2</v>
          </cell>
          <cell r="C30">
            <v>-33.914572078854498</v>
          </cell>
          <cell r="D30">
            <v>18.846843512884</v>
          </cell>
        </row>
        <row r="31">
          <cell r="A31">
            <v>29</v>
          </cell>
          <cell r="B31" t="str">
            <v>Kayamandi2</v>
          </cell>
          <cell r="C31">
            <v>-33.915161027193697</v>
          </cell>
          <cell r="D31">
            <v>18.8466481535445</v>
          </cell>
        </row>
        <row r="32">
          <cell r="A32">
            <v>30</v>
          </cell>
          <cell r="B32" t="str">
            <v>Kayamandi2</v>
          </cell>
          <cell r="C32">
            <v>-33.917096722557197</v>
          </cell>
          <cell r="D32">
            <v>18.847294034368499</v>
          </cell>
        </row>
        <row r="33">
          <cell r="A33">
            <v>31</v>
          </cell>
          <cell r="B33" t="str">
            <v>Kayamandi2</v>
          </cell>
          <cell r="C33">
            <v>-33.917846611391703</v>
          </cell>
          <cell r="D33">
            <v>18.846950184249501</v>
          </cell>
        </row>
        <row r="34">
          <cell r="A34">
            <v>32</v>
          </cell>
          <cell r="B34" t="str">
            <v>Kayamandi2</v>
          </cell>
          <cell r="C34">
            <v>-33.916604005761201</v>
          </cell>
          <cell r="D34">
            <v>18.8470374432409</v>
          </cell>
        </row>
        <row r="35">
          <cell r="A35">
            <v>33</v>
          </cell>
          <cell r="B35" t="str">
            <v>Kayamandi2</v>
          </cell>
          <cell r="C35">
            <v>-33.913984631133602</v>
          </cell>
          <cell r="D35">
            <v>18.844972087921899</v>
          </cell>
        </row>
        <row r="36">
          <cell r="A36">
            <v>34</v>
          </cell>
          <cell r="B36" t="str">
            <v>Kayamandi2</v>
          </cell>
          <cell r="C36">
            <v>-33.9162773939861</v>
          </cell>
          <cell r="D36">
            <v>18.8459835210503</v>
          </cell>
        </row>
        <row r="37">
          <cell r="A37">
            <v>35</v>
          </cell>
          <cell r="B37" t="str">
            <v>Kayamandi2</v>
          </cell>
          <cell r="C37">
            <v>-33.913973554039302</v>
          </cell>
          <cell r="D37">
            <v>18.845770886891501</v>
          </cell>
        </row>
        <row r="38">
          <cell r="A38">
            <v>36</v>
          </cell>
          <cell r="B38" t="str">
            <v>Kayamandi2</v>
          </cell>
          <cell r="C38">
            <v>-33.918294117006297</v>
          </cell>
          <cell r="D38">
            <v>18.8449768043821</v>
          </cell>
        </row>
        <row r="39">
          <cell r="A39">
            <v>37</v>
          </cell>
          <cell r="B39" t="str">
            <v>Kayamandi2</v>
          </cell>
          <cell r="C39">
            <v>-33.914278713069002</v>
          </cell>
          <cell r="D39">
            <v>18.847013804243598</v>
          </cell>
        </row>
        <row r="40">
          <cell r="A40">
            <v>38</v>
          </cell>
          <cell r="B40" t="str">
            <v>Kayamandi2</v>
          </cell>
          <cell r="C40">
            <v>-33.912590485516802</v>
          </cell>
          <cell r="D40">
            <v>18.847610509022601</v>
          </cell>
        </row>
        <row r="41">
          <cell r="A41">
            <v>39</v>
          </cell>
          <cell r="B41" t="str">
            <v>Kayamandi2</v>
          </cell>
          <cell r="C41">
            <v>-33.918300584231602</v>
          </cell>
          <cell r="D41">
            <v>18.8455301142588</v>
          </cell>
        </row>
        <row r="42">
          <cell r="A42">
            <v>40</v>
          </cell>
          <cell r="B42" t="str">
            <v>Kayamandi2</v>
          </cell>
          <cell r="C42">
            <v>-33.9153927479095</v>
          </cell>
          <cell r="D42">
            <v>18.845573308777698</v>
          </cell>
        </row>
        <row r="43">
          <cell r="A43">
            <v>41</v>
          </cell>
          <cell r="B43" t="str">
            <v>Kayamandi2</v>
          </cell>
          <cell r="C43">
            <v>-33.913883151704397</v>
          </cell>
          <cell r="D43">
            <v>18.8455514138697</v>
          </cell>
        </row>
        <row r="44">
          <cell r="A44">
            <v>42</v>
          </cell>
          <cell r="B44" t="str">
            <v>Kayamandi2</v>
          </cell>
          <cell r="C44">
            <v>-33.913523208944497</v>
          </cell>
          <cell r="D44">
            <v>18.846533226956399</v>
          </cell>
        </row>
        <row r="45">
          <cell r="A45">
            <v>43</v>
          </cell>
          <cell r="B45" t="str">
            <v>Kayamandi2</v>
          </cell>
          <cell r="C45">
            <v>-33.9187433383456</v>
          </cell>
          <cell r="D45">
            <v>18.8474508232683</v>
          </cell>
        </row>
        <row r="46">
          <cell r="A46">
            <v>44</v>
          </cell>
          <cell r="B46" t="str">
            <v>Kayamandi2</v>
          </cell>
          <cell r="C46">
            <v>-33.9171138409314</v>
          </cell>
          <cell r="D46">
            <v>18.845905397601801</v>
          </cell>
        </row>
        <row r="47">
          <cell r="A47">
            <v>45</v>
          </cell>
          <cell r="B47" t="str">
            <v>Kayamandi2</v>
          </cell>
          <cell r="C47">
            <v>-33.916534979046602</v>
          </cell>
          <cell r="D47">
            <v>18.845614122838601</v>
          </cell>
        </row>
        <row r="48">
          <cell r="A48">
            <v>46</v>
          </cell>
          <cell r="B48" t="str">
            <v>Kayamandi2</v>
          </cell>
          <cell r="C48">
            <v>-33.918682111799797</v>
          </cell>
          <cell r="D48">
            <v>18.846552955152301</v>
          </cell>
        </row>
        <row r="49">
          <cell r="A49">
            <v>47</v>
          </cell>
          <cell r="B49" t="str">
            <v>Kayamandi2</v>
          </cell>
          <cell r="C49">
            <v>-33.9143533093551</v>
          </cell>
          <cell r="D49">
            <v>18.845648334689901</v>
          </cell>
        </row>
        <row r="50">
          <cell r="A50">
            <v>48</v>
          </cell>
          <cell r="B50" t="str">
            <v>Kayamandi2</v>
          </cell>
          <cell r="C50">
            <v>-33.916806256755699</v>
          </cell>
          <cell r="D50">
            <v>18.8455128099211</v>
          </cell>
        </row>
        <row r="51">
          <cell r="A51">
            <v>49</v>
          </cell>
          <cell r="B51" t="str">
            <v>Kayamandi2</v>
          </cell>
          <cell r="C51">
            <v>-33.913658452467999</v>
          </cell>
          <cell r="D51">
            <v>18.8462957565545</v>
          </cell>
        </row>
        <row r="52">
          <cell r="A52">
            <v>50</v>
          </cell>
          <cell r="B52" t="str">
            <v>Kayamandi2</v>
          </cell>
          <cell r="C52">
            <v>-33.915049720905202</v>
          </cell>
          <cell r="D52">
            <v>18.846750567241699</v>
          </cell>
        </row>
        <row r="53">
          <cell r="A53">
            <v>51</v>
          </cell>
          <cell r="B53" t="str">
            <v>Kayamandi2</v>
          </cell>
          <cell r="C53">
            <v>-33.912728874428403</v>
          </cell>
          <cell r="D53">
            <v>18.8467639554923</v>
          </cell>
        </row>
        <row r="54">
          <cell r="A54">
            <v>52</v>
          </cell>
          <cell r="B54" t="str">
            <v>Kayamandi2</v>
          </cell>
          <cell r="C54">
            <v>-33.914356999492703</v>
          </cell>
          <cell r="D54">
            <v>18.844971347769199</v>
          </cell>
        </row>
        <row r="55">
          <cell r="A55">
            <v>53</v>
          </cell>
          <cell r="B55" t="str">
            <v>Kayamandi2</v>
          </cell>
          <cell r="C55">
            <v>-33.913618289250799</v>
          </cell>
          <cell r="D55">
            <v>18.845314729673898</v>
          </cell>
        </row>
        <row r="56">
          <cell r="A56">
            <v>54</v>
          </cell>
          <cell r="B56" t="str">
            <v>Kayamandi2</v>
          </cell>
          <cell r="C56">
            <v>-33.915435600028303</v>
          </cell>
          <cell r="D56">
            <v>18.846315767742901</v>
          </cell>
        </row>
        <row r="57">
          <cell r="A57">
            <v>55</v>
          </cell>
          <cell r="B57" t="str">
            <v>Kayamandi2</v>
          </cell>
          <cell r="C57">
            <v>-33.918541987322698</v>
          </cell>
          <cell r="D57">
            <v>18.847507545990101</v>
          </cell>
        </row>
        <row r="58">
          <cell r="A58">
            <v>56</v>
          </cell>
          <cell r="B58" t="str">
            <v>Kayamandi2</v>
          </cell>
          <cell r="C58">
            <v>-33.9186113567701</v>
          </cell>
          <cell r="D58">
            <v>18.845032835741801</v>
          </cell>
        </row>
        <row r="59">
          <cell r="A59">
            <v>57</v>
          </cell>
          <cell r="B59" t="str">
            <v>Kayamandi2</v>
          </cell>
          <cell r="C59">
            <v>-33.912571065800996</v>
          </cell>
          <cell r="D59">
            <v>18.845845460925499</v>
          </cell>
        </row>
        <row r="60">
          <cell r="A60">
            <v>58</v>
          </cell>
          <cell r="B60" t="str">
            <v>Kayamandi2</v>
          </cell>
          <cell r="C60">
            <v>-33.913766820564</v>
          </cell>
          <cell r="D60">
            <v>18.845164024759502</v>
          </cell>
        </row>
        <row r="61">
          <cell r="A61">
            <v>59</v>
          </cell>
          <cell r="B61" t="str">
            <v>Kayamandi2</v>
          </cell>
          <cell r="C61">
            <v>-33.916595535117501</v>
          </cell>
          <cell r="D61">
            <v>18.845184032911501</v>
          </cell>
        </row>
        <row r="62">
          <cell r="A62">
            <v>60</v>
          </cell>
          <cell r="B62" t="str">
            <v>Kayamandi2</v>
          </cell>
          <cell r="C62">
            <v>-33.912734952723902</v>
          </cell>
          <cell r="D62">
            <v>18.8449652767213</v>
          </cell>
        </row>
        <row r="63">
          <cell r="A63">
            <v>61</v>
          </cell>
          <cell r="B63" t="str">
            <v>Kayamandi2</v>
          </cell>
          <cell r="C63">
            <v>-33.912779781277401</v>
          </cell>
          <cell r="D63">
            <v>18.845146233779499</v>
          </cell>
        </row>
        <row r="64">
          <cell r="A64">
            <v>62</v>
          </cell>
          <cell r="B64" t="str">
            <v>Kayamandi2</v>
          </cell>
          <cell r="C64">
            <v>-33.917722848145402</v>
          </cell>
          <cell r="D64">
            <v>18.847166197840799</v>
          </cell>
        </row>
        <row r="65">
          <cell r="A65">
            <v>63</v>
          </cell>
          <cell r="B65" t="str">
            <v>Kayamandi2</v>
          </cell>
          <cell r="C65">
            <v>-33.914296357708899</v>
          </cell>
          <cell r="D65">
            <v>18.847078867266799</v>
          </cell>
        </row>
        <row r="66">
          <cell r="A66">
            <v>64</v>
          </cell>
          <cell r="B66" t="str">
            <v>Kayamandi2</v>
          </cell>
          <cell r="C66">
            <v>-33.915702715875703</v>
          </cell>
          <cell r="D66">
            <v>18.846918202204598</v>
          </cell>
        </row>
        <row r="67">
          <cell r="A67">
            <v>65</v>
          </cell>
          <cell r="B67" t="str">
            <v>Kayamandi2</v>
          </cell>
          <cell r="C67">
            <v>-33.916676584770798</v>
          </cell>
          <cell r="D67">
            <v>18.8472985020911</v>
          </cell>
        </row>
        <row r="68">
          <cell r="A68">
            <v>66</v>
          </cell>
          <cell r="B68" t="str">
            <v>Kayamandi2</v>
          </cell>
          <cell r="C68">
            <v>-33.918699841469298</v>
          </cell>
          <cell r="D68">
            <v>18.845515861392201</v>
          </cell>
        </row>
        <row r="69">
          <cell r="A69">
            <v>67</v>
          </cell>
          <cell r="B69" t="str">
            <v>Kayamandi2</v>
          </cell>
          <cell r="C69">
            <v>-33.9171889329659</v>
          </cell>
          <cell r="D69">
            <v>18.847307427772598</v>
          </cell>
        </row>
        <row r="70">
          <cell r="A70">
            <v>68</v>
          </cell>
          <cell r="B70" t="str">
            <v>Kayamandi2</v>
          </cell>
          <cell r="C70">
            <v>-33.917939760318198</v>
          </cell>
          <cell r="D70">
            <v>18.845838218434501</v>
          </cell>
        </row>
        <row r="71">
          <cell r="A71">
            <v>69</v>
          </cell>
          <cell r="B71" t="str">
            <v>Kayamandi2</v>
          </cell>
          <cell r="C71">
            <v>-33.913748666694701</v>
          </cell>
          <cell r="D71">
            <v>18.846822640983198</v>
          </cell>
        </row>
        <row r="72">
          <cell r="A72">
            <v>70</v>
          </cell>
          <cell r="B72" t="str">
            <v>Kayamandi2</v>
          </cell>
          <cell r="C72">
            <v>-33.918629366235898</v>
          </cell>
          <cell r="D72">
            <v>18.846199323206999</v>
          </cell>
        </row>
        <row r="73">
          <cell r="A73">
            <v>71</v>
          </cell>
          <cell r="B73" t="str">
            <v>Kayamandi2</v>
          </cell>
          <cell r="C73">
            <v>-33.916094724648403</v>
          </cell>
          <cell r="D73">
            <v>18.846203369645401</v>
          </cell>
        </row>
        <row r="74">
          <cell r="A74">
            <v>72</v>
          </cell>
          <cell r="B74" t="str">
            <v>Kayamandi2</v>
          </cell>
          <cell r="C74">
            <v>-33.913089182498901</v>
          </cell>
          <cell r="D74">
            <v>18.847249747662399</v>
          </cell>
        </row>
        <row r="75">
          <cell r="A75">
            <v>73</v>
          </cell>
          <cell r="B75" t="str">
            <v>Kayamandi2</v>
          </cell>
          <cell r="C75">
            <v>-33.918302314235099</v>
          </cell>
          <cell r="D75">
            <v>18.847325143517001</v>
          </cell>
        </row>
        <row r="76">
          <cell r="A76">
            <v>74</v>
          </cell>
          <cell r="B76" t="str">
            <v>Kayamandi2</v>
          </cell>
          <cell r="C76">
            <v>-33.914616523135599</v>
          </cell>
          <cell r="D76">
            <v>18.8463033384254</v>
          </cell>
        </row>
        <row r="77">
          <cell r="A77">
            <v>75</v>
          </cell>
          <cell r="B77" t="str">
            <v>Kayamandi2</v>
          </cell>
          <cell r="C77">
            <v>-33.9165921952739</v>
          </cell>
          <cell r="D77">
            <v>18.845360918422202</v>
          </cell>
        </row>
        <row r="78">
          <cell r="A78">
            <v>76</v>
          </cell>
          <cell r="B78" t="str">
            <v>Kayamandi2</v>
          </cell>
          <cell r="C78">
            <v>-33.913211769480299</v>
          </cell>
          <cell r="D78">
            <v>18.846015964727499</v>
          </cell>
        </row>
        <row r="79">
          <cell r="A79">
            <v>77</v>
          </cell>
          <cell r="B79" t="str">
            <v>Kayamandi2</v>
          </cell>
          <cell r="C79">
            <v>-33.918090131011397</v>
          </cell>
          <cell r="D79">
            <v>18.845562262073098</v>
          </cell>
        </row>
        <row r="80">
          <cell r="A80">
            <v>78</v>
          </cell>
          <cell r="B80" t="str">
            <v>Kayamandi2</v>
          </cell>
          <cell r="C80">
            <v>-33.913112489321399</v>
          </cell>
          <cell r="D80">
            <v>18.844965518981599</v>
          </cell>
        </row>
        <row r="81">
          <cell r="A81">
            <v>79</v>
          </cell>
          <cell r="B81" t="str">
            <v>Kayamandi2</v>
          </cell>
          <cell r="C81">
            <v>-33.918632482153498</v>
          </cell>
          <cell r="D81">
            <v>18.846996109435398</v>
          </cell>
        </row>
        <row r="82">
          <cell r="A82">
            <v>80</v>
          </cell>
          <cell r="B82" t="str">
            <v>Kayamandi2</v>
          </cell>
          <cell r="C82">
            <v>-33.916682624324999</v>
          </cell>
          <cell r="D82">
            <v>18.846614928848101</v>
          </cell>
        </row>
        <row r="83">
          <cell r="A83">
            <v>81</v>
          </cell>
          <cell r="B83" t="str">
            <v>Kayamandi2</v>
          </cell>
          <cell r="C83">
            <v>-33.914796420695197</v>
          </cell>
          <cell r="D83">
            <v>18.845075095438599</v>
          </cell>
        </row>
        <row r="84">
          <cell r="A84">
            <v>82</v>
          </cell>
          <cell r="B84" t="str">
            <v>Kayamandi2</v>
          </cell>
          <cell r="C84">
            <v>-33.915566474334902</v>
          </cell>
          <cell r="D84">
            <v>18.8473824376238</v>
          </cell>
        </row>
        <row r="85">
          <cell r="A85">
            <v>83</v>
          </cell>
          <cell r="B85" t="str">
            <v>Kayamandi2</v>
          </cell>
          <cell r="C85">
            <v>-33.918005738986999</v>
          </cell>
          <cell r="D85">
            <v>18.845341972395801</v>
          </cell>
        </row>
        <row r="86">
          <cell r="A86">
            <v>84</v>
          </cell>
          <cell r="B86" t="str">
            <v>Kayamandi2</v>
          </cell>
          <cell r="C86">
            <v>-33.914159702550002</v>
          </cell>
          <cell r="D86">
            <v>18.847125911054601</v>
          </cell>
        </row>
        <row r="87">
          <cell r="A87">
            <v>85</v>
          </cell>
          <cell r="B87" t="str">
            <v>Kayamandi2</v>
          </cell>
          <cell r="C87">
            <v>-33.916365734331102</v>
          </cell>
          <cell r="D87">
            <v>18.8461611210524</v>
          </cell>
        </row>
        <row r="88">
          <cell r="A88">
            <v>86</v>
          </cell>
          <cell r="B88" t="str">
            <v>Kayamandi2</v>
          </cell>
          <cell r="C88">
            <v>-33.913122090129903</v>
          </cell>
          <cell r="D88">
            <v>18.846860428479701</v>
          </cell>
        </row>
        <row r="89">
          <cell r="A89">
            <v>87</v>
          </cell>
          <cell r="B89" t="str">
            <v>Kayamandi2</v>
          </cell>
          <cell r="C89">
            <v>-33.912583139609701</v>
          </cell>
          <cell r="D89">
            <v>18.8469326613459</v>
          </cell>
        </row>
        <row r="90">
          <cell r="A90">
            <v>88</v>
          </cell>
          <cell r="B90" t="str">
            <v>Kayamandi2</v>
          </cell>
          <cell r="C90">
            <v>-33.915549265400401</v>
          </cell>
          <cell r="D90">
            <v>18.845620916388299</v>
          </cell>
        </row>
        <row r="91">
          <cell r="A91">
            <v>89</v>
          </cell>
          <cell r="B91" t="str">
            <v>Kayamandi2</v>
          </cell>
          <cell r="C91">
            <v>-33.918739582734403</v>
          </cell>
          <cell r="D91">
            <v>18.846307172672301</v>
          </cell>
        </row>
        <row r="92">
          <cell r="A92">
            <v>90</v>
          </cell>
          <cell r="B92" t="str">
            <v>Kayamandi2</v>
          </cell>
          <cell r="C92">
            <v>-33.914263135242798</v>
          </cell>
          <cell r="D92">
            <v>18.846334081585201</v>
          </cell>
        </row>
        <row r="93">
          <cell r="A93">
            <v>91</v>
          </cell>
          <cell r="B93" t="str">
            <v>Kayamandi2</v>
          </cell>
          <cell r="C93">
            <v>-33.916749547094803</v>
          </cell>
          <cell r="D93">
            <v>18.8474315298016</v>
          </cell>
        </row>
        <row r="94">
          <cell r="A94">
            <v>92</v>
          </cell>
          <cell r="B94" t="str">
            <v>Kayamandi2</v>
          </cell>
          <cell r="C94">
            <v>-33.912593245007201</v>
          </cell>
          <cell r="D94">
            <v>18.845756402147199</v>
          </cell>
        </row>
        <row r="95">
          <cell r="A95">
            <v>93</v>
          </cell>
          <cell r="B95" t="str">
            <v>Kayamandi2</v>
          </cell>
          <cell r="C95">
            <v>-33.914566311675898</v>
          </cell>
          <cell r="D95">
            <v>18.846988863281201</v>
          </cell>
        </row>
        <row r="96">
          <cell r="A96">
            <v>94</v>
          </cell>
          <cell r="B96" t="str">
            <v>Kayamandi2</v>
          </cell>
          <cell r="C96">
            <v>-33.913203792450702</v>
          </cell>
          <cell r="D96">
            <v>18.8470074338763</v>
          </cell>
        </row>
        <row r="97">
          <cell r="A97">
            <v>95</v>
          </cell>
          <cell r="B97" t="str">
            <v>Kayamandi2</v>
          </cell>
          <cell r="C97">
            <v>-33.919141846838798</v>
          </cell>
          <cell r="D97">
            <v>18.845538151590301</v>
          </cell>
        </row>
        <row r="98">
          <cell r="A98">
            <v>96</v>
          </cell>
          <cell r="B98" t="str">
            <v>Kayamandi2</v>
          </cell>
          <cell r="C98">
            <v>-33.9170935247353</v>
          </cell>
          <cell r="D98">
            <v>18.8465501905319</v>
          </cell>
        </row>
        <row r="99">
          <cell r="A99">
            <v>97</v>
          </cell>
          <cell r="B99" t="str">
            <v>Kayamandi2</v>
          </cell>
          <cell r="C99">
            <v>-33.918639142040902</v>
          </cell>
          <cell r="D99">
            <v>18.846361453251902</v>
          </cell>
        </row>
        <row r="100">
          <cell r="A100">
            <v>98</v>
          </cell>
          <cell r="B100" t="str">
            <v>Kayamandi2</v>
          </cell>
          <cell r="C100">
            <v>-33.918548241187501</v>
          </cell>
          <cell r="D100">
            <v>18.846432854673999</v>
          </cell>
        </row>
        <row r="101">
          <cell r="A101">
            <v>99</v>
          </cell>
          <cell r="B101" t="str">
            <v>Kayamandi2</v>
          </cell>
          <cell r="C101">
            <v>-33.916877942968199</v>
          </cell>
          <cell r="D101">
            <v>18.8461992863893</v>
          </cell>
        </row>
        <row r="102">
          <cell r="A102">
            <v>100</v>
          </cell>
          <cell r="B102" t="str">
            <v>Kayamandi2</v>
          </cell>
          <cell r="C102">
            <v>-33.914268133349701</v>
          </cell>
          <cell r="D102">
            <v>18.8450085776648</v>
          </cell>
        </row>
        <row r="103">
          <cell r="A103">
            <v>101</v>
          </cell>
          <cell r="B103" t="str">
            <v>Kayamandi2</v>
          </cell>
          <cell r="C103">
            <v>-33.917857373590103</v>
          </cell>
          <cell r="D103">
            <v>18.846507163833198</v>
          </cell>
        </row>
        <row r="104">
          <cell r="A104">
            <v>102</v>
          </cell>
          <cell r="B104" t="str">
            <v>Kayamandi2</v>
          </cell>
          <cell r="C104">
            <v>-33.9158646836499</v>
          </cell>
          <cell r="D104">
            <v>18.847392626859499</v>
          </cell>
        </row>
        <row r="105">
          <cell r="A105">
            <v>103</v>
          </cell>
          <cell r="B105" t="str">
            <v>Kayamandi2</v>
          </cell>
          <cell r="C105">
            <v>-33.9135814198481</v>
          </cell>
          <cell r="D105">
            <v>18.846298791204202</v>
          </cell>
        </row>
        <row r="106">
          <cell r="A106">
            <v>104</v>
          </cell>
          <cell r="B106" t="str">
            <v>Kayamandi2</v>
          </cell>
          <cell r="C106">
            <v>-33.9190643533545</v>
          </cell>
          <cell r="D106">
            <v>18.847508636886701</v>
          </cell>
        </row>
        <row r="107">
          <cell r="A107">
            <v>105</v>
          </cell>
          <cell r="B107" t="str">
            <v>Kayamandi2</v>
          </cell>
          <cell r="C107">
            <v>-33.913045752981603</v>
          </cell>
          <cell r="D107">
            <v>18.846573936219801</v>
          </cell>
        </row>
        <row r="108">
          <cell r="A108">
            <v>106</v>
          </cell>
          <cell r="B108" t="str">
            <v>Kayamandi2</v>
          </cell>
          <cell r="C108">
            <v>-33.917848784847799</v>
          </cell>
          <cell r="D108">
            <v>18.846188223558201</v>
          </cell>
        </row>
        <row r="109">
          <cell r="A109">
            <v>107</v>
          </cell>
          <cell r="B109" t="str">
            <v>Kayamandi2</v>
          </cell>
          <cell r="C109">
            <v>-33.918766866504299</v>
          </cell>
          <cell r="D109">
            <v>18.845141476751301</v>
          </cell>
        </row>
        <row r="110">
          <cell r="A110">
            <v>108</v>
          </cell>
          <cell r="B110" t="str">
            <v>Kayamandi2</v>
          </cell>
          <cell r="C110">
            <v>-33.913453743250997</v>
          </cell>
          <cell r="D110">
            <v>18.844890718100999</v>
          </cell>
        </row>
        <row r="111">
          <cell r="A111">
            <v>109</v>
          </cell>
          <cell r="B111" t="str">
            <v>Kayamandi2</v>
          </cell>
          <cell r="C111">
            <v>-33.912617006006002</v>
          </cell>
          <cell r="D111">
            <v>18.845010635536099</v>
          </cell>
        </row>
        <row r="112">
          <cell r="A112">
            <v>110</v>
          </cell>
          <cell r="B112" t="str">
            <v>Kayamandi2</v>
          </cell>
          <cell r="C112">
            <v>-33.914251527464799</v>
          </cell>
          <cell r="D112">
            <v>18.845382279417301</v>
          </cell>
        </row>
        <row r="113">
          <cell r="A113">
            <v>111</v>
          </cell>
          <cell r="B113" t="str">
            <v>Kayamandi2</v>
          </cell>
          <cell r="C113">
            <v>-33.917850866148598</v>
          </cell>
          <cell r="D113">
            <v>18.8456059092514</v>
          </cell>
        </row>
        <row r="114">
          <cell r="A114">
            <v>112</v>
          </cell>
          <cell r="B114" t="str">
            <v>Kayamandi2</v>
          </cell>
          <cell r="C114">
            <v>-33.914004073358598</v>
          </cell>
          <cell r="D114">
            <v>18.845446142087098</v>
          </cell>
        </row>
        <row r="115">
          <cell r="A115">
            <v>113</v>
          </cell>
          <cell r="B115" t="str">
            <v>Kayamandi2</v>
          </cell>
          <cell r="C115">
            <v>-33.915642533370502</v>
          </cell>
          <cell r="D115">
            <v>18.846803700201601</v>
          </cell>
        </row>
        <row r="116">
          <cell r="A116">
            <v>114</v>
          </cell>
          <cell r="B116" t="str">
            <v>Kayamandi2</v>
          </cell>
          <cell r="C116">
            <v>-33.916226479441498</v>
          </cell>
          <cell r="D116">
            <v>18.8459482581228</v>
          </cell>
        </row>
        <row r="117">
          <cell r="A117">
            <v>115</v>
          </cell>
          <cell r="B117" t="str">
            <v>Kayamandi2</v>
          </cell>
          <cell r="C117">
            <v>-33.918653649125503</v>
          </cell>
          <cell r="D117">
            <v>18.847331157614999</v>
          </cell>
        </row>
        <row r="118">
          <cell r="A118">
            <v>116</v>
          </cell>
          <cell r="B118" t="str">
            <v>Kayamandi2</v>
          </cell>
          <cell r="C118">
            <v>-33.913603177183198</v>
          </cell>
          <cell r="D118">
            <v>18.847045090210798</v>
          </cell>
        </row>
        <row r="119">
          <cell r="A119">
            <v>117</v>
          </cell>
          <cell r="B119" t="str">
            <v>Kayamandi2</v>
          </cell>
          <cell r="C119">
            <v>-33.915066271305498</v>
          </cell>
          <cell r="D119">
            <v>18.8470502371447</v>
          </cell>
        </row>
        <row r="120">
          <cell r="A120">
            <v>118</v>
          </cell>
          <cell r="B120" t="str">
            <v>Kayamandi2</v>
          </cell>
          <cell r="C120">
            <v>-33.914101477181703</v>
          </cell>
          <cell r="D120">
            <v>18.847492814389401</v>
          </cell>
        </row>
        <row r="121">
          <cell r="A121">
            <v>119</v>
          </cell>
          <cell r="B121" t="str">
            <v>Kayamandi2</v>
          </cell>
          <cell r="C121">
            <v>-33.913886410046501</v>
          </cell>
          <cell r="D121">
            <v>18.8469524859585</v>
          </cell>
        </row>
        <row r="122">
          <cell r="A122">
            <v>120</v>
          </cell>
          <cell r="B122" t="str">
            <v>Kayamandi2</v>
          </cell>
          <cell r="C122">
            <v>-33.9124797146182</v>
          </cell>
          <cell r="D122">
            <v>18.845319689510699</v>
          </cell>
        </row>
        <row r="123">
          <cell r="A123">
            <v>121</v>
          </cell>
          <cell r="B123" t="str">
            <v>Kayamandi2</v>
          </cell>
          <cell r="C123">
            <v>-33.917646715008999</v>
          </cell>
          <cell r="D123">
            <v>18.846832561421898</v>
          </cell>
        </row>
        <row r="124">
          <cell r="A124">
            <v>122</v>
          </cell>
          <cell r="B124" t="str">
            <v>Kayamandi2</v>
          </cell>
          <cell r="C124">
            <v>-33.915909721585003</v>
          </cell>
          <cell r="D124">
            <v>18.846995851945302</v>
          </cell>
        </row>
        <row r="125">
          <cell r="A125">
            <v>123</v>
          </cell>
          <cell r="B125" t="str">
            <v>Kayamandi2</v>
          </cell>
          <cell r="C125">
            <v>-33.913299289262099</v>
          </cell>
          <cell r="D125">
            <v>18.846750991063701</v>
          </cell>
        </row>
        <row r="126">
          <cell r="A126">
            <v>124</v>
          </cell>
          <cell r="B126" t="str">
            <v>Kayamandi2</v>
          </cell>
          <cell r="C126">
            <v>-33.918995852015499</v>
          </cell>
          <cell r="D126">
            <v>18.846507292936899</v>
          </cell>
        </row>
        <row r="127">
          <cell r="A127">
            <v>125</v>
          </cell>
          <cell r="B127" t="str">
            <v>Kayamandi2</v>
          </cell>
          <cell r="C127">
            <v>-33.915742108032902</v>
          </cell>
          <cell r="D127">
            <v>18.845429181808498</v>
          </cell>
        </row>
        <row r="128">
          <cell r="A128">
            <v>126</v>
          </cell>
          <cell r="B128" t="str">
            <v>Kayamandi2</v>
          </cell>
          <cell r="C128">
            <v>-33.913005288480797</v>
          </cell>
          <cell r="D128">
            <v>18.845623276314502</v>
          </cell>
        </row>
        <row r="129">
          <cell r="A129">
            <v>127</v>
          </cell>
          <cell r="B129" t="str">
            <v>Kayamandi2</v>
          </cell>
          <cell r="C129">
            <v>-33.919135018011701</v>
          </cell>
          <cell r="D129">
            <v>18.845782185900799</v>
          </cell>
        </row>
        <row r="130">
          <cell r="A130">
            <v>128</v>
          </cell>
          <cell r="B130" t="str">
            <v>Kayamandi2</v>
          </cell>
          <cell r="C130">
            <v>-33.916796853479198</v>
          </cell>
          <cell r="D130">
            <v>18.845368955047402</v>
          </cell>
        </row>
        <row r="131">
          <cell r="A131">
            <v>129</v>
          </cell>
          <cell r="B131" t="str">
            <v>Kayamandi2</v>
          </cell>
          <cell r="C131">
            <v>-33.916803793691898</v>
          </cell>
          <cell r="D131">
            <v>18.845717231769999</v>
          </cell>
        </row>
        <row r="132">
          <cell r="A132">
            <v>130</v>
          </cell>
          <cell r="B132" t="str">
            <v>Kayamandi2</v>
          </cell>
          <cell r="C132">
            <v>-33.912778054126399</v>
          </cell>
          <cell r="D132">
            <v>18.845867443229601</v>
          </cell>
        </row>
        <row r="133">
          <cell r="A133">
            <v>131</v>
          </cell>
          <cell r="B133" t="str">
            <v>Kayamandi2</v>
          </cell>
          <cell r="C133">
            <v>-33.916603227708201</v>
          </cell>
          <cell r="D133">
            <v>18.847608527606202</v>
          </cell>
        </row>
        <row r="134">
          <cell r="A134">
            <v>132</v>
          </cell>
          <cell r="B134" t="str">
            <v>Kayamandi2</v>
          </cell>
          <cell r="C134">
            <v>-33.917842587807797</v>
          </cell>
          <cell r="D134">
            <v>18.845988102897799</v>
          </cell>
        </row>
        <row r="135">
          <cell r="A135">
            <v>133</v>
          </cell>
          <cell r="B135" t="str">
            <v>Kayamandi2</v>
          </cell>
          <cell r="C135">
            <v>-33.917882731906197</v>
          </cell>
          <cell r="D135">
            <v>18.846831345021599</v>
          </cell>
        </row>
        <row r="136">
          <cell r="A136">
            <v>134</v>
          </cell>
          <cell r="B136" t="str">
            <v>Kayamandi2</v>
          </cell>
          <cell r="C136">
            <v>-33.9189430323595</v>
          </cell>
          <cell r="D136">
            <v>18.845840302124898</v>
          </cell>
        </row>
        <row r="137">
          <cell r="A137">
            <v>135</v>
          </cell>
          <cell r="B137" t="str">
            <v>Kayamandi2</v>
          </cell>
          <cell r="C137">
            <v>-33.916940424121897</v>
          </cell>
          <cell r="D137">
            <v>18.845050891361101</v>
          </cell>
        </row>
        <row r="138">
          <cell r="A138">
            <v>136</v>
          </cell>
          <cell r="B138" t="str">
            <v>Kayamandi2</v>
          </cell>
          <cell r="C138">
            <v>-33.913495949813502</v>
          </cell>
          <cell r="D138">
            <v>18.844914402592199</v>
          </cell>
        </row>
        <row r="139">
          <cell r="A139">
            <v>137</v>
          </cell>
          <cell r="B139" t="str">
            <v>Kayamandi2</v>
          </cell>
          <cell r="C139">
            <v>-33.9173541797974</v>
          </cell>
          <cell r="D139">
            <v>18.847283977323901</v>
          </cell>
        </row>
        <row r="140">
          <cell r="A140">
            <v>138</v>
          </cell>
          <cell r="B140" t="str">
            <v>Kayamandi2</v>
          </cell>
          <cell r="C140">
            <v>-33.9174591290545</v>
          </cell>
          <cell r="D140">
            <v>18.845734235220899</v>
          </cell>
        </row>
        <row r="141">
          <cell r="A141">
            <v>139</v>
          </cell>
          <cell r="B141" t="str">
            <v>Kayamandi2</v>
          </cell>
          <cell r="C141">
            <v>-33.913040623460198</v>
          </cell>
          <cell r="D141">
            <v>18.8461139893767</v>
          </cell>
        </row>
        <row r="142">
          <cell r="A142">
            <v>140</v>
          </cell>
          <cell r="B142" t="str">
            <v>Kayamandi2</v>
          </cell>
          <cell r="C142">
            <v>-33.918323194644998</v>
          </cell>
          <cell r="D142">
            <v>18.846267820456902</v>
          </cell>
        </row>
        <row r="143">
          <cell r="A143">
            <v>141</v>
          </cell>
          <cell r="B143" t="str">
            <v>Kayamandi2</v>
          </cell>
          <cell r="C143">
            <v>-33.912635535885599</v>
          </cell>
          <cell r="D143">
            <v>18.846262172865998</v>
          </cell>
        </row>
        <row r="144">
          <cell r="A144">
            <v>142</v>
          </cell>
          <cell r="B144" t="str">
            <v>Kayamandi2</v>
          </cell>
          <cell r="C144">
            <v>-33.912472307723199</v>
          </cell>
          <cell r="D144">
            <v>18.845975591729001</v>
          </cell>
        </row>
        <row r="145">
          <cell r="A145">
            <v>143</v>
          </cell>
          <cell r="B145" t="str">
            <v>Kayamandi2</v>
          </cell>
          <cell r="C145">
            <v>-33.914991655482503</v>
          </cell>
          <cell r="D145">
            <v>18.846900735291001</v>
          </cell>
        </row>
        <row r="146">
          <cell r="A146">
            <v>144</v>
          </cell>
          <cell r="B146" t="str">
            <v>Kayamandi2</v>
          </cell>
          <cell r="C146">
            <v>-33.918781186384798</v>
          </cell>
          <cell r="D146">
            <v>18.847377880119801</v>
          </cell>
        </row>
        <row r="147">
          <cell r="A147">
            <v>145</v>
          </cell>
          <cell r="B147" t="str">
            <v>Kayamandi2</v>
          </cell>
          <cell r="C147">
            <v>-33.914632348955401</v>
          </cell>
          <cell r="D147">
            <v>18.847195776396401</v>
          </cell>
        </row>
        <row r="148">
          <cell r="A148">
            <v>146</v>
          </cell>
          <cell r="B148" t="str">
            <v>Kayamandi2</v>
          </cell>
          <cell r="C148">
            <v>-33.913248170689201</v>
          </cell>
          <cell r="D148">
            <v>18.8466259172409</v>
          </cell>
        </row>
        <row r="149">
          <cell r="A149">
            <v>147</v>
          </cell>
          <cell r="B149" t="str">
            <v>Kayamandi2</v>
          </cell>
          <cell r="C149">
            <v>-33.918672128207703</v>
          </cell>
          <cell r="D149">
            <v>18.845700553590898</v>
          </cell>
        </row>
        <row r="150">
          <cell r="A150">
            <v>148</v>
          </cell>
          <cell r="B150" t="str">
            <v>Kayamandi2</v>
          </cell>
          <cell r="C150">
            <v>-33.9146165612785</v>
          </cell>
          <cell r="D150">
            <v>18.845463114864401</v>
          </cell>
        </row>
        <row r="151">
          <cell r="A151">
            <v>149</v>
          </cell>
          <cell r="B151" t="str">
            <v>Kayamandi2</v>
          </cell>
          <cell r="C151">
            <v>-33.914027490523701</v>
          </cell>
          <cell r="D151">
            <v>18.845852090307499</v>
          </cell>
        </row>
        <row r="152">
          <cell r="A152">
            <v>150</v>
          </cell>
          <cell r="B152" t="str">
            <v>Kayamandi2</v>
          </cell>
          <cell r="C152">
            <v>-33.916488954460803</v>
          </cell>
          <cell r="D152">
            <v>18.846665878848601</v>
          </cell>
        </row>
        <row r="153">
          <cell r="A153">
            <v>151</v>
          </cell>
          <cell r="B153" t="str">
            <v>Kayamandi2</v>
          </cell>
          <cell r="C153">
            <v>-33.913274057823301</v>
          </cell>
          <cell r="D153">
            <v>18.845016634731198</v>
          </cell>
        </row>
        <row r="154">
          <cell r="A154">
            <v>152</v>
          </cell>
          <cell r="B154" t="str">
            <v>Kayamandi2</v>
          </cell>
          <cell r="C154">
            <v>-33.912961804933303</v>
          </cell>
          <cell r="D154">
            <v>18.8476057149939</v>
          </cell>
        </row>
        <row r="155">
          <cell r="A155">
            <v>153</v>
          </cell>
          <cell r="B155" t="str">
            <v>Kayamandi2</v>
          </cell>
          <cell r="C155">
            <v>-33.9189384917726</v>
          </cell>
          <cell r="D155">
            <v>18.845271977549899</v>
          </cell>
        </row>
        <row r="156">
          <cell r="A156">
            <v>154</v>
          </cell>
          <cell r="B156" t="str">
            <v>Kayamandi2</v>
          </cell>
          <cell r="C156">
            <v>-33.914769938132501</v>
          </cell>
          <cell r="D156">
            <v>18.847256885123102</v>
          </cell>
        </row>
        <row r="157">
          <cell r="A157">
            <v>155</v>
          </cell>
          <cell r="B157" t="str">
            <v>Kayamandi2</v>
          </cell>
          <cell r="C157">
            <v>-33.917506162426598</v>
          </cell>
          <cell r="D157">
            <v>18.845627135441301</v>
          </cell>
        </row>
        <row r="158">
          <cell r="A158">
            <v>156</v>
          </cell>
          <cell r="B158" t="str">
            <v>Kayamandi2</v>
          </cell>
          <cell r="C158">
            <v>-33.912693242622197</v>
          </cell>
          <cell r="D158">
            <v>18.847166370591101</v>
          </cell>
        </row>
        <row r="159">
          <cell r="A159">
            <v>157</v>
          </cell>
          <cell r="B159" t="str">
            <v>Kayamandi2</v>
          </cell>
          <cell r="C159">
            <v>-33.917098044389803</v>
          </cell>
          <cell r="D159">
            <v>18.847042409296598</v>
          </cell>
        </row>
        <row r="160">
          <cell r="A160">
            <v>158</v>
          </cell>
          <cell r="B160" t="str">
            <v>Kayamandi2</v>
          </cell>
          <cell r="C160">
            <v>-33.914020266595799</v>
          </cell>
          <cell r="D160">
            <v>18.846695401662199</v>
          </cell>
        </row>
        <row r="161">
          <cell r="A161">
            <v>159</v>
          </cell>
          <cell r="B161" t="str">
            <v>Kayamandi2</v>
          </cell>
          <cell r="C161">
            <v>-33.918122820154302</v>
          </cell>
          <cell r="D161">
            <v>18.8449653239967</v>
          </cell>
        </row>
        <row r="162">
          <cell r="A162">
            <v>160</v>
          </cell>
          <cell r="B162" t="str">
            <v>Kayamandi2</v>
          </cell>
          <cell r="C162">
            <v>-33.916615945388997</v>
          </cell>
          <cell r="D162">
            <v>18.8471743098996</v>
          </cell>
        </row>
        <row r="163">
          <cell r="A163">
            <v>161</v>
          </cell>
          <cell r="B163" t="str">
            <v>Kayamandi2</v>
          </cell>
          <cell r="C163">
            <v>-33.916232665161402</v>
          </cell>
          <cell r="D163">
            <v>18.847570458151399</v>
          </cell>
        </row>
        <row r="164">
          <cell r="A164">
            <v>162</v>
          </cell>
          <cell r="B164" t="str">
            <v>Kayamandi2</v>
          </cell>
          <cell r="C164">
            <v>-33.9156531880001</v>
          </cell>
          <cell r="D164">
            <v>18.847534961983701</v>
          </cell>
        </row>
        <row r="165">
          <cell r="A165">
            <v>163</v>
          </cell>
          <cell r="B165" t="str">
            <v>Kayamandi2</v>
          </cell>
          <cell r="C165">
            <v>-33.919093690734996</v>
          </cell>
          <cell r="D165">
            <v>18.846643671410199</v>
          </cell>
        </row>
        <row r="166">
          <cell r="A166">
            <v>164</v>
          </cell>
          <cell r="B166" t="str">
            <v>Kayamandi2</v>
          </cell>
          <cell r="C166">
            <v>-33.9134205479358</v>
          </cell>
          <cell r="D166">
            <v>18.847427532531501</v>
          </cell>
        </row>
        <row r="167">
          <cell r="A167">
            <v>165</v>
          </cell>
          <cell r="B167" t="str">
            <v>Kayamandi2</v>
          </cell>
          <cell r="C167">
            <v>-33.915794524776501</v>
          </cell>
          <cell r="D167">
            <v>18.846183737003201</v>
          </cell>
        </row>
        <row r="168">
          <cell r="A168">
            <v>166</v>
          </cell>
          <cell r="B168" t="str">
            <v>Kayamandi2</v>
          </cell>
          <cell r="C168">
            <v>-33.914570704597899</v>
          </cell>
          <cell r="D168">
            <v>18.847210873540799</v>
          </cell>
        </row>
        <row r="169">
          <cell r="A169">
            <v>167</v>
          </cell>
          <cell r="B169" t="str">
            <v>Kayamandi2</v>
          </cell>
          <cell r="C169">
            <v>-33.913589001330301</v>
          </cell>
          <cell r="D169">
            <v>18.846996887628801</v>
          </cell>
        </row>
        <row r="170">
          <cell r="A170">
            <v>168</v>
          </cell>
          <cell r="B170" t="str">
            <v>Kayamandi2</v>
          </cell>
          <cell r="C170">
            <v>-33.914786983126</v>
          </cell>
          <cell r="D170">
            <v>18.845808238458101</v>
          </cell>
        </row>
        <row r="171">
          <cell r="A171">
            <v>169</v>
          </cell>
          <cell r="B171" t="str">
            <v>Kayamandi2</v>
          </cell>
          <cell r="C171">
            <v>-33.915911441404198</v>
          </cell>
          <cell r="D171">
            <v>18.8473122824076</v>
          </cell>
        </row>
        <row r="172">
          <cell r="A172">
            <v>170</v>
          </cell>
          <cell r="B172" t="str">
            <v>Kayamandi2</v>
          </cell>
          <cell r="C172">
            <v>-33.916457638247202</v>
          </cell>
          <cell r="D172">
            <v>18.846292619042899</v>
          </cell>
        </row>
        <row r="173">
          <cell r="A173">
            <v>171</v>
          </cell>
          <cell r="B173" t="str">
            <v>Kayamandi2</v>
          </cell>
          <cell r="C173">
            <v>-33.918795496917497</v>
          </cell>
          <cell r="D173">
            <v>18.846418902673999</v>
          </cell>
        </row>
        <row r="174">
          <cell r="A174">
            <v>172</v>
          </cell>
          <cell r="B174" t="str">
            <v>Kayamandi2</v>
          </cell>
          <cell r="C174">
            <v>-33.914450128473099</v>
          </cell>
          <cell r="D174">
            <v>18.846988451990899</v>
          </cell>
        </row>
        <row r="175">
          <cell r="A175">
            <v>173</v>
          </cell>
          <cell r="B175" t="str">
            <v>Kayamandi2</v>
          </cell>
          <cell r="C175">
            <v>-33.919160037259203</v>
          </cell>
          <cell r="D175">
            <v>18.847196884141901</v>
          </cell>
        </row>
        <row r="176">
          <cell r="A176">
            <v>174</v>
          </cell>
          <cell r="B176" t="str">
            <v>Kayamandi2</v>
          </cell>
          <cell r="C176">
            <v>-33.916310109094397</v>
          </cell>
          <cell r="D176">
            <v>18.845698953589402</v>
          </cell>
        </row>
        <row r="177">
          <cell r="A177">
            <v>175</v>
          </cell>
          <cell r="B177" t="str">
            <v>Kayamandi2</v>
          </cell>
          <cell r="C177">
            <v>-33.913058054146603</v>
          </cell>
          <cell r="D177">
            <v>18.845908793885901</v>
          </cell>
        </row>
        <row r="178">
          <cell r="A178">
            <v>176</v>
          </cell>
          <cell r="B178" t="str">
            <v>Kayamandi2</v>
          </cell>
          <cell r="C178">
            <v>-33.916072367514602</v>
          </cell>
          <cell r="D178">
            <v>18.8471308410159</v>
          </cell>
        </row>
        <row r="179">
          <cell r="A179">
            <v>177</v>
          </cell>
          <cell r="B179" t="str">
            <v>Kayamandi2</v>
          </cell>
          <cell r="C179">
            <v>-33.9149170600422</v>
          </cell>
          <cell r="D179">
            <v>18.847438859451699</v>
          </cell>
        </row>
        <row r="180">
          <cell r="A180">
            <v>178</v>
          </cell>
          <cell r="B180" t="str">
            <v>Kayamandi2</v>
          </cell>
          <cell r="C180">
            <v>-33.9167434299329</v>
          </cell>
          <cell r="D180">
            <v>18.845160696254201</v>
          </cell>
        </row>
        <row r="181">
          <cell r="A181">
            <v>179</v>
          </cell>
          <cell r="B181" t="str">
            <v>Kayamandi2</v>
          </cell>
          <cell r="C181">
            <v>-33.917811959535499</v>
          </cell>
          <cell r="D181">
            <v>18.846570657866799</v>
          </cell>
        </row>
        <row r="182">
          <cell r="A182">
            <v>180</v>
          </cell>
          <cell r="B182" t="str">
            <v>Kayamandi2</v>
          </cell>
          <cell r="C182">
            <v>-33.917228065411201</v>
          </cell>
          <cell r="D182">
            <v>18.845089732154101</v>
          </cell>
        </row>
        <row r="183">
          <cell r="A183">
            <v>181</v>
          </cell>
          <cell r="B183" t="str">
            <v>Kayamandi2</v>
          </cell>
          <cell r="C183">
            <v>-33.918003867470702</v>
          </cell>
          <cell r="D183">
            <v>18.847616272941401</v>
          </cell>
        </row>
        <row r="184">
          <cell r="A184">
            <v>182</v>
          </cell>
          <cell r="B184" t="str">
            <v>Kayamandi2</v>
          </cell>
          <cell r="C184">
            <v>-33.9143644127237</v>
          </cell>
          <cell r="D184">
            <v>18.847026217687699</v>
          </cell>
        </row>
        <row r="185">
          <cell r="A185">
            <v>183</v>
          </cell>
          <cell r="B185" t="str">
            <v>Kayamandi2</v>
          </cell>
          <cell r="C185">
            <v>-33.913540851750398</v>
          </cell>
          <cell r="D185">
            <v>18.845242427878102</v>
          </cell>
        </row>
        <row r="186">
          <cell r="A186">
            <v>184</v>
          </cell>
          <cell r="B186" t="str">
            <v>Kayamandi2</v>
          </cell>
          <cell r="C186">
            <v>-33.914384958514702</v>
          </cell>
          <cell r="D186">
            <v>18.845987320280699</v>
          </cell>
        </row>
        <row r="187">
          <cell r="A187">
            <v>185</v>
          </cell>
          <cell r="B187" t="str">
            <v>Kayamandi2</v>
          </cell>
          <cell r="C187">
            <v>-33.9147790772953</v>
          </cell>
          <cell r="D187">
            <v>18.8456316016843</v>
          </cell>
        </row>
        <row r="188">
          <cell r="A188">
            <v>186</v>
          </cell>
          <cell r="B188" t="str">
            <v>Kayamandi2</v>
          </cell>
          <cell r="C188">
            <v>-33.919093090893398</v>
          </cell>
          <cell r="D188">
            <v>18.844934622860801</v>
          </cell>
        </row>
        <row r="189">
          <cell r="A189">
            <v>187</v>
          </cell>
          <cell r="B189" t="str">
            <v>Kayamandi2</v>
          </cell>
          <cell r="C189">
            <v>-33.914185327511603</v>
          </cell>
          <cell r="D189">
            <v>18.846728636708701</v>
          </cell>
        </row>
        <row r="190">
          <cell r="A190">
            <v>188</v>
          </cell>
          <cell r="B190" t="str">
            <v>Kayamandi2</v>
          </cell>
          <cell r="C190">
            <v>-33.918637457753803</v>
          </cell>
          <cell r="D190">
            <v>18.847610074173598</v>
          </cell>
        </row>
        <row r="191">
          <cell r="A191">
            <v>189</v>
          </cell>
          <cell r="B191" t="str">
            <v>Kayamandi2</v>
          </cell>
          <cell r="C191">
            <v>-33.918164379999602</v>
          </cell>
          <cell r="D191">
            <v>18.847155845531098</v>
          </cell>
        </row>
        <row r="192">
          <cell r="A192">
            <v>190</v>
          </cell>
          <cell r="B192" t="str">
            <v>Kayamandi2</v>
          </cell>
          <cell r="C192">
            <v>-33.9142288539988</v>
          </cell>
          <cell r="D192">
            <v>18.845131628930499</v>
          </cell>
        </row>
        <row r="193">
          <cell r="A193">
            <v>191</v>
          </cell>
          <cell r="B193" t="str">
            <v>Kayamandi2</v>
          </cell>
          <cell r="C193">
            <v>-33.9165572125004</v>
          </cell>
          <cell r="D193">
            <v>18.847592124712499</v>
          </cell>
        </row>
        <row r="194">
          <cell r="A194">
            <v>192</v>
          </cell>
          <cell r="B194" t="str">
            <v>Kayamandi2</v>
          </cell>
          <cell r="C194">
            <v>-33.917306865990199</v>
          </cell>
          <cell r="D194">
            <v>18.8464803370086</v>
          </cell>
        </row>
        <row r="195">
          <cell r="A195">
            <v>193</v>
          </cell>
          <cell r="B195" t="str">
            <v>Kayamandi2</v>
          </cell>
          <cell r="C195">
            <v>-33.916458516475501</v>
          </cell>
          <cell r="D195">
            <v>18.847314083042701</v>
          </cell>
        </row>
        <row r="196">
          <cell r="A196">
            <v>194</v>
          </cell>
          <cell r="B196" t="str">
            <v>Kayamandi2</v>
          </cell>
          <cell r="C196">
            <v>-33.917765998269502</v>
          </cell>
          <cell r="D196">
            <v>18.845353138411198</v>
          </cell>
        </row>
        <row r="197">
          <cell r="A197">
            <v>195</v>
          </cell>
          <cell r="B197" t="str">
            <v>Kayamandi2</v>
          </cell>
          <cell r="C197">
            <v>-33.9125844950781</v>
          </cell>
          <cell r="D197">
            <v>18.847469693073901</v>
          </cell>
        </row>
        <row r="198">
          <cell r="A198">
            <v>196</v>
          </cell>
          <cell r="B198" t="str">
            <v>Kayamandi2</v>
          </cell>
          <cell r="C198">
            <v>-33.914593510412097</v>
          </cell>
          <cell r="D198">
            <v>18.845858122414601</v>
          </cell>
        </row>
        <row r="199">
          <cell r="A199">
            <v>197</v>
          </cell>
          <cell r="B199" t="str">
            <v>Kayamandi2</v>
          </cell>
          <cell r="C199">
            <v>-33.917424419605098</v>
          </cell>
          <cell r="D199">
            <v>18.846037472175201</v>
          </cell>
        </row>
        <row r="200">
          <cell r="A200">
            <v>198</v>
          </cell>
          <cell r="B200" t="str">
            <v>Kayamandi2</v>
          </cell>
          <cell r="C200">
            <v>-33.916153689721199</v>
          </cell>
          <cell r="D200">
            <v>18.846351508240499</v>
          </cell>
        </row>
        <row r="201">
          <cell r="A201">
            <v>199</v>
          </cell>
          <cell r="B201" t="str">
            <v>Kayamandi2</v>
          </cell>
          <cell r="C201">
            <v>-33.9131619254116</v>
          </cell>
          <cell r="D201">
            <v>18.845596702607502</v>
          </cell>
        </row>
        <row r="202">
          <cell r="A202">
            <v>200</v>
          </cell>
          <cell r="B202" t="str">
            <v>Kayamandi2</v>
          </cell>
          <cell r="C202">
            <v>-33.918095787168099</v>
          </cell>
          <cell r="D202">
            <v>18.845198105700899</v>
          </cell>
        </row>
        <row r="203">
          <cell r="A203">
            <v>201</v>
          </cell>
          <cell r="B203" t="str">
            <v>Kayamandi2</v>
          </cell>
          <cell r="C203">
            <v>-33.913484519188103</v>
          </cell>
          <cell r="D203">
            <v>18.846576696995999</v>
          </cell>
        </row>
        <row r="204">
          <cell r="A204">
            <v>202</v>
          </cell>
          <cell r="B204" t="str">
            <v>Kayamandi2</v>
          </cell>
          <cell r="C204">
            <v>-33.912965341722099</v>
          </cell>
          <cell r="D204">
            <v>18.8455595131738</v>
          </cell>
        </row>
        <row r="205">
          <cell r="A205">
            <v>203</v>
          </cell>
          <cell r="B205" t="str">
            <v>Kayamandi2</v>
          </cell>
          <cell r="C205">
            <v>-33.918722277514199</v>
          </cell>
          <cell r="D205">
            <v>18.845745617948602</v>
          </cell>
        </row>
        <row r="206">
          <cell r="A206">
            <v>204</v>
          </cell>
          <cell r="B206" t="str">
            <v>Kayamandi2</v>
          </cell>
          <cell r="C206">
            <v>-33.915591121853801</v>
          </cell>
          <cell r="D206">
            <v>18.845186810482101</v>
          </cell>
        </row>
        <row r="207">
          <cell r="A207">
            <v>205</v>
          </cell>
          <cell r="B207" t="str">
            <v>Kayamandi2</v>
          </cell>
          <cell r="C207">
            <v>-33.914869211692903</v>
          </cell>
          <cell r="D207">
            <v>18.846731859191699</v>
          </cell>
        </row>
        <row r="208">
          <cell r="A208">
            <v>206</v>
          </cell>
          <cell r="B208" t="str">
            <v>Kayamandi2</v>
          </cell>
          <cell r="C208">
            <v>-33.918312407674101</v>
          </cell>
          <cell r="D208">
            <v>18.847017005399</v>
          </cell>
        </row>
        <row r="209">
          <cell r="A209">
            <v>207</v>
          </cell>
          <cell r="B209" t="str">
            <v>Kayamandi2</v>
          </cell>
          <cell r="C209">
            <v>-33.915073275879003</v>
          </cell>
          <cell r="D209">
            <v>18.846373496424398</v>
          </cell>
        </row>
        <row r="210">
          <cell r="A210">
            <v>208</v>
          </cell>
          <cell r="B210" t="str">
            <v>Kayamandi2</v>
          </cell>
          <cell r="C210">
            <v>-33.913793843561102</v>
          </cell>
          <cell r="D210">
            <v>18.845154990433699</v>
          </cell>
        </row>
        <row r="211">
          <cell r="A211">
            <v>209</v>
          </cell>
          <cell r="B211" t="str">
            <v>Kayamandi2</v>
          </cell>
          <cell r="C211">
            <v>-33.917533494370602</v>
          </cell>
          <cell r="D211">
            <v>18.846003814997999</v>
          </cell>
        </row>
        <row r="212">
          <cell r="A212">
            <v>210</v>
          </cell>
          <cell r="B212" t="str">
            <v>Kayamandi2</v>
          </cell>
          <cell r="C212">
            <v>-33.916567585807002</v>
          </cell>
          <cell r="D212">
            <v>18.8452452688873</v>
          </cell>
        </row>
        <row r="213">
          <cell r="A213">
            <v>211</v>
          </cell>
          <cell r="B213" t="str">
            <v>Kayamandi2</v>
          </cell>
          <cell r="C213">
            <v>-33.918405186348998</v>
          </cell>
          <cell r="D213">
            <v>18.847373423047799</v>
          </cell>
        </row>
        <row r="214">
          <cell r="A214">
            <v>212</v>
          </cell>
          <cell r="B214" t="str">
            <v>Kayamandi2</v>
          </cell>
          <cell r="C214">
            <v>-33.912734972031998</v>
          </cell>
          <cell r="D214">
            <v>18.845150206730398</v>
          </cell>
        </row>
        <row r="215">
          <cell r="A215">
            <v>213</v>
          </cell>
          <cell r="B215" t="str">
            <v>Kayamandi2</v>
          </cell>
          <cell r="C215">
            <v>-33.918536762257901</v>
          </cell>
          <cell r="D215">
            <v>18.845461957531398</v>
          </cell>
        </row>
        <row r="216">
          <cell r="A216">
            <v>214</v>
          </cell>
          <cell r="B216" t="str">
            <v>Kayamandi2</v>
          </cell>
          <cell r="C216">
            <v>-33.918262439900801</v>
          </cell>
          <cell r="D216">
            <v>18.847224069434802</v>
          </cell>
        </row>
        <row r="217">
          <cell r="A217">
            <v>215</v>
          </cell>
          <cell r="B217" t="str">
            <v>Kayamandi2</v>
          </cell>
          <cell r="C217">
            <v>-33.9157940706651</v>
          </cell>
          <cell r="D217">
            <v>18.8474948904359</v>
          </cell>
        </row>
        <row r="218">
          <cell r="A218">
            <v>216</v>
          </cell>
          <cell r="B218" t="str">
            <v>Kayamandi2</v>
          </cell>
          <cell r="C218">
            <v>-33.914798920309302</v>
          </cell>
          <cell r="D218">
            <v>18.845844600453098</v>
          </cell>
        </row>
        <row r="219">
          <cell r="A219">
            <v>217</v>
          </cell>
          <cell r="B219" t="str">
            <v>Kayamandi2</v>
          </cell>
          <cell r="C219">
            <v>-33.914000770155603</v>
          </cell>
          <cell r="D219">
            <v>18.847153444380002</v>
          </cell>
        </row>
        <row r="220">
          <cell r="A220">
            <v>218</v>
          </cell>
          <cell r="B220" t="str">
            <v>Kayamandi2</v>
          </cell>
          <cell r="C220">
            <v>-33.915164433139203</v>
          </cell>
          <cell r="D220">
            <v>18.846476399684398</v>
          </cell>
        </row>
        <row r="221">
          <cell r="A221">
            <v>219</v>
          </cell>
          <cell r="B221" t="str">
            <v>Kayamandi2</v>
          </cell>
          <cell r="C221">
            <v>-33.916345705047398</v>
          </cell>
          <cell r="D221">
            <v>18.847448123874798</v>
          </cell>
        </row>
        <row r="222">
          <cell r="A222">
            <v>220</v>
          </cell>
          <cell r="B222" t="str">
            <v>Kayamandi2</v>
          </cell>
          <cell r="C222">
            <v>-33.917192110491897</v>
          </cell>
          <cell r="D222">
            <v>18.844912860188899</v>
          </cell>
        </row>
        <row r="223">
          <cell r="A223">
            <v>221</v>
          </cell>
          <cell r="B223" t="str">
            <v>Kayamandi2</v>
          </cell>
          <cell r="C223">
            <v>-33.917210758512397</v>
          </cell>
          <cell r="D223">
            <v>18.846228870717699</v>
          </cell>
        </row>
        <row r="224">
          <cell r="A224">
            <v>222</v>
          </cell>
          <cell r="B224" t="str">
            <v>Kayamandi2</v>
          </cell>
          <cell r="C224">
            <v>-33.912698375754204</v>
          </cell>
          <cell r="D224">
            <v>18.846175919675598</v>
          </cell>
        </row>
        <row r="225">
          <cell r="A225">
            <v>223</v>
          </cell>
          <cell r="B225" t="str">
            <v>Kayamandi2</v>
          </cell>
          <cell r="C225">
            <v>-33.918325163267703</v>
          </cell>
          <cell r="D225">
            <v>18.846407351919002</v>
          </cell>
        </row>
        <row r="226">
          <cell r="A226">
            <v>224</v>
          </cell>
          <cell r="B226" t="str">
            <v>Kayamandi2</v>
          </cell>
          <cell r="C226">
            <v>-33.918578503459599</v>
          </cell>
          <cell r="D226">
            <v>18.844895385740301</v>
          </cell>
        </row>
        <row r="227">
          <cell r="A227">
            <v>225</v>
          </cell>
          <cell r="B227" t="str">
            <v>Kayamandi2</v>
          </cell>
          <cell r="C227">
            <v>-33.918314743062801</v>
          </cell>
          <cell r="D227">
            <v>18.847179386946198</v>
          </cell>
        </row>
        <row r="228">
          <cell r="A228">
            <v>226</v>
          </cell>
          <cell r="B228" t="str">
            <v>Kayamandi2</v>
          </cell>
          <cell r="C228">
            <v>-33.913357287633303</v>
          </cell>
          <cell r="D228">
            <v>18.845282092578</v>
          </cell>
        </row>
        <row r="229">
          <cell r="A229">
            <v>227</v>
          </cell>
          <cell r="B229" t="str">
            <v>Kayamandi2</v>
          </cell>
          <cell r="C229">
            <v>-33.918627063755501</v>
          </cell>
          <cell r="D229">
            <v>18.846928022545001</v>
          </cell>
        </row>
        <row r="230">
          <cell r="A230">
            <v>228</v>
          </cell>
          <cell r="B230" t="str">
            <v>Kayamandi2</v>
          </cell>
          <cell r="C230">
            <v>-33.915977043841103</v>
          </cell>
          <cell r="D230">
            <v>18.846611646050501</v>
          </cell>
        </row>
        <row r="231">
          <cell r="A231">
            <v>229</v>
          </cell>
          <cell r="B231" t="str">
            <v>Kayamandi2</v>
          </cell>
          <cell r="C231">
            <v>-33.918805969287</v>
          </cell>
          <cell r="D231">
            <v>18.845490263080201</v>
          </cell>
        </row>
        <row r="232">
          <cell r="A232">
            <v>230</v>
          </cell>
          <cell r="B232" t="str">
            <v>Kayamandi2</v>
          </cell>
          <cell r="C232">
            <v>-33.915987674005301</v>
          </cell>
          <cell r="D232">
            <v>18.8463980159942</v>
          </cell>
        </row>
        <row r="233">
          <cell r="A233">
            <v>231</v>
          </cell>
          <cell r="B233" t="str">
            <v>Kayamandi2</v>
          </cell>
          <cell r="C233">
            <v>-33.913361479974903</v>
          </cell>
          <cell r="D233">
            <v>18.845072964065501</v>
          </cell>
        </row>
        <row r="234">
          <cell r="A234">
            <v>232</v>
          </cell>
          <cell r="B234" t="str">
            <v>Kayamandi2</v>
          </cell>
          <cell r="C234">
            <v>-33.915826017525497</v>
          </cell>
          <cell r="D234">
            <v>18.845868733156198</v>
          </cell>
        </row>
        <row r="235">
          <cell r="A235">
            <v>233</v>
          </cell>
          <cell r="B235" t="str">
            <v>Kayamandi2</v>
          </cell>
          <cell r="C235">
            <v>-33.914433529301697</v>
          </cell>
          <cell r="D235">
            <v>18.847055896805902</v>
          </cell>
        </row>
        <row r="236">
          <cell r="A236">
            <v>234</v>
          </cell>
          <cell r="B236" t="str">
            <v>Kayamandi2</v>
          </cell>
          <cell r="C236">
            <v>-33.9138742165986</v>
          </cell>
          <cell r="D236">
            <v>18.845765948200999</v>
          </cell>
        </row>
        <row r="237">
          <cell r="A237">
            <v>235</v>
          </cell>
          <cell r="B237" t="str">
            <v>Kayamandi2</v>
          </cell>
          <cell r="C237">
            <v>-33.913460515546298</v>
          </cell>
          <cell r="D237">
            <v>18.845332491638501</v>
          </cell>
        </row>
        <row r="238">
          <cell r="A238">
            <v>236</v>
          </cell>
          <cell r="B238" t="str">
            <v>Kayamandi2</v>
          </cell>
          <cell r="C238">
            <v>-33.914819324111598</v>
          </cell>
          <cell r="D238">
            <v>18.845750111333501</v>
          </cell>
        </row>
        <row r="239">
          <cell r="A239">
            <v>237</v>
          </cell>
          <cell r="B239" t="str">
            <v>Kayamandi2</v>
          </cell>
          <cell r="C239">
            <v>-33.918746145201098</v>
          </cell>
          <cell r="D239">
            <v>18.847551268161698</v>
          </cell>
        </row>
        <row r="240">
          <cell r="A240">
            <v>238</v>
          </cell>
          <cell r="B240" t="str">
            <v>Kayamandi2</v>
          </cell>
          <cell r="C240">
            <v>-33.915528876757499</v>
          </cell>
          <cell r="D240">
            <v>18.8449855299204</v>
          </cell>
        </row>
        <row r="241">
          <cell r="A241">
            <v>239</v>
          </cell>
          <cell r="B241" t="str">
            <v>Kayamandi2</v>
          </cell>
          <cell r="C241">
            <v>-33.917250544165597</v>
          </cell>
          <cell r="D241">
            <v>18.847103459310599</v>
          </cell>
        </row>
        <row r="242">
          <cell r="A242">
            <v>240</v>
          </cell>
          <cell r="B242" t="str">
            <v>Kayamandi2</v>
          </cell>
          <cell r="C242">
            <v>-33.915399663530401</v>
          </cell>
          <cell r="D242">
            <v>18.844899561579101</v>
          </cell>
        </row>
        <row r="243">
          <cell r="A243">
            <v>241</v>
          </cell>
          <cell r="B243" t="str">
            <v>Kayamandi2</v>
          </cell>
          <cell r="C243">
            <v>-33.914574114421498</v>
          </cell>
          <cell r="D243">
            <v>18.846834838745</v>
          </cell>
        </row>
        <row r="244">
          <cell r="A244">
            <v>242</v>
          </cell>
          <cell r="B244" t="str">
            <v>Kayamandi2</v>
          </cell>
          <cell r="C244">
            <v>-33.916469414539797</v>
          </cell>
          <cell r="D244">
            <v>18.8475997015166</v>
          </cell>
        </row>
        <row r="245">
          <cell r="A245">
            <v>243</v>
          </cell>
          <cell r="B245" t="str">
            <v>Kayamandi2</v>
          </cell>
          <cell r="C245">
            <v>-33.918535111317397</v>
          </cell>
          <cell r="D245">
            <v>18.8450422569632</v>
          </cell>
        </row>
        <row r="246">
          <cell r="A246">
            <v>244</v>
          </cell>
          <cell r="B246" t="str">
            <v>Kayamandi2</v>
          </cell>
          <cell r="C246">
            <v>-33.917853636280697</v>
          </cell>
          <cell r="D246">
            <v>18.846845320959702</v>
          </cell>
        </row>
        <row r="247">
          <cell r="A247">
            <v>245</v>
          </cell>
          <cell r="B247" t="str">
            <v>Kayamandi2</v>
          </cell>
          <cell r="C247">
            <v>-33.914444419724802</v>
          </cell>
          <cell r="D247">
            <v>18.845147896647202</v>
          </cell>
        </row>
        <row r="248">
          <cell r="A248">
            <v>246</v>
          </cell>
          <cell r="B248" t="str">
            <v>Kayamandi2</v>
          </cell>
          <cell r="C248">
            <v>-33.914192321198598</v>
          </cell>
          <cell r="D248">
            <v>18.8473733151122</v>
          </cell>
        </row>
        <row r="249">
          <cell r="A249">
            <v>247</v>
          </cell>
          <cell r="B249" t="str">
            <v>Kayamandi2</v>
          </cell>
          <cell r="C249">
            <v>-33.912623502821504</v>
          </cell>
          <cell r="D249">
            <v>18.8473867527115</v>
          </cell>
        </row>
        <row r="250">
          <cell r="A250">
            <v>248</v>
          </cell>
          <cell r="B250" t="str">
            <v>Kayamandi2</v>
          </cell>
          <cell r="C250">
            <v>-33.912913757534</v>
          </cell>
          <cell r="D250">
            <v>18.845319418028801</v>
          </cell>
        </row>
        <row r="251">
          <cell r="A251">
            <v>249</v>
          </cell>
          <cell r="B251" t="str">
            <v>Kayamandi2</v>
          </cell>
          <cell r="C251">
            <v>-33.914784004156303</v>
          </cell>
          <cell r="D251">
            <v>18.847045346443998</v>
          </cell>
        </row>
        <row r="252">
          <cell r="A252">
            <v>250</v>
          </cell>
          <cell r="B252" t="str">
            <v>Kayamandi2</v>
          </cell>
          <cell r="C252">
            <v>-33.9151151654046</v>
          </cell>
          <cell r="D252">
            <v>18.845119442578799</v>
          </cell>
        </row>
        <row r="253">
          <cell r="A253">
            <v>251</v>
          </cell>
          <cell r="B253" t="str">
            <v>Kayamandi2</v>
          </cell>
          <cell r="C253">
            <v>-33.917379975172103</v>
          </cell>
          <cell r="D253">
            <v>18.845362180776299</v>
          </cell>
        </row>
        <row r="254">
          <cell r="A254">
            <v>252</v>
          </cell>
          <cell r="B254" t="str">
            <v>Kayamandi2</v>
          </cell>
          <cell r="C254">
            <v>-33.912432386479999</v>
          </cell>
          <cell r="D254">
            <v>18.846997202989201</v>
          </cell>
        </row>
        <row r="255">
          <cell r="A255">
            <v>253</v>
          </cell>
          <cell r="B255" t="str">
            <v>Kayamandi2</v>
          </cell>
          <cell r="C255">
            <v>-33.918076208484798</v>
          </cell>
          <cell r="D255">
            <v>18.847122944709501</v>
          </cell>
        </row>
        <row r="256">
          <cell r="A256">
            <v>254</v>
          </cell>
          <cell r="B256" t="str">
            <v>Kayamandi2</v>
          </cell>
          <cell r="C256">
            <v>-33.916413353667998</v>
          </cell>
          <cell r="D256">
            <v>18.846298378120899</v>
          </cell>
        </row>
        <row r="257">
          <cell r="A257">
            <v>255</v>
          </cell>
          <cell r="B257" t="str">
            <v>Kayamandi2</v>
          </cell>
          <cell r="C257">
            <v>-33.917088651082402</v>
          </cell>
          <cell r="D257">
            <v>18.846965974685901</v>
          </cell>
        </row>
        <row r="258">
          <cell r="A258">
            <v>256</v>
          </cell>
          <cell r="B258" t="str">
            <v>Kayamandi2</v>
          </cell>
          <cell r="C258">
            <v>-33.9190925677092</v>
          </cell>
          <cell r="D258">
            <v>18.845662073191299</v>
          </cell>
        </row>
        <row r="259">
          <cell r="A259">
            <v>257</v>
          </cell>
          <cell r="B259" t="str">
            <v>Kayamandi2</v>
          </cell>
          <cell r="C259">
            <v>-33.917105374532603</v>
          </cell>
          <cell r="D259">
            <v>18.845315980707898</v>
          </cell>
        </row>
        <row r="260">
          <cell r="A260">
            <v>258</v>
          </cell>
          <cell r="B260" t="str">
            <v>Kayamandi2</v>
          </cell>
          <cell r="C260">
            <v>-33.913976305518702</v>
          </cell>
          <cell r="D260">
            <v>18.846214337140701</v>
          </cell>
        </row>
        <row r="261">
          <cell r="A261">
            <v>259</v>
          </cell>
          <cell r="B261" t="str">
            <v>Kayamandi2</v>
          </cell>
          <cell r="C261">
            <v>-33.916959079469201</v>
          </cell>
          <cell r="D261">
            <v>18.8454565452598</v>
          </cell>
        </row>
        <row r="262">
          <cell r="A262">
            <v>260</v>
          </cell>
          <cell r="B262" t="str">
            <v>Kayamandi2</v>
          </cell>
          <cell r="C262">
            <v>-33.913700789364</v>
          </cell>
          <cell r="D262">
            <v>18.847440394556401</v>
          </cell>
        </row>
        <row r="263">
          <cell r="A263">
            <v>261</v>
          </cell>
          <cell r="B263" t="str">
            <v>Kayamandi2</v>
          </cell>
          <cell r="C263">
            <v>-33.9130046106824</v>
          </cell>
          <cell r="D263">
            <v>18.846724402284099</v>
          </cell>
        </row>
        <row r="264">
          <cell r="A264">
            <v>262</v>
          </cell>
          <cell r="B264" t="str">
            <v>Kayamandi2</v>
          </cell>
          <cell r="C264">
            <v>-33.912578041663501</v>
          </cell>
          <cell r="D264">
            <v>18.8451248492084</v>
          </cell>
        </row>
        <row r="265">
          <cell r="A265">
            <v>263</v>
          </cell>
          <cell r="B265" t="str">
            <v>Kayamandi2</v>
          </cell>
          <cell r="C265">
            <v>-33.913617458097001</v>
          </cell>
          <cell r="D265">
            <v>18.846761004654802</v>
          </cell>
        </row>
        <row r="266">
          <cell r="A266">
            <v>264</v>
          </cell>
          <cell r="B266" t="str">
            <v>Kayamandi2</v>
          </cell>
          <cell r="C266">
            <v>-33.918116652613399</v>
          </cell>
          <cell r="D266">
            <v>18.847461617196899</v>
          </cell>
        </row>
        <row r="267">
          <cell r="A267">
            <v>265</v>
          </cell>
          <cell r="B267" t="str">
            <v>Kayamandi2</v>
          </cell>
          <cell r="C267">
            <v>-33.915881722765398</v>
          </cell>
          <cell r="D267">
            <v>18.847329387501102</v>
          </cell>
        </row>
        <row r="268">
          <cell r="A268">
            <v>266</v>
          </cell>
          <cell r="B268" t="str">
            <v>Kayamandi2</v>
          </cell>
          <cell r="C268">
            <v>-33.914357186902997</v>
          </cell>
          <cell r="D268">
            <v>18.8454878474761</v>
          </cell>
        </row>
        <row r="269">
          <cell r="A269">
            <v>267</v>
          </cell>
          <cell r="B269" t="str">
            <v>Kayamandi2</v>
          </cell>
          <cell r="C269">
            <v>-33.914768521476802</v>
          </cell>
          <cell r="D269">
            <v>18.845236835355301</v>
          </cell>
        </row>
        <row r="270">
          <cell r="A270">
            <v>268</v>
          </cell>
          <cell r="B270" t="str">
            <v>Kayamandi2</v>
          </cell>
          <cell r="C270">
            <v>-33.918674456878598</v>
          </cell>
          <cell r="D270">
            <v>18.846668587612601</v>
          </cell>
        </row>
        <row r="271">
          <cell r="A271">
            <v>269</v>
          </cell>
          <cell r="B271" t="str">
            <v>Kayamandi2</v>
          </cell>
          <cell r="C271">
            <v>-33.917778308755103</v>
          </cell>
          <cell r="D271">
            <v>18.845186361069199</v>
          </cell>
        </row>
        <row r="272">
          <cell r="A272">
            <v>270</v>
          </cell>
          <cell r="B272" t="str">
            <v>Kayamandi2</v>
          </cell>
          <cell r="C272">
            <v>-33.916341387144598</v>
          </cell>
          <cell r="D272">
            <v>18.846361452726001</v>
          </cell>
        </row>
        <row r="273">
          <cell r="A273">
            <v>271</v>
          </cell>
          <cell r="B273" t="str">
            <v>Kayamandi2</v>
          </cell>
          <cell r="C273">
            <v>-33.915823092239002</v>
          </cell>
          <cell r="D273">
            <v>18.847432504167902</v>
          </cell>
        </row>
        <row r="274">
          <cell r="A274">
            <v>272</v>
          </cell>
          <cell r="B274" t="str">
            <v>Kayamandi2</v>
          </cell>
          <cell r="C274">
            <v>-33.913051698825299</v>
          </cell>
          <cell r="D274">
            <v>18.847353055246099</v>
          </cell>
        </row>
        <row r="275">
          <cell r="A275">
            <v>273</v>
          </cell>
          <cell r="B275" t="str">
            <v>Kayamandi2</v>
          </cell>
          <cell r="C275">
            <v>-33.9165070171114</v>
          </cell>
          <cell r="D275">
            <v>18.845699456400499</v>
          </cell>
        </row>
        <row r="276">
          <cell r="A276">
            <v>274</v>
          </cell>
          <cell r="B276" t="str">
            <v>Kayamandi2</v>
          </cell>
          <cell r="C276">
            <v>-33.913601139750199</v>
          </cell>
          <cell r="D276">
            <v>18.8472414530079</v>
          </cell>
        </row>
        <row r="277">
          <cell r="A277">
            <v>275</v>
          </cell>
          <cell r="B277" t="str">
            <v>Kayamandi2</v>
          </cell>
          <cell r="C277">
            <v>-33.918866297251597</v>
          </cell>
          <cell r="D277">
            <v>18.8469320223005</v>
          </cell>
        </row>
        <row r="278">
          <cell r="A278">
            <v>276</v>
          </cell>
          <cell r="B278" t="str">
            <v>Kayamandi2</v>
          </cell>
          <cell r="C278">
            <v>-33.9132494851724</v>
          </cell>
          <cell r="D278">
            <v>18.8451613746387</v>
          </cell>
        </row>
        <row r="279">
          <cell r="A279">
            <v>277</v>
          </cell>
          <cell r="B279" t="str">
            <v>Kayamandi2</v>
          </cell>
          <cell r="C279">
            <v>-33.918651969438997</v>
          </cell>
          <cell r="D279">
            <v>18.845962422902101</v>
          </cell>
        </row>
        <row r="280">
          <cell r="A280">
            <v>278</v>
          </cell>
          <cell r="B280" t="str">
            <v>Kayamandi2</v>
          </cell>
          <cell r="C280">
            <v>-33.918278039201098</v>
          </cell>
          <cell r="D280">
            <v>18.846321478317599</v>
          </cell>
        </row>
        <row r="281">
          <cell r="A281">
            <v>279</v>
          </cell>
          <cell r="B281" t="str">
            <v>Kayamandi2</v>
          </cell>
          <cell r="C281">
            <v>-33.915421446602203</v>
          </cell>
          <cell r="D281">
            <v>18.847198449915801</v>
          </cell>
        </row>
        <row r="282">
          <cell r="A282">
            <v>280</v>
          </cell>
          <cell r="B282" t="str">
            <v>Kayamandi2</v>
          </cell>
          <cell r="C282">
            <v>-33.9149298594714</v>
          </cell>
          <cell r="D282">
            <v>18.846235403286801</v>
          </cell>
        </row>
        <row r="283">
          <cell r="A283">
            <v>281</v>
          </cell>
          <cell r="B283" t="str">
            <v>Kayamandi2</v>
          </cell>
          <cell r="C283">
            <v>-33.918317347408703</v>
          </cell>
          <cell r="D283">
            <v>18.845940978569899</v>
          </cell>
        </row>
        <row r="284">
          <cell r="A284">
            <v>282</v>
          </cell>
          <cell r="B284" t="str">
            <v>Kayamandi2</v>
          </cell>
          <cell r="C284">
            <v>-33.915942435385503</v>
          </cell>
          <cell r="D284">
            <v>18.845460870987399</v>
          </cell>
        </row>
        <row r="285">
          <cell r="A285">
            <v>283</v>
          </cell>
          <cell r="B285" t="str">
            <v>Kayamandi2</v>
          </cell>
          <cell r="C285">
            <v>-33.918384577936003</v>
          </cell>
          <cell r="D285">
            <v>18.846421346647201</v>
          </cell>
        </row>
        <row r="286">
          <cell r="A286">
            <v>284</v>
          </cell>
          <cell r="B286" t="str">
            <v>Kayamandi2</v>
          </cell>
          <cell r="C286">
            <v>-33.918485043313297</v>
          </cell>
          <cell r="D286">
            <v>18.845333594123598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gbiti Monzambe" id="{5C15C9AB-EF2A-4AF4-BAC8-77C8CA6D1556}" userId="S::MONZAMBEM@cput.ac.za::266a50d2-9b56-4ee6-a539-b413f537d8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4-03T11:51:12.42" personId="{5C15C9AB-EF2A-4AF4-BAC8-77C8CA6D1556}" id="{D3D1BFDC-DD59-4440-A097-CA3C4ED5F1A0}">
    <text>B/4 bcoz on avg 4 households share 1 dustbin</text>
  </threadedComment>
  <threadedComment ref="D1" dT="2024-04-03T11:51:45.56" personId="{5C15C9AB-EF2A-4AF4-BAC8-77C8CA6D1556}" id="{99883CB7-7F9B-453A-9E2B-7524EAEBA76B}">
    <text>c/10 bcoz 1 pup is used for 10 bins on avg.</text>
  </threadedComment>
  <threadedComment ref="K1" dT="2024-03-20T09:32:37.82" personId="{5C15C9AB-EF2A-4AF4-BAC8-77C8CA6D1556}" id="{5C79C63F-2C06-4EA9-818A-B9ECFAE3A25B}">
    <text>In kg/capita/day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4-05-15T13:21:26.79" personId="{5C15C9AB-EF2A-4AF4-BAC8-77C8CA6D1556}" id="{0719133A-1A97-484F-AFB0-78516BA142F2}">
    <text>In kg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Uniepark,_Western_Cape" TargetMode="External"/><Relationship Id="rId3" Type="http://schemas.openxmlformats.org/officeDocument/2006/relationships/hyperlink" Target="https://en.wikipedia.org/wiki/Jamestown,_Western_Cape" TargetMode="External"/><Relationship Id="rId7" Type="http://schemas.openxmlformats.org/officeDocument/2006/relationships/hyperlink" Target="https://en.wikipedia.org/wiki/Rozendal" TargetMode="External"/><Relationship Id="rId2" Type="http://schemas.openxmlformats.org/officeDocument/2006/relationships/hyperlink" Target="https://en.wikipedia.org/wiki/Dalsig" TargetMode="External"/><Relationship Id="rId1" Type="http://schemas.openxmlformats.org/officeDocument/2006/relationships/hyperlink" Target="https://en.wikipedia.org/wiki/Cloetesville" TargetMode="External"/><Relationship Id="rId6" Type="http://schemas.openxmlformats.org/officeDocument/2006/relationships/hyperlink" Target="https://en.wikipedia.org/wiki/Mostertsdrift,_Western_Cape" TargetMode="External"/><Relationship Id="rId5" Type="http://schemas.openxmlformats.org/officeDocument/2006/relationships/hyperlink" Target="https://en.wikipedia.org/wiki/Kylemore,_Western_Cape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en.wikipedia.org/wiki/Kayamandi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comments" Target="../comments2.xml"/><Relationship Id="rId4" Type="http://schemas.openxmlformats.org/officeDocument/2006/relationships/image" Target="../media/image2.emf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activeCell="P15" sqref="P15"/>
    </sheetView>
  </sheetViews>
  <sheetFormatPr defaultRowHeight="13.8"/>
  <cols>
    <col min="1" max="1" width="14.09765625" bestFit="1" customWidth="1"/>
    <col min="2" max="2" width="15.19921875" customWidth="1"/>
    <col min="3" max="3" width="14.3984375" customWidth="1"/>
    <col min="4" max="4" width="16.59765625" customWidth="1"/>
    <col min="14" max="14" width="11.19921875" bestFit="1" customWidth="1"/>
  </cols>
  <sheetData>
    <row r="1" spans="1:14">
      <c r="B1" t="s">
        <v>7</v>
      </c>
    </row>
    <row r="2" spans="1:14">
      <c r="N2" s="2" t="s">
        <v>8</v>
      </c>
    </row>
    <row r="3" spans="1:14">
      <c r="B3">
        <v>2015</v>
      </c>
      <c r="C3">
        <v>2018</v>
      </c>
      <c r="D3">
        <v>2021</v>
      </c>
      <c r="N3" s="2" t="s">
        <v>9</v>
      </c>
    </row>
    <row r="4" spans="1:14">
      <c r="A4" t="s">
        <v>0</v>
      </c>
      <c r="B4" s="1"/>
      <c r="C4" s="1">
        <v>87361</v>
      </c>
      <c r="D4" s="1">
        <v>81650</v>
      </c>
      <c r="N4" s="2" t="s">
        <v>10</v>
      </c>
    </row>
    <row r="5" spans="1:14" ht="18" customHeight="1">
      <c r="A5" t="s">
        <v>1</v>
      </c>
      <c r="B5" s="1">
        <v>72719</v>
      </c>
      <c r="C5" s="1">
        <v>71908</v>
      </c>
      <c r="D5" s="1">
        <v>67798</v>
      </c>
      <c r="N5" s="3" t="s">
        <v>11</v>
      </c>
    </row>
    <row r="6" spans="1:14">
      <c r="A6" t="s">
        <v>2</v>
      </c>
      <c r="B6" s="1">
        <v>63728</v>
      </c>
      <c r="C6" s="1">
        <v>65315</v>
      </c>
      <c r="D6" s="1">
        <v>63733</v>
      </c>
      <c r="N6" s="2" t="s">
        <v>12</v>
      </c>
    </row>
    <row r="7" spans="1:14">
      <c r="A7" t="s">
        <v>3</v>
      </c>
      <c r="B7" s="1">
        <v>78750</v>
      </c>
      <c r="C7" s="1">
        <v>76861</v>
      </c>
      <c r="D7" s="1">
        <v>71183</v>
      </c>
      <c r="N7" s="3" t="s">
        <v>13</v>
      </c>
    </row>
    <row r="8" spans="1:14">
      <c r="A8" t="s">
        <v>4</v>
      </c>
      <c r="B8" s="1">
        <v>92980</v>
      </c>
      <c r="C8" s="1">
        <v>90569</v>
      </c>
      <c r="D8" s="1">
        <v>84325</v>
      </c>
      <c r="N8" s="2" t="s">
        <v>14</v>
      </c>
    </row>
    <row r="9" spans="1:14">
      <c r="A9" t="s">
        <v>5</v>
      </c>
      <c r="B9" s="1">
        <v>62510</v>
      </c>
      <c r="C9" s="1">
        <v>62237</v>
      </c>
      <c r="D9" s="1">
        <v>58951</v>
      </c>
      <c r="N9" s="2" t="s">
        <v>15</v>
      </c>
    </row>
    <row r="10" spans="1:14">
      <c r="A10" t="s">
        <v>6</v>
      </c>
      <c r="B10" s="1">
        <v>55714</v>
      </c>
      <c r="C10" s="1">
        <v>56009</v>
      </c>
      <c r="D10" s="1">
        <v>54374</v>
      </c>
      <c r="N10" s="2" t="s">
        <v>16</v>
      </c>
    </row>
    <row r="11" spans="1:14">
      <c r="N11" s="2" t="s">
        <v>17</v>
      </c>
    </row>
    <row r="12" spans="1:14" ht="40.799999999999997">
      <c r="N12" s="2" t="s">
        <v>18</v>
      </c>
    </row>
    <row r="13" spans="1:14">
      <c r="N13" s="2" t="s">
        <v>19</v>
      </c>
    </row>
    <row r="14" spans="1:14">
      <c r="N14" s="2" t="s">
        <v>20</v>
      </c>
    </row>
    <row r="15" spans="1:14" ht="27.6">
      <c r="N15" s="3" t="s">
        <v>21</v>
      </c>
    </row>
    <row r="16" spans="1:14">
      <c r="N16" s="2" t="s">
        <v>22</v>
      </c>
    </row>
    <row r="17" spans="14:14">
      <c r="N17" s="2" t="s">
        <v>23</v>
      </c>
    </row>
    <row r="18" spans="14:14" ht="27.6">
      <c r="N18" s="3" t="s">
        <v>24</v>
      </c>
    </row>
    <row r="19" spans="14:14">
      <c r="N19" s="2" t="s">
        <v>25</v>
      </c>
    </row>
    <row r="20" spans="14:14">
      <c r="N20" s="2" t="s">
        <v>26</v>
      </c>
    </row>
    <row r="21" spans="14:14">
      <c r="N21" s="2" t="s">
        <v>27</v>
      </c>
    </row>
    <row r="22" spans="14:14">
      <c r="N22" s="3" t="s">
        <v>28</v>
      </c>
    </row>
    <row r="23" spans="14:14">
      <c r="N23" s="2" t="s">
        <v>29</v>
      </c>
    </row>
    <row r="24" spans="14:14">
      <c r="N24" s="2" t="s">
        <v>30</v>
      </c>
    </row>
    <row r="25" spans="14:14">
      <c r="N25" s="2" t="s">
        <v>31</v>
      </c>
    </row>
    <row r="26" spans="14:14">
      <c r="N26" s="2" t="s">
        <v>32</v>
      </c>
    </row>
    <row r="27" spans="14:14" ht="27.6">
      <c r="N27" s="3" t="s">
        <v>33</v>
      </c>
    </row>
    <row r="28" spans="14:14" ht="51">
      <c r="N28" s="2" t="s">
        <v>34</v>
      </c>
    </row>
    <row r="29" spans="14:14">
      <c r="N29" s="2" t="s">
        <v>35</v>
      </c>
    </row>
    <row r="30" spans="14:14">
      <c r="N30" s="2" t="s">
        <v>36</v>
      </c>
    </row>
    <row r="31" spans="14:14">
      <c r="N31" s="2" t="s">
        <v>37</v>
      </c>
    </row>
    <row r="32" spans="14:14">
      <c r="N32" s="2" t="s">
        <v>38</v>
      </c>
    </row>
    <row r="33" spans="14:14">
      <c r="N33" s="3" t="s">
        <v>39</v>
      </c>
    </row>
    <row r="34" spans="14:14">
      <c r="N34" s="2" t="s">
        <v>40</v>
      </c>
    </row>
    <row r="35" spans="14:14">
      <c r="N35" s="2" t="s">
        <v>41</v>
      </c>
    </row>
    <row r="36" spans="14:14">
      <c r="N36" s="2" t="s">
        <v>42</v>
      </c>
    </row>
    <row r="37" spans="14:14">
      <c r="N37" s="2" t="s">
        <v>43</v>
      </c>
    </row>
    <row r="38" spans="14:14">
      <c r="N38" s="2" t="s">
        <v>44</v>
      </c>
    </row>
    <row r="39" spans="14:14">
      <c r="N39" s="2" t="s">
        <v>45</v>
      </c>
    </row>
    <row r="40" spans="14:14">
      <c r="N40" s="3" t="s">
        <v>46</v>
      </c>
    </row>
    <row r="41" spans="14:14" ht="20.399999999999999">
      <c r="N41" s="2" t="s">
        <v>47</v>
      </c>
    </row>
    <row r="42" spans="14:14">
      <c r="N42" s="2" t="s">
        <v>48</v>
      </c>
    </row>
    <row r="43" spans="14:14">
      <c r="N43" s="2" t="s">
        <v>49</v>
      </c>
    </row>
    <row r="44" spans="14:14">
      <c r="N44" s="2" t="s">
        <v>29</v>
      </c>
    </row>
    <row r="45" spans="14:14">
      <c r="N45" s="2" t="s">
        <v>50</v>
      </c>
    </row>
  </sheetData>
  <hyperlinks>
    <hyperlink ref="N5" r:id="rId1" tooltip="Cloetesville" display="https://en.wikipedia.org/wiki/Cloetesville"/>
    <hyperlink ref="N7" r:id="rId2" tooltip="Dalsig" display="https://en.wikipedia.org/wiki/Dalsig"/>
    <hyperlink ref="N15" r:id="rId3" tooltip="Jamestown, Western Cape" display="https://en.wikipedia.org/wiki/Jamestown,_Western_Cape"/>
    <hyperlink ref="N18" r:id="rId4" tooltip="Kayamandi" display="https://en.wikipedia.org/wiki/Kayamandi"/>
    <hyperlink ref="N22" r:id="rId5" tooltip="Kylemore, Western Cape" display="https://en.wikipedia.org/wiki/Kylemore,_Western_Cape"/>
    <hyperlink ref="N27" r:id="rId6" tooltip="Mostertsdrift, Western Cape" display="https://en.wikipedia.org/wiki/Mostertsdrift,_Western_Cape"/>
    <hyperlink ref="N33" r:id="rId7" tooltip="Rozendal" display="https://en.wikipedia.org/wiki/Rozendal"/>
    <hyperlink ref="N40" r:id="rId8" tooltip="Uniepark, Western Cape" display="https://en.wikipedia.org/wiki/Uniepark,_Western_Cape"/>
  </hyperlinks>
  <pageMargins left="0.7" right="0.7" top="0.75" bottom="0.75" header="0.3" footer="0.3"/>
  <pageSetup paperSize="9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6"/>
  <sheetViews>
    <sheetView workbookViewId="0">
      <selection activeCell="K10" sqref="K10"/>
    </sheetView>
  </sheetViews>
  <sheetFormatPr defaultRowHeight="13.8"/>
  <cols>
    <col min="3" max="3" width="11.69921875" customWidth="1"/>
    <col min="9" max="9" width="14" bestFit="1" customWidth="1"/>
    <col min="10" max="10" width="10.59765625" bestFit="1" customWidth="1"/>
  </cols>
  <sheetData>
    <row r="1" spans="1:10">
      <c r="A1" t="s">
        <v>108</v>
      </c>
      <c r="B1" t="s">
        <v>115</v>
      </c>
      <c r="C1" t="s">
        <v>109</v>
      </c>
      <c r="D1" t="s">
        <v>110</v>
      </c>
      <c r="E1" t="s">
        <v>111</v>
      </c>
      <c r="F1" t="s">
        <v>102</v>
      </c>
      <c r="G1" t="s">
        <v>103</v>
      </c>
      <c r="H1" t="s">
        <v>112</v>
      </c>
      <c r="I1" t="s">
        <v>113</v>
      </c>
      <c r="J1" t="s">
        <v>114</v>
      </c>
    </row>
    <row r="2" spans="1:10">
      <c r="A2">
        <v>0</v>
      </c>
      <c r="B2">
        <v>0</v>
      </c>
      <c r="C2" t="s">
        <v>46</v>
      </c>
      <c r="D2" s="24">
        <v>-33.930654513458599</v>
      </c>
      <c r="E2" s="24">
        <v>18.886916122156499</v>
      </c>
      <c r="F2" s="24">
        <v>4.3799999999999999E-2</v>
      </c>
      <c r="G2" s="24">
        <v>0.1096</v>
      </c>
      <c r="H2" s="24">
        <v>6.5750000000000003E-2</v>
      </c>
      <c r="I2" s="24">
        <v>2679.127</v>
      </c>
      <c r="J2" s="24">
        <v>7316.3770000000004</v>
      </c>
    </row>
    <row r="3" spans="1:10">
      <c r="A3">
        <v>1</v>
      </c>
      <c r="B3">
        <v>0</v>
      </c>
      <c r="C3" t="s">
        <v>46</v>
      </c>
      <c r="D3" s="24">
        <v>-33.929716461482101</v>
      </c>
      <c r="E3" s="24">
        <v>18.883510883195299</v>
      </c>
      <c r="F3" s="24">
        <v>4.3799999999999999E-2</v>
      </c>
      <c r="G3" s="24">
        <v>0.1096</v>
      </c>
      <c r="H3" s="24">
        <v>6.5750000000000003E-2</v>
      </c>
      <c r="I3" s="24">
        <v>1697.1479999999999</v>
      </c>
      <c r="J3" s="24">
        <v>6742.7730000000001</v>
      </c>
    </row>
    <row r="4" spans="1:10">
      <c r="A4">
        <v>2</v>
      </c>
      <c r="B4">
        <v>0</v>
      </c>
      <c r="C4" t="s">
        <v>46</v>
      </c>
      <c r="D4" s="24">
        <v>-33.9326657427507</v>
      </c>
      <c r="E4" s="24">
        <v>18.886876777424</v>
      </c>
      <c r="F4" s="24">
        <v>4.3799999999999999E-2</v>
      </c>
      <c r="G4" s="24">
        <v>0.1096</v>
      </c>
      <c r="H4" s="24">
        <v>6.5750000000000003E-2</v>
      </c>
      <c r="I4" s="24">
        <v>2266.078</v>
      </c>
      <c r="J4" s="24">
        <v>6903.3289999999997</v>
      </c>
    </row>
    <row r="5" spans="1:10">
      <c r="A5">
        <v>3</v>
      </c>
      <c r="B5">
        <v>0</v>
      </c>
      <c r="C5" t="s">
        <v>46</v>
      </c>
      <c r="D5" s="24">
        <v>-33.931232088037603</v>
      </c>
      <c r="E5" s="24">
        <v>18.883822168908001</v>
      </c>
      <c r="F5" s="24">
        <v>4.3799999999999999E-2</v>
      </c>
      <c r="G5" s="24">
        <v>0.1096</v>
      </c>
      <c r="H5" s="24">
        <v>6.5750000000000003E-2</v>
      </c>
      <c r="I5" s="24">
        <v>1645.222</v>
      </c>
      <c r="J5" s="24">
        <v>6690.8469999999998</v>
      </c>
    </row>
    <row r="6" spans="1:10">
      <c r="A6">
        <v>4</v>
      </c>
      <c r="B6">
        <v>0</v>
      </c>
      <c r="C6" t="s">
        <v>46</v>
      </c>
      <c r="D6" s="24">
        <v>-33.927951134337697</v>
      </c>
      <c r="E6" s="24">
        <v>18.882125687391401</v>
      </c>
      <c r="F6" s="24">
        <v>4.3799999999999999E-2</v>
      </c>
      <c r="G6" s="24">
        <v>0.1096</v>
      </c>
      <c r="H6" s="24">
        <v>6.5750000000000003E-2</v>
      </c>
      <c r="I6" s="24">
        <v>1551.655</v>
      </c>
      <c r="J6" s="24">
        <v>6597.28</v>
      </c>
    </row>
    <row r="7" spans="1:10">
      <c r="A7">
        <v>5</v>
      </c>
      <c r="B7">
        <v>0</v>
      </c>
      <c r="C7" t="s">
        <v>46</v>
      </c>
      <c r="D7" s="24">
        <v>-33.933051306022797</v>
      </c>
      <c r="E7" s="24">
        <v>18.887937387077301</v>
      </c>
      <c r="F7" s="24">
        <v>4.3799999999999999E-2</v>
      </c>
      <c r="G7" s="24">
        <v>0.1096</v>
      </c>
      <c r="H7" s="24">
        <v>6.5750000000000003E-2</v>
      </c>
      <c r="I7" s="24">
        <v>2202.5749999999998</v>
      </c>
      <c r="J7" s="24">
        <v>6839.826</v>
      </c>
    </row>
    <row r="8" spans="1:10">
      <c r="A8">
        <v>6</v>
      </c>
      <c r="B8">
        <v>0</v>
      </c>
      <c r="C8" t="s">
        <v>46</v>
      </c>
      <c r="D8" s="24">
        <v>-33.931363696359497</v>
      </c>
      <c r="E8" s="24">
        <v>18.886147679039698</v>
      </c>
      <c r="F8" s="24">
        <v>4.3799999999999999E-2</v>
      </c>
      <c r="G8" s="24">
        <v>0.1096</v>
      </c>
      <c r="H8" s="24">
        <v>6.5750000000000003E-2</v>
      </c>
      <c r="I8" s="24">
        <v>2549.797</v>
      </c>
      <c r="J8" s="24">
        <v>7187.0469999999996</v>
      </c>
    </row>
    <row r="9" spans="1:10">
      <c r="A9">
        <v>7</v>
      </c>
      <c r="B9">
        <v>0</v>
      </c>
      <c r="C9" t="s">
        <v>46</v>
      </c>
      <c r="D9" s="24">
        <v>-33.9305061101417</v>
      </c>
      <c r="E9" s="24">
        <v>18.891216355450101</v>
      </c>
      <c r="F9" s="24">
        <v>4.3799999999999999E-2</v>
      </c>
      <c r="G9" s="24">
        <v>0.1096</v>
      </c>
      <c r="H9" s="24">
        <v>6.5750000000000003E-2</v>
      </c>
      <c r="I9" s="24">
        <v>2626.2049999999999</v>
      </c>
      <c r="J9" s="24">
        <v>7263.4560000000001</v>
      </c>
    </row>
    <row r="10" spans="1:10">
      <c r="A10">
        <v>8</v>
      </c>
      <c r="B10">
        <v>0</v>
      </c>
      <c r="C10" t="s">
        <v>46</v>
      </c>
      <c r="D10" s="24">
        <v>-33.930482768375803</v>
      </c>
      <c r="E10" s="24">
        <v>18.8864136027582</v>
      </c>
      <c r="F10" s="24">
        <v>4.3799999999999999E-2</v>
      </c>
      <c r="G10" s="24">
        <v>0.1096</v>
      </c>
      <c r="H10" s="24">
        <v>6.5750000000000003E-2</v>
      </c>
      <c r="I10" s="24">
        <v>2338.279</v>
      </c>
      <c r="J10" s="24">
        <v>7383.9030000000002</v>
      </c>
    </row>
    <row r="11" spans="1:10">
      <c r="A11">
        <v>9</v>
      </c>
      <c r="B11">
        <v>0</v>
      </c>
      <c r="C11" t="s">
        <v>46</v>
      </c>
      <c r="D11" s="24">
        <v>-33.929094173734001</v>
      </c>
      <c r="E11" s="24">
        <v>18.890870329291001</v>
      </c>
      <c r="F11" s="24">
        <v>4.3799999999999999E-2</v>
      </c>
      <c r="G11" s="24">
        <v>0.1096</v>
      </c>
      <c r="H11" s="24">
        <v>6.5750000000000003E-2</v>
      </c>
      <c r="I11" s="24">
        <v>3109.1669999999999</v>
      </c>
      <c r="J11" s="24">
        <v>8167.5820000000003</v>
      </c>
    </row>
    <row r="12" spans="1:10">
      <c r="A12">
        <v>10</v>
      </c>
      <c r="B12">
        <v>0</v>
      </c>
      <c r="C12" t="s">
        <v>46</v>
      </c>
      <c r="D12" s="24">
        <v>-33.930209287480302</v>
      </c>
      <c r="E12" s="24">
        <v>18.887019397299699</v>
      </c>
      <c r="F12" s="24">
        <v>4.3799999999999999E-2</v>
      </c>
      <c r="G12" s="24">
        <v>0.1096</v>
      </c>
      <c r="H12" s="24">
        <v>6.5750000000000003E-2</v>
      </c>
      <c r="I12" s="24">
        <v>2679.127</v>
      </c>
      <c r="J12" s="24">
        <v>7316.3770000000004</v>
      </c>
    </row>
    <row r="13" spans="1:10">
      <c r="A13">
        <v>11</v>
      </c>
      <c r="B13">
        <v>0</v>
      </c>
      <c r="C13" t="s">
        <v>46</v>
      </c>
      <c r="D13" s="24">
        <v>-33.9292154791396</v>
      </c>
      <c r="E13" s="24">
        <v>18.8836994662305</v>
      </c>
      <c r="F13" s="24">
        <v>4.3799999999999999E-2</v>
      </c>
      <c r="G13" s="24">
        <v>0.1096</v>
      </c>
      <c r="H13" s="24">
        <v>6.5750000000000003E-2</v>
      </c>
      <c r="I13" s="24">
        <v>2034.8109999999999</v>
      </c>
      <c r="J13" s="24">
        <v>7080.4359999999997</v>
      </c>
    </row>
    <row r="14" spans="1:10">
      <c r="A14">
        <v>12</v>
      </c>
      <c r="B14">
        <v>0</v>
      </c>
      <c r="C14" t="s">
        <v>46</v>
      </c>
      <c r="D14" s="24">
        <v>-33.932354676737397</v>
      </c>
      <c r="E14" s="24">
        <v>18.891066105438</v>
      </c>
      <c r="F14" s="24">
        <v>4.3799999999999999E-2</v>
      </c>
      <c r="G14" s="24">
        <v>0.1096</v>
      </c>
      <c r="H14" s="24">
        <v>6.5750000000000003E-2</v>
      </c>
      <c r="I14" s="24">
        <v>2564.17</v>
      </c>
      <c r="J14" s="24">
        <v>7201.4210000000003</v>
      </c>
    </row>
    <row r="15" spans="1:10">
      <c r="A15">
        <v>13</v>
      </c>
      <c r="B15">
        <v>0</v>
      </c>
      <c r="C15" t="s">
        <v>46</v>
      </c>
      <c r="D15" s="24">
        <v>-33.932764765338099</v>
      </c>
      <c r="E15" s="24">
        <v>18.887795638178702</v>
      </c>
      <c r="F15" s="24">
        <v>4.3799999999999999E-2</v>
      </c>
      <c r="G15" s="24">
        <v>0.1096</v>
      </c>
      <c r="H15" s="24">
        <v>6.5750000000000003E-2</v>
      </c>
      <c r="I15" s="24">
        <v>2335.444</v>
      </c>
      <c r="J15" s="24">
        <v>6972.6949999999997</v>
      </c>
    </row>
    <row r="16" spans="1:10">
      <c r="A16">
        <v>0</v>
      </c>
      <c r="B16">
        <v>1</v>
      </c>
      <c r="C16" t="s">
        <v>42</v>
      </c>
      <c r="D16">
        <v>-33.928018285186504</v>
      </c>
      <c r="E16">
        <v>18.878326864082201</v>
      </c>
      <c r="F16">
        <v>4.3799999999999999E-2</v>
      </c>
      <c r="G16">
        <v>0.1096</v>
      </c>
      <c r="H16">
        <v>6.5750000000000003E-2</v>
      </c>
      <c r="I16">
        <v>1337.307</v>
      </c>
      <c r="J16">
        <v>6382.9319999999998</v>
      </c>
    </row>
    <row r="17" spans="1:10">
      <c r="A17">
        <v>1</v>
      </c>
      <c r="B17">
        <v>1</v>
      </c>
      <c r="C17" t="s">
        <v>42</v>
      </c>
      <c r="D17">
        <v>-33.927268041894997</v>
      </c>
      <c r="E17">
        <v>18.875581945684601</v>
      </c>
      <c r="F17">
        <v>4.3799999999999999E-2</v>
      </c>
      <c r="G17">
        <v>0.1096</v>
      </c>
      <c r="H17">
        <v>6.5750000000000003E-2</v>
      </c>
      <c r="I17">
        <v>1346.0440000000001</v>
      </c>
      <c r="J17">
        <v>6391.6679999999997</v>
      </c>
    </row>
    <row r="18" spans="1:10">
      <c r="A18">
        <v>2</v>
      </c>
      <c r="B18">
        <v>1</v>
      </c>
      <c r="C18" t="s">
        <v>42</v>
      </c>
      <c r="D18">
        <v>-33.929626843477301</v>
      </c>
      <c r="E18">
        <v>18.8782951488101</v>
      </c>
      <c r="F18">
        <v>4.3799999999999999E-2</v>
      </c>
      <c r="G18">
        <v>0.1096</v>
      </c>
      <c r="H18">
        <v>6.5750000000000003E-2</v>
      </c>
      <c r="I18">
        <v>1070.133</v>
      </c>
      <c r="J18">
        <v>6115.7569999999996</v>
      </c>
    </row>
    <row r="19" spans="1:10">
      <c r="A19">
        <v>3</v>
      </c>
      <c r="B19">
        <v>1</v>
      </c>
      <c r="C19" t="s">
        <v>42</v>
      </c>
      <c r="D19">
        <v>-33.928480222759298</v>
      </c>
      <c r="E19">
        <v>18.8758328690087</v>
      </c>
      <c r="F19">
        <v>4.3799999999999999E-2</v>
      </c>
      <c r="G19">
        <v>0.1096</v>
      </c>
      <c r="H19">
        <v>6.5750000000000003E-2</v>
      </c>
      <c r="I19">
        <v>978.024</v>
      </c>
      <c r="J19">
        <v>6023.6480000000001</v>
      </c>
    </row>
    <row r="20" spans="1:10">
      <c r="A20">
        <v>4</v>
      </c>
      <c r="B20">
        <v>1</v>
      </c>
      <c r="C20" t="s">
        <v>42</v>
      </c>
      <c r="D20">
        <v>-33.925856153342401</v>
      </c>
      <c r="E20">
        <v>18.874465357542199</v>
      </c>
      <c r="F20">
        <v>4.3799999999999999E-2</v>
      </c>
      <c r="G20">
        <v>0.1096</v>
      </c>
      <c r="H20">
        <v>6.5750000000000003E-2</v>
      </c>
      <c r="I20">
        <v>1496.2249999999999</v>
      </c>
      <c r="J20">
        <v>6326.2389999999996</v>
      </c>
    </row>
    <row r="21" spans="1:10">
      <c r="A21">
        <v>5</v>
      </c>
      <c r="B21">
        <v>1</v>
      </c>
      <c r="C21" t="s">
        <v>42</v>
      </c>
      <c r="D21">
        <v>-33.929935212592902</v>
      </c>
      <c r="E21">
        <v>18.879150092320199</v>
      </c>
      <c r="F21">
        <v>4.3799999999999999E-2</v>
      </c>
      <c r="G21">
        <v>0.1096</v>
      </c>
      <c r="H21">
        <v>6.5750000000000003E-2</v>
      </c>
      <c r="I21">
        <v>1149.9780000000001</v>
      </c>
      <c r="J21">
        <v>6195.6030000000001</v>
      </c>
    </row>
    <row r="22" spans="1:10">
      <c r="A22">
        <v>6</v>
      </c>
      <c r="B22">
        <v>1</v>
      </c>
      <c r="C22" t="s">
        <v>42</v>
      </c>
      <c r="D22">
        <v>-33.928585481596897</v>
      </c>
      <c r="E22">
        <v>18.877707432179498</v>
      </c>
      <c r="F22">
        <v>4.3799999999999999E-2</v>
      </c>
      <c r="G22">
        <v>0.1096</v>
      </c>
      <c r="H22">
        <v>6.5750000000000003E-2</v>
      </c>
      <c r="I22">
        <v>1261.3720000000001</v>
      </c>
      <c r="J22">
        <v>6306.9970000000003</v>
      </c>
    </row>
    <row r="23" spans="1:10">
      <c r="A23">
        <v>7</v>
      </c>
      <c r="B23">
        <v>1</v>
      </c>
      <c r="C23" t="s">
        <v>42</v>
      </c>
      <c r="D23">
        <v>-33.927899593903099</v>
      </c>
      <c r="E23">
        <v>18.881793225654999</v>
      </c>
      <c r="F23">
        <v>4.3799999999999999E-2</v>
      </c>
      <c r="G23">
        <v>0.1096</v>
      </c>
      <c r="H23">
        <v>6.5750000000000003E-2</v>
      </c>
      <c r="I23">
        <v>1550.4770000000001</v>
      </c>
      <c r="J23">
        <v>6596.1019999999999</v>
      </c>
    </row>
    <row r="24" spans="1:10">
      <c r="A24">
        <v>8</v>
      </c>
      <c r="B24">
        <v>1</v>
      </c>
      <c r="C24" t="s">
        <v>42</v>
      </c>
      <c r="D24">
        <v>-33.927880925424503</v>
      </c>
      <c r="E24">
        <v>18.877921789796002</v>
      </c>
      <c r="F24">
        <v>4.3799999999999999E-2</v>
      </c>
      <c r="G24">
        <v>0.1096</v>
      </c>
      <c r="H24">
        <v>6.5750000000000003E-2</v>
      </c>
      <c r="I24">
        <v>1277.3789999999999</v>
      </c>
      <c r="J24">
        <v>6323.0039999999999</v>
      </c>
    </row>
    <row r="25" spans="1:10">
      <c r="A25">
        <v>9</v>
      </c>
      <c r="B25">
        <v>1</v>
      </c>
      <c r="C25" t="s">
        <v>42</v>
      </c>
      <c r="D25">
        <v>-33.926770343238601</v>
      </c>
      <c r="E25">
        <v>18.881514298513299</v>
      </c>
      <c r="F25">
        <v>4.3799999999999999E-2</v>
      </c>
      <c r="G25">
        <v>0.1096</v>
      </c>
      <c r="H25">
        <v>6.5750000000000003E-2</v>
      </c>
      <c r="I25">
        <v>2013.66</v>
      </c>
      <c r="J25">
        <v>7072.0749999999998</v>
      </c>
    </row>
    <row r="26" spans="1:10">
      <c r="A26">
        <v>10</v>
      </c>
      <c r="B26">
        <v>1</v>
      </c>
      <c r="C26" t="s">
        <v>42</v>
      </c>
      <c r="D26">
        <v>-33.927662198517801</v>
      </c>
      <c r="E26">
        <v>18.8784101128185</v>
      </c>
      <c r="F26">
        <v>4.3799999999999999E-2</v>
      </c>
      <c r="G26">
        <v>0.1096</v>
      </c>
      <c r="H26">
        <v>6.5750000000000003E-2</v>
      </c>
      <c r="I26">
        <v>1309.905</v>
      </c>
      <c r="J26">
        <v>6355.53</v>
      </c>
    </row>
    <row r="27" spans="1:10">
      <c r="A27">
        <v>11</v>
      </c>
      <c r="B27">
        <v>1</v>
      </c>
      <c r="C27" t="s">
        <v>42</v>
      </c>
      <c r="D27">
        <v>-33.926867361920898</v>
      </c>
      <c r="E27">
        <v>18.8757339599922</v>
      </c>
      <c r="F27">
        <v>4.3799999999999999E-2</v>
      </c>
      <c r="G27">
        <v>0.1096</v>
      </c>
      <c r="H27">
        <v>6.5750000000000003E-2</v>
      </c>
      <c r="I27">
        <v>1310.53</v>
      </c>
      <c r="J27">
        <v>6356.1540000000005</v>
      </c>
    </row>
    <row r="28" spans="1:10">
      <c r="A28">
        <v>12</v>
      </c>
      <c r="B28">
        <v>1</v>
      </c>
      <c r="C28" t="s">
        <v>42</v>
      </c>
      <c r="D28">
        <v>-33.929378056421299</v>
      </c>
      <c r="E28">
        <v>18.881672111093899</v>
      </c>
      <c r="F28">
        <v>4.3799999999999999E-2</v>
      </c>
      <c r="G28">
        <v>0.1096</v>
      </c>
      <c r="H28">
        <v>6.5750000000000003E-2</v>
      </c>
      <c r="I28">
        <v>1393.259</v>
      </c>
      <c r="J28">
        <v>6438.884</v>
      </c>
    </row>
    <row r="29" spans="1:10">
      <c r="A29">
        <v>13</v>
      </c>
      <c r="B29">
        <v>1</v>
      </c>
      <c r="C29" t="s">
        <v>42</v>
      </c>
      <c r="D29">
        <v>-33.9297060406154</v>
      </c>
      <c r="E29">
        <v>18.879035830394901</v>
      </c>
      <c r="F29">
        <v>4.3799999999999999E-2</v>
      </c>
      <c r="G29">
        <v>0.1096</v>
      </c>
      <c r="H29">
        <v>6.5750000000000003E-2</v>
      </c>
      <c r="I29">
        <v>1142.778</v>
      </c>
      <c r="J29">
        <v>6188.4030000000002</v>
      </c>
    </row>
    <row r="30" spans="1:10">
      <c r="A30">
        <v>0</v>
      </c>
      <c r="B30">
        <v>2</v>
      </c>
      <c r="C30" t="s">
        <v>10</v>
      </c>
      <c r="D30">
        <v>-33.955665864907999</v>
      </c>
      <c r="E30">
        <v>18.8661798284563</v>
      </c>
      <c r="F30">
        <v>4.3799999999999999E-2</v>
      </c>
      <c r="G30">
        <v>0.1096</v>
      </c>
      <c r="H30">
        <v>6.5750000000000003E-2</v>
      </c>
      <c r="I30">
        <v>5716.9260000000004</v>
      </c>
      <c r="J30">
        <v>6559.8209999999999</v>
      </c>
    </row>
    <row r="31" spans="1:10">
      <c r="A31">
        <v>1</v>
      </c>
      <c r="B31">
        <v>2</v>
      </c>
      <c r="C31" t="s">
        <v>10</v>
      </c>
      <c r="D31">
        <v>-33.954589435039097</v>
      </c>
      <c r="E31">
        <v>18.8593848239857</v>
      </c>
      <c r="F31">
        <v>4.3799999999999999E-2</v>
      </c>
      <c r="G31">
        <v>0.1096</v>
      </c>
      <c r="H31">
        <v>6.5750000000000003E-2</v>
      </c>
      <c r="I31">
        <v>5107.777</v>
      </c>
      <c r="J31">
        <v>5950.6710000000003</v>
      </c>
    </row>
    <row r="32" spans="1:10">
      <c r="A32">
        <v>2</v>
      </c>
      <c r="B32">
        <v>2</v>
      </c>
      <c r="C32" t="s">
        <v>10</v>
      </c>
      <c r="D32">
        <v>-33.9579737831655</v>
      </c>
      <c r="E32">
        <v>18.866101317774302</v>
      </c>
      <c r="F32">
        <v>4.3799999999999999E-2</v>
      </c>
      <c r="G32">
        <v>0.1096</v>
      </c>
      <c r="H32">
        <v>6.5750000000000003E-2</v>
      </c>
      <c r="I32">
        <v>5877.6869999999999</v>
      </c>
      <c r="J32">
        <v>6720.5810000000001</v>
      </c>
    </row>
    <row r="33" spans="1:10">
      <c r="A33">
        <v>3</v>
      </c>
      <c r="B33">
        <v>2</v>
      </c>
      <c r="C33" t="s">
        <v>10</v>
      </c>
      <c r="D33">
        <v>-33.956328641112101</v>
      </c>
      <c r="E33">
        <v>18.860005980924601</v>
      </c>
      <c r="F33">
        <v>4.3799999999999999E-2</v>
      </c>
      <c r="G33">
        <v>0.1096</v>
      </c>
      <c r="H33">
        <v>6.5750000000000003E-2</v>
      </c>
      <c r="I33">
        <v>4779.9799999999996</v>
      </c>
      <c r="J33">
        <v>5622.875</v>
      </c>
    </row>
    <row r="34" spans="1:10">
      <c r="A34">
        <v>4</v>
      </c>
      <c r="B34">
        <v>2</v>
      </c>
      <c r="C34" t="s">
        <v>10</v>
      </c>
      <c r="D34">
        <v>-33.952563693487399</v>
      </c>
      <c r="E34">
        <v>18.856620726726501</v>
      </c>
      <c r="F34">
        <v>4.3799999999999999E-2</v>
      </c>
      <c r="G34">
        <v>0.1096</v>
      </c>
      <c r="H34">
        <v>6.5750000000000003E-2</v>
      </c>
      <c r="I34">
        <v>3569.627</v>
      </c>
      <c r="J34">
        <v>4630.6850000000004</v>
      </c>
    </row>
    <row r="35" spans="1:10">
      <c r="A35">
        <v>5</v>
      </c>
      <c r="B35">
        <v>2</v>
      </c>
      <c r="C35" t="s">
        <v>10</v>
      </c>
      <c r="D35">
        <v>-33.958416223278398</v>
      </c>
      <c r="E35">
        <v>18.8682177176563</v>
      </c>
      <c r="F35">
        <v>4.3799999999999999E-2</v>
      </c>
      <c r="G35">
        <v>0.1096</v>
      </c>
      <c r="H35">
        <v>6.5750000000000003E-2</v>
      </c>
      <c r="I35">
        <v>4437.2690000000002</v>
      </c>
      <c r="J35">
        <v>6232.3940000000002</v>
      </c>
    </row>
    <row r="36" spans="1:10">
      <c r="A36">
        <v>6</v>
      </c>
      <c r="B36">
        <v>2</v>
      </c>
      <c r="C36" t="s">
        <v>10</v>
      </c>
      <c r="D36">
        <v>-33.956479663797701</v>
      </c>
      <c r="E36">
        <v>18.864646434038601</v>
      </c>
      <c r="F36">
        <v>4.3799999999999999E-2</v>
      </c>
      <c r="G36">
        <v>0.1096</v>
      </c>
      <c r="H36">
        <v>6.5750000000000003E-2</v>
      </c>
      <c r="I36">
        <v>5606.643</v>
      </c>
      <c r="J36">
        <v>6449.5379999999996</v>
      </c>
    </row>
    <row r="37" spans="1:10">
      <c r="A37">
        <v>7</v>
      </c>
      <c r="B37">
        <v>2</v>
      </c>
      <c r="C37" t="s">
        <v>10</v>
      </c>
      <c r="D37">
        <v>-33.955495569692999</v>
      </c>
      <c r="E37">
        <v>18.874760754725202</v>
      </c>
      <c r="F37">
        <v>4.3799999999999999E-2</v>
      </c>
      <c r="G37">
        <v>0.1096</v>
      </c>
      <c r="H37">
        <v>6.5750000000000003E-2</v>
      </c>
      <c r="I37">
        <v>4413.3239999999996</v>
      </c>
      <c r="J37">
        <v>6494.1549999999997</v>
      </c>
    </row>
    <row r="38" spans="1:10">
      <c r="A38">
        <v>8</v>
      </c>
      <c r="B38">
        <v>2</v>
      </c>
      <c r="C38" t="s">
        <v>10</v>
      </c>
      <c r="D38">
        <v>-33.955468784637802</v>
      </c>
      <c r="E38">
        <v>18.865177073114602</v>
      </c>
      <c r="F38">
        <v>4.3799999999999999E-2</v>
      </c>
      <c r="G38">
        <v>0.1096</v>
      </c>
      <c r="H38">
        <v>6.5750000000000003E-2</v>
      </c>
      <c r="I38">
        <v>3851.9630000000002</v>
      </c>
      <c r="J38">
        <v>5647.0879999999997</v>
      </c>
    </row>
    <row r="39" spans="1:10">
      <c r="A39">
        <v>9</v>
      </c>
      <c r="B39">
        <v>2</v>
      </c>
      <c r="C39" t="s">
        <v>10</v>
      </c>
      <c r="D39">
        <v>-33.953875349747598</v>
      </c>
      <c r="E39">
        <v>18.874070274754501</v>
      </c>
      <c r="F39">
        <v>4.3799999999999999E-2</v>
      </c>
      <c r="G39">
        <v>0.1096</v>
      </c>
      <c r="H39">
        <v>6.5750000000000003E-2</v>
      </c>
      <c r="I39">
        <v>3324.2950000000001</v>
      </c>
      <c r="J39">
        <v>6979.0680000000002</v>
      </c>
    </row>
    <row r="40" spans="1:10">
      <c r="A40">
        <v>10</v>
      </c>
      <c r="B40">
        <v>2</v>
      </c>
      <c r="C40" t="s">
        <v>10</v>
      </c>
      <c r="D40">
        <v>-33.955154960871297</v>
      </c>
      <c r="E40">
        <v>18.866385909458899</v>
      </c>
      <c r="F40">
        <v>4.3799999999999999E-2</v>
      </c>
      <c r="G40">
        <v>0.1096</v>
      </c>
      <c r="H40">
        <v>6.5750000000000003E-2</v>
      </c>
      <c r="I40">
        <v>3813.944</v>
      </c>
      <c r="J40">
        <v>5609.0690000000004</v>
      </c>
    </row>
    <row r="41" spans="1:10">
      <c r="A41">
        <v>11</v>
      </c>
      <c r="B41">
        <v>2</v>
      </c>
      <c r="C41" t="s">
        <v>10</v>
      </c>
      <c r="D41">
        <v>-33.954014549669402</v>
      </c>
      <c r="E41">
        <v>18.859761133132299</v>
      </c>
      <c r="F41">
        <v>4.3799999999999999E-2</v>
      </c>
      <c r="G41">
        <v>0.1096</v>
      </c>
      <c r="H41">
        <v>6.5750000000000003E-2</v>
      </c>
      <c r="I41">
        <v>3575.721</v>
      </c>
      <c r="J41">
        <v>5087.8909999999996</v>
      </c>
    </row>
    <row r="42" spans="1:10">
      <c r="A42">
        <v>12</v>
      </c>
      <c r="B42">
        <v>2</v>
      </c>
      <c r="C42" t="s">
        <v>10</v>
      </c>
      <c r="D42">
        <v>-33.957616829866303</v>
      </c>
      <c r="E42">
        <v>18.874460937439199</v>
      </c>
      <c r="F42">
        <v>4.3799999999999999E-2</v>
      </c>
      <c r="G42">
        <v>0.1096</v>
      </c>
      <c r="H42">
        <v>6.5750000000000003E-2</v>
      </c>
      <c r="I42">
        <v>4559.5169999999998</v>
      </c>
      <c r="J42">
        <v>6640.348</v>
      </c>
    </row>
    <row r="43" spans="1:10">
      <c r="A43">
        <v>13</v>
      </c>
      <c r="B43">
        <v>2</v>
      </c>
      <c r="C43" t="s">
        <v>10</v>
      </c>
      <c r="D43">
        <v>-33.958087413191798</v>
      </c>
      <c r="E43">
        <v>18.867934863967999</v>
      </c>
      <c r="F43">
        <v>4.3799999999999999E-2</v>
      </c>
      <c r="G43">
        <v>0.1096</v>
      </c>
      <c r="H43">
        <v>6.5750000000000003E-2</v>
      </c>
      <c r="I43">
        <v>4411.2830000000004</v>
      </c>
      <c r="J43">
        <v>6206.4080000000004</v>
      </c>
    </row>
    <row r="44" spans="1:10">
      <c r="A44">
        <v>14</v>
      </c>
      <c r="B44">
        <v>2</v>
      </c>
      <c r="C44" t="s">
        <v>10</v>
      </c>
      <c r="D44">
        <v>-33.957746367359199</v>
      </c>
      <c r="E44">
        <v>18.872520786610899</v>
      </c>
      <c r="F44">
        <v>4.3799999999999999E-2</v>
      </c>
      <c r="G44">
        <v>0.1096</v>
      </c>
      <c r="H44">
        <v>6.5750000000000003E-2</v>
      </c>
      <c r="I44">
        <v>4663.1040000000003</v>
      </c>
      <c r="J44">
        <v>6458.2290000000003</v>
      </c>
    </row>
    <row r="45" spans="1:10">
      <c r="A45">
        <v>15</v>
      </c>
      <c r="B45">
        <v>2</v>
      </c>
      <c r="C45" t="s">
        <v>10</v>
      </c>
      <c r="D45">
        <v>-33.955454853810501</v>
      </c>
      <c r="E45">
        <v>18.874536449673599</v>
      </c>
      <c r="F45">
        <v>4.3799999999999999E-2</v>
      </c>
      <c r="G45">
        <v>0.1096</v>
      </c>
      <c r="H45">
        <v>6.5750000000000003E-2</v>
      </c>
      <c r="I45">
        <v>4392.4759999999997</v>
      </c>
      <c r="J45">
        <v>6473.3069999999998</v>
      </c>
    </row>
    <row r="46" spans="1:10">
      <c r="A46">
        <v>16</v>
      </c>
      <c r="B46">
        <v>2</v>
      </c>
      <c r="C46" t="s">
        <v>10</v>
      </c>
      <c r="D46">
        <v>-33.953064745346502</v>
      </c>
      <c r="E46">
        <v>18.858232283807801</v>
      </c>
      <c r="F46">
        <v>4.3799999999999999E-2</v>
      </c>
      <c r="G46">
        <v>0.1096</v>
      </c>
      <c r="H46">
        <v>6.5750000000000003E-2</v>
      </c>
      <c r="I46">
        <v>3776.1239999999998</v>
      </c>
      <c r="J46">
        <v>4837.1809999999996</v>
      </c>
    </row>
    <row r="47" spans="1:10">
      <c r="A47">
        <v>17</v>
      </c>
      <c r="B47">
        <v>2</v>
      </c>
      <c r="C47" t="s">
        <v>10</v>
      </c>
      <c r="D47">
        <v>-33.958568897861902</v>
      </c>
      <c r="E47">
        <v>18.867550565838201</v>
      </c>
      <c r="F47">
        <v>4.3799999999999999E-2</v>
      </c>
      <c r="G47">
        <v>0.1096</v>
      </c>
      <c r="H47">
        <v>6.5750000000000003E-2</v>
      </c>
      <c r="I47">
        <v>5345.4340000000002</v>
      </c>
      <c r="J47">
        <v>6188.3289999999997</v>
      </c>
    </row>
    <row r="48" spans="1:10">
      <c r="A48">
        <v>0</v>
      </c>
      <c r="B48">
        <v>3</v>
      </c>
      <c r="C48" t="s">
        <v>35</v>
      </c>
      <c r="D48">
        <v>-33.964103482266701</v>
      </c>
      <c r="E48">
        <v>18.855042954120002</v>
      </c>
      <c r="F48">
        <v>4.3799999999999999E-2</v>
      </c>
      <c r="G48">
        <v>0.1096</v>
      </c>
      <c r="H48">
        <v>6.5750000000000003E-2</v>
      </c>
      <c r="I48">
        <v>5612.9179999999997</v>
      </c>
      <c r="J48">
        <v>6455.8130000000001</v>
      </c>
    </row>
    <row r="49" spans="1:10">
      <c r="A49">
        <v>1</v>
      </c>
      <c r="B49">
        <v>3</v>
      </c>
      <c r="C49" t="s">
        <v>35</v>
      </c>
      <c r="D49">
        <v>-33.962913743990697</v>
      </c>
      <c r="E49">
        <v>18.8513523559178</v>
      </c>
      <c r="F49">
        <v>4.3799999999999999E-2</v>
      </c>
      <c r="G49">
        <v>0.1096</v>
      </c>
      <c r="H49">
        <v>6.5750000000000003E-2</v>
      </c>
      <c r="I49">
        <v>5074.384</v>
      </c>
      <c r="J49">
        <v>5917.2790000000005</v>
      </c>
    </row>
    <row r="50" spans="1:10">
      <c r="A50">
        <v>2</v>
      </c>
      <c r="B50">
        <v>3</v>
      </c>
      <c r="C50" t="s">
        <v>35</v>
      </c>
      <c r="D50">
        <v>-33.966654339288198</v>
      </c>
      <c r="E50">
        <v>18.855000312296401</v>
      </c>
      <c r="F50">
        <v>4.3799999999999999E-2</v>
      </c>
      <c r="G50">
        <v>0.1096</v>
      </c>
      <c r="H50">
        <v>6.5750000000000003E-2</v>
      </c>
      <c r="I50">
        <v>6112.634</v>
      </c>
      <c r="J50">
        <v>6955.5290000000005</v>
      </c>
    </row>
    <row r="51" spans="1:10">
      <c r="A51">
        <v>3</v>
      </c>
      <c r="B51">
        <v>3</v>
      </c>
      <c r="C51" t="s">
        <v>35</v>
      </c>
      <c r="D51">
        <v>-33.964836024387097</v>
      </c>
      <c r="E51">
        <v>18.851689727393001</v>
      </c>
      <c r="F51">
        <v>4.3799999999999999E-2</v>
      </c>
      <c r="G51">
        <v>0.1096</v>
      </c>
      <c r="H51">
        <v>6.5750000000000003E-2</v>
      </c>
      <c r="I51">
        <v>5315.5810000000001</v>
      </c>
      <c r="J51">
        <v>6158.4759999999997</v>
      </c>
    </row>
    <row r="52" spans="1:10">
      <c r="A52">
        <v>4</v>
      </c>
      <c r="B52">
        <v>3</v>
      </c>
      <c r="C52" t="s">
        <v>35</v>
      </c>
      <c r="D52">
        <v>-33.960674766486001</v>
      </c>
      <c r="E52">
        <v>18.8498510806178</v>
      </c>
      <c r="F52">
        <v>4.3799999999999999E-2</v>
      </c>
      <c r="G52">
        <v>0.1096</v>
      </c>
      <c r="H52">
        <v>6.5750000000000003E-2</v>
      </c>
      <c r="I52">
        <v>5030.6499999999996</v>
      </c>
      <c r="J52">
        <v>5873.5439999999999</v>
      </c>
    </row>
    <row r="53" spans="1:10">
      <c r="A53">
        <v>5</v>
      </c>
      <c r="B53">
        <v>3</v>
      </c>
      <c r="C53" t="s">
        <v>35</v>
      </c>
      <c r="D53">
        <v>-33.967143352044602</v>
      </c>
      <c r="E53">
        <v>18.8561498011059</v>
      </c>
      <c r="F53">
        <v>4.3799999999999999E-2</v>
      </c>
      <c r="G53">
        <v>0.1096</v>
      </c>
      <c r="H53">
        <v>6.5750000000000003E-2</v>
      </c>
      <c r="I53">
        <v>6032.1850000000004</v>
      </c>
      <c r="J53">
        <v>6875.08</v>
      </c>
    </row>
    <row r="54" spans="1:10">
      <c r="A54">
        <v>6</v>
      </c>
      <c r="B54">
        <v>3</v>
      </c>
      <c r="C54" t="s">
        <v>35</v>
      </c>
      <c r="D54">
        <v>-33.965002944197501</v>
      </c>
      <c r="E54">
        <v>18.854210115421299</v>
      </c>
      <c r="F54">
        <v>4.3799999999999999E-2</v>
      </c>
      <c r="G54">
        <v>0.1096</v>
      </c>
      <c r="H54">
        <v>6.5750000000000003E-2</v>
      </c>
      <c r="I54">
        <v>5464.0439999999999</v>
      </c>
      <c r="J54">
        <v>6306.9390000000003</v>
      </c>
    </row>
    <row r="55" spans="1:10">
      <c r="A55">
        <v>7</v>
      </c>
      <c r="B55">
        <v>3</v>
      </c>
      <c r="C55" t="s">
        <v>35</v>
      </c>
      <c r="D55">
        <v>-33.963915261239599</v>
      </c>
      <c r="E55">
        <v>18.859703547236201</v>
      </c>
      <c r="F55">
        <v>4.3799999999999999E-2</v>
      </c>
      <c r="G55">
        <v>0.1096</v>
      </c>
      <c r="H55">
        <v>6.5750000000000003E-2</v>
      </c>
      <c r="I55">
        <v>5443.9070000000002</v>
      </c>
      <c r="J55">
        <v>6286.8019999999997</v>
      </c>
    </row>
    <row r="56" spans="1:10">
      <c r="A56">
        <v>8</v>
      </c>
      <c r="B56">
        <v>3</v>
      </c>
      <c r="C56" t="s">
        <v>35</v>
      </c>
      <c r="D56">
        <v>-33.963885656705003</v>
      </c>
      <c r="E56">
        <v>18.854498323564201</v>
      </c>
      <c r="F56">
        <v>4.3799999999999999E-2</v>
      </c>
      <c r="G56">
        <v>0.1096</v>
      </c>
      <c r="H56">
        <v>6.5750000000000003E-2</v>
      </c>
      <c r="I56">
        <v>5657.393</v>
      </c>
      <c r="J56">
        <v>6500.2870000000003</v>
      </c>
    </row>
    <row r="57" spans="1:10">
      <c r="A57">
        <v>9</v>
      </c>
      <c r="B57">
        <v>3</v>
      </c>
      <c r="C57" t="s">
        <v>35</v>
      </c>
      <c r="D57">
        <v>-33.962124491826302</v>
      </c>
      <c r="E57">
        <v>18.859328524062999</v>
      </c>
      <c r="F57">
        <v>4.3799999999999999E-2</v>
      </c>
      <c r="G57">
        <v>0.1096</v>
      </c>
      <c r="H57">
        <v>6.5750000000000003E-2</v>
      </c>
      <c r="I57">
        <v>5573.299</v>
      </c>
      <c r="J57">
        <v>6416.1940000000004</v>
      </c>
    </row>
    <row r="58" spans="1:10">
      <c r="A58">
        <v>10</v>
      </c>
      <c r="B58">
        <v>3</v>
      </c>
      <c r="C58" t="s">
        <v>35</v>
      </c>
      <c r="D58">
        <v>-33.963538798857698</v>
      </c>
      <c r="E58">
        <v>18.855154883726598</v>
      </c>
      <c r="F58">
        <v>4.3799999999999999E-2</v>
      </c>
      <c r="G58">
        <v>0.1096</v>
      </c>
      <c r="H58">
        <v>6.5750000000000003E-2</v>
      </c>
      <c r="I58">
        <v>5764.3630000000003</v>
      </c>
      <c r="J58">
        <v>6607.2579999999998</v>
      </c>
    </row>
    <row r="59" spans="1:10">
      <c r="A59">
        <v>11</v>
      </c>
      <c r="B59">
        <v>3</v>
      </c>
      <c r="C59" t="s">
        <v>35</v>
      </c>
      <c r="D59">
        <v>-33.962278344371498</v>
      </c>
      <c r="E59">
        <v>18.851556742223401</v>
      </c>
      <c r="F59">
        <v>4.3799999999999999E-2</v>
      </c>
      <c r="G59">
        <v>0.1096</v>
      </c>
      <c r="H59">
        <v>6.5750000000000003E-2</v>
      </c>
      <c r="I59">
        <v>5144.7950000000001</v>
      </c>
      <c r="J59">
        <v>5987.69</v>
      </c>
    </row>
    <row r="60" spans="1:10">
      <c r="A60">
        <v>12</v>
      </c>
      <c r="B60">
        <v>3</v>
      </c>
      <c r="C60" t="s">
        <v>35</v>
      </c>
      <c r="D60">
        <v>-33.966259811957499</v>
      </c>
      <c r="E60">
        <v>18.859540706263601</v>
      </c>
      <c r="F60">
        <v>4.3799999999999999E-2</v>
      </c>
      <c r="G60">
        <v>0.1096</v>
      </c>
      <c r="H60">
        <v>6.5750000000000003E-2</v>
      </c>
      <c r="I60">
        <v>6368.2629999999999</v>
      </c>
      <c r="J60">
        <v>7211.1580000000004</v>
      </c>
    </row>
    <row r="61" spans="1:10">
      <c r="A61">
        <v>13</v>
      </c>
      <c r="B61">
        <v>3</v>
      </c>
      <c r="C61" t="s">
        <v>35</v>
      </c>
      <c r="D61">
        <v>-33.966779930369903</v>
      </c>
      <c r="E61">
        <v>18.855996173640602</v>
      </c>
      <c r="F61">
        <v>4.3799999999999999E-2</v>
      </c>
      <c r="G61">
        <v>0.1096</v>
      </c>
      <c r="H61">
        <v>6.5750000000000003E-2</v>
      </c>
      <c r="I61">
        <v>6067.4080000000004</v>
      </c>
      <c r="J61">
        <v>6910.3029999999999</v>
      </c>
    </row>
    <row r="62" spans="1:10">
      <c r="A62">
        <v>14</v>
      </c>
      <c r="B62">
        <v>3</v>
      </c>
      <c r="C62" t="s">
        <v>35</v>
      </c>
      <c r="D62">
        <v>-33.966402984976</v>
      </c>
      <c r="E62">
        <v>18.858486944313999</v>
      </c>
      <c r="F62">
        <v>4.3799999999999999E-2</v>
      </c>
      <c r="G62">
        <v>0.1096</v>
      </c>
      <c r="H62">
        <v>6.5750000000000003E-2</v>
      </c>
      <c r="I62">
        <v>5685.2219999999998</v>
      </c>
      <c r="J62">
        <v>6528.1170000000002</v>
      </c>
    </row>
    <row r="63" spans="1:10">
      <c r="A63">
        <v>15</v>
      </c>
      <c r="B63">
        <v>3</v>
      </c>
      <c r="C63" t="s">
        <v>35</v>
      </c>
      <c r="D63">
        <v>-33.963870259474703</v>
      </c>
      <c r="E63">
        <v>18.8595817195283</v>
      </c>
      <c r="F63">
        <v>4.3799999999999999E-2</v>
      </c>
      <c r="G63">
        <v>0.1096</v>
      </c>
      <c r="H63">
        <v>6.5750000000000003E-2</v>
      </c>
      <c r="I63">
        <v>5439.2179999999998</v>
      </c>
      <c r="J63">
        <v>6282.1130000000003</v>
      </c>
    </row>
    <row r="64" spans="1:10">
      <c r="A64">
        <v>16</v>
      </c>
      <c r="B64">
        <v>3</v>
      </c>
      <c r="C64" t="s">
        <v>35</v>
      </c>
      <c r="D64">
        <v>-33.961228560646099</v>
      </c>
      <c r="E64">
        <v>18.8507263721195</v>
      </c>
      <c r="F64">
        <v>4.3799999999999999E-2</v>
      </c>
      <c r="G64">
        <v>0.1096</v>
      </c>
      <c r="H64">
        <v>6.5750000000000003E-2</v>
      </c>
      <c r="I64">
        <v>4755.95</v>
      </c>
      <c r="J64">
        <v>5598.8450000000003</v>
      </c>
    </row>
    <row r="65" spans="1:10">
      <c r="A65">
        <v>17</v>
      </c>
      <c r="B65">
        <v>3</v>
      </c>
      <c r="C65" t="s">
        <v>35</v>
      </c>
      <c r="D65">
        <v>-33.9673120976368</v>
      </c>
      <c r="E65">
        <v>18.855787448246399</v>
      </c>
      <c r="F65">
        <v>4.3799999999999999E-2</v>
      </c>
      <c r="G65">
        <v>0.1096</v>
      </c>
      <c r="H65">
        <v>6.5750000000000003E-2</v>
      </c>
      <c r="I65">
        <v>6086.0739999999996</v>
      </c>
      <c r="J65">
        <v>6928.9690000000001</v>
      </c>
    </row>
    <row r="66" spans="1:10">
      <c r="A66">
        <v>18</v>
      </c>
      <c r="B66">
        <v>3</v>
      </c>
      <c r="C66" t="s">
        <v>35</v>
      </c>
      <c r="D66">
        <v>-33.967536581430203</v>
      </c>
      <c r="E66">
        <v>18.850217435542099</v>
      </c>
      <c r="F66">
        <v>4.3799999999999999E-2</v>
      </c>
      <c r="G66">
        <v>0.1096</v>
      </c>
      <c r="H66">
        <v>6.5750000000000003E-2</v>
      </c>
      <c r="I66">
        <v>6335.674</v>
      </c>
      <c r="J66">
        <v>7178.5690000000004</v>
      </c>
    </row>
    <row r="67" spans="1:10">
      <c r="A67">
        <v>19</v>
      </c>
      <c r="B67">
        <v>3</v>
      </c>
      <c r="C67" t="s">
        <v>35</v>
      </c>
      <c r="D67">
        <v>-33.963076537023397</v>
      </c>
      <c r="E67">
        <v>18.858171916116699</v>
      </c>
      <c r="F67">
        <v>4.3799999999999999E-2</v>
      </c>
      <c r="G67">
        <v>0.1096</v>
      </c>
      <c r="H67">
        <v>6.5750000000000003E-2</v>
      </c>
      <c r="I67">
        <v>5425.2830000000004</v>
      </c>
      <c r="J67">
        <v>6268.1779999999999</v>
      </c>
    </row>
    <row r="68" spans="1:10">
      <c r="A68">
        <v>20</v>
      </c>
      <c r="B68">
        <v>3</v>
      </c>
      <c r="C68" t="s">
        <v>35</v>
      </c>
      <c r="D68">
        <v>-33.965696415344603</v>
      </c>
      <c r="E68">
        <v>18.858446795852402</v>
      </c>
      <c r="F68">
        <v>4.3799999999999999E-2</v>
      </c>
      <c r="G68">
        <v>0.1096</v>
      </c>
      <c r="H68">
        <v>6.5750000000000003E-2</v>
      </c>
      <c r="I68">
        <v>6002.1239999999998</v>
      </c>
      <c r="J68">
        <v>6845.0190000000002</v>
      </c>
    </row>
    <row r="69" spans="1:10">
      <c r="A69">
        <v>21</v>
      </c>
      <c r="B69">
        <v>3</v>
      </c>
      <c r="C69" t="s">
        <v>35</v>
      </c>
      <c r="D69">
        <v>-33.964993211046497</v>
      </c>
      <c r="E69">
        <v>18.852240384342899</v>
      </c>
      <c r="F69">
        <v>4.3799999999999999E-2</v>
      </c>
      <c r="G69">
        <v>0.1096</v>
      </c>
      <c r="H69">
        <v>6.5750000000000003E-2</v>
      </c>
      <c r="I69">
        <v>6210.2709999999997</v>
      </c>
      <c r="J69">
        <v>7053.1660000000002</v>
      </c>
    </row>
    <row r="70" spans="1:10">
      <c r="A70">
        <v>22</v>
      </c>
      <c r="B70">
        <v>3</v>
      </c>
      <c r="C70" t="s">
        <v>35</v>
      </c>
      <c r="D70">
        <v>-33.967782897334303</v>
      </c>
      <c r="E70">
        <v>18.854152173077601</v>
      </c>
      <c r="F70">
        <v>4.3799999999999999E-2</v>
      </c>
      <c r="G70">
        <v>0.1096</v>
      </c>
      <c r="H70">
        <v>6.5750000000000003E-2</v>
      </c>
      <c r="I70">
        <v>5616.942</v>
      </c>
      <c r="J70">
        <v>6459.8360000000002</v>
      </c>
    </row>
    <row r="71" spans="1:10">
      <c r="A71">
        <v>23</v>
      </c>
      <c r="B71">
        <v>3</v>
      </c>
      <c r="C71" t="s">
        <v>35</v>
      </c>
      <c r="D71">
        <v>-33.9676250969367</v>
      </c>
      <c r="E71">
        <v>18.857291742926702</v>
      </c>
      <c r="F71">
        <v>4.3799999999999999E-2</v>
      </c>
      <c r="G71">
        <v>0.1096</v>
      </c>
      <c r="H71">
        <v>6.5750000000000003E-2</v>
      </c>
      <c r="I71">
        <v>6036.7849999999999</v>
      </c>
      <c r="J71">
        <v>6879.68</v>
      </c>
    </row>
    <row r="72" spans="1:10">
      <c r="A72">
        <v>24</v>
      </c>
      <c r="B72">
        <v>3</v>
      </c>
      <c r="C72" t="s">
        <v>35</v>
      </c>
      <c r="D72">
        <v>-33.967630024860803</v>
      </c>
      <c r="E72">
        <v>18.8554713044017</v>
      </c>
      <c r="F72">
        <v>4.3799999999999999E-2</v>
      </c>
      <c r="G72">
        <v>0.1096</v>
      </c>
      <c r="H72">
        <v>6.5750000000000003E-2</v>
      </c>
      <c r="I72">
        <v>6131.7060000000001</v>
      </c>
      <c r="J72">
        <v>6974.6009999999997</v>
      </c>
    </row>
    <row r="73" spans="1:10">
      <c r="A73">
        <v>25</v>
      </c>
      <c r="B73">
        <v>3</v>
      </c>
      <c r="C73" t="s">
        <v>35</v>
      </c>
      <c r="D73">
        <v>-33.960528838003</v>
      </c>
      <c r="E73">
        <v>18.8519859566346</v>
      </c>
      <c r="F73">
        <v>4.3799999999999999E-2</v>
      </c>
      <c r="G73">
        <v>0.1096</v>
      </c>
      <c r="H73">
        <v>6.5750000000000003E-2</v>
      </c>
      <c r="I73">
        <v>4630.7690000000002</v>
      </c>
      <c r="J73">
        <v>5473.6639999999998</v>
      </c>
    </row>
    <row r="74" spans="1:10">
      <c r="A74">
        <v>26</v>
      </c>
      <c r="B74">
        <v>3</v>
      </c>
      <c r="C74" t="s">
        <v>35</v>
      </c>
      <c r="D74">
        <v>-33.965313144210903</v>
      </c>
      <c r="E74">
        <v>18.855686828569802</v>
      </c>
      <c r="F74">
        <v>4.3799999999999999E-2</v>
      </c>
      <c r="G74">
        <v>0.1096</v>
      </c>
      <c r="H74">
        <v>6.5750000000000003E-2</v>
      </c>
      <c r="I74">
        <v>5748.36</v>
      </c>
      <c r="J74">
        <v>6591.2550000000001</v>
      </c>
    </row>
    <row r="75" spans="1:10">
      <c r="A75">
        <v>27</v>
      </c>
      <c r="B75">
        <v>3</v>
      </c>
      <c r="C75" t="s">
        <v>35</v>
      </c>
      <c r="D75">
        <v>-33.964361528578003</v>
      </c>
      <c r="E75">
        <v>18.853243841539701</v>
      </c>
      <c r="F75">
        <v>4.3799999999999999E-2</v>
      </c>
      <c r="G75">
        <v>0.1096</v>
      </c>
      <c r="H75">
        <v>6.5750000000000003E-2</v>
      </c>
      <c r="I75">
        <v>5865.5060000000003</v>
      </c>
      <c r="J75">
        <v>6708.4009999999998</v>
      </c>
    </row>
    <row r="76" spans="1:10">
      <c r="A76">
        <v>28</v>
      </c>
      <c r="B76">
        <v>3</v>
      </c>
      <c r="C76" t="s">
        <v>35</v>
      </c>
      <c r="D76">
        <v>-33.962470565501903</v>
      </c>
      <c r="E76">
        <v>18.856796911406001</v>
      </c>
      <c r="F76">
        <v>4.3799999999999999E-2</v>
      </c>
      <c r="G76">
        <v>0.1096</v>
      </c>
      <c r="H76">
        <v>6.5750000000000003E-2</v>
      </c>
      <c r="I76">
        <v>5072.28</v>
      </c>
      <c r="J76">
        <v>5915.1750000000002</v>
      </c>
    </row>
    <row r="77" spans="1:10">
      <c r="A77">
        <v>29</v>
      </c>
      <c r="B77">
        <v>3</v>
      </c>
      <c r="C77" t="s">
        <v>35</v>
      </c>
      <c r="D77">
        <v>-33.963194894352398</v>
      </c>
      <c r="E77">
        <v>18.856062990019399</v>
      </c>
      <c r="F77">
        <v>4.3799999999999999E-2</v>
      </c>
      <c r="G77">
        <v>0.1096</v>
      </c>
      <c r="H77">
        <v>6.5750000000000003E-2</v>
      </c>
      <c r="I77">
        <v>5235.4340000000002</v>
      </c>
      <c r="J77">
        <v>6078.3289999999997</v>
      </c>
    </row>
    <row r="78" spans="1:10">
      <c r="A78">
        <v>30</v>
      </c>
      <c r="B78">
        <v>3</v>
      </c>
      <c r="C78" t="s">
        <v>35</v>
      </c>
      <c r="D78">
        <v>-33.965575544579899</v>
      </c>
      <c r="E78">
        <v>18.858489419957301</v>
      </c>
      <c r="F78">
        <v>4.3799999999999999E-2</v>
      </c>
      <c r="G78">
        <v>0.1096</v>
      </c>
      <c r="H78">
        <v>6.5750000000000003E-2</v>
      </c>
      <c r="I78">
        <v>6014.22</v>
      </c>
      <c r="J78">
        <v>6857.1149999999998</v>
      </c>
    </row>
    <row r="79" spans="1:10">
      <c r="A79">
        <v>31</v>
      </c>
      <c r="B79">
        <v>3</v>
      </c>
      <c r="C79" t="s">
        <v>35</v>
      </c>
      <c r="D79">
        <v>-33.966497809032298</v>
      </c>
      <c r="E79">
        <v>18.857197651891301</v>
      </c>
      <c r="F79">
        <v>4.3799999999999999E-2</v>
      </c>
      <c r="G79">
        <v>0.1096</v>
      </c>
      <c r="H79">
        <v>6.5750000000000003E-2</v>
      </c>
      <c r="I79">
        <v>5894.7920000000004</v>
      </c>
      <c r="J79">
        <v>6737.6869999999999</v>
      </c>
    </row>
    <row r="80" spans="1:10">
      <c r="A80">
        <v>32</v>
      </c>
      <c r="B80">
        <v>3</v>
      </c>
      <c r="C80" t="s">
        <v>35</v>
      </c>
      <c r="D80">
        <v>-33.9649695678469</v>
      </c>
      <c r="E80">
        <v>18.8575254644247</v>
      </c>
      <c r="F80">
        <v>4.3799999999999999E-2</v>
      </c>
      <c r="G80">
        <v>0.1096</v>
      </c>
      <c r="H80">
        <v>6.5750000000000003E-2</v>
      </c>
      <c r="I80">
        <v>5906.82</v>
      </c>
      <c r="J80">
        <v>6749.7150000000001</v>
      </c>
    </row>
    <row r="81" spans="1:10">
      <c r="A81">
        <v>33</v>
      </c>
      <c r="B81">
        <v>3</v>
      </c>
      <c r="C81" t="s">
        <v>35</v>
      </c>
      <c r="D81">
        <v>-33.9617480822141</v>
      </c>
      <c r="E81">
        <v>18.849766385980701</v>
      </c>
      <c r="F81">
        <v>4.3799999999999999E-2</v>
      </c>
      <c r="G81">
        <v>0.1096</v>
      </c>
      <c r="H81">
        <v>6.5750000000000003E-2</v>
      </c>
      <c r="I81">
        <v>4856.7449999999999</v>
      </c>
      <c r="J81">
        <v>5699.64</v>
      </c>
    </row>
    <row r="82" spans="1:10">
      <c r="A82">
        <v>34</v>
      </c>
      <c r="B82">
        <v>3</v>
      </c>
      <c r="C82" t="s">
        <v>35</v>
      </c>
      <c r="D82">
        <v>-33.964567878401702</v>
      </c>
      <c r="E82">
        <v>18.853566114246401</v>
      </c>
      <c r="F82">
        <v>4.3799999999999999E-2</v>
      </c>
      <c r="G82">
        <v>0.1096</v>
      </c>
      <c r="H82">
        <v>6.5750000000000003E-2</v>
      </c>
      <c r="I82">
        <v>5849.0460000000003</v>
      </c>
      <c r="J82">
        <v>6691.9409999999998</v>
      </c>
    </row>
    <row r="83" spans="1:10">
      <c r="A83">
        <v>35</v>
      </c>
      <c r="B83">
        <v>3</v>
      </c>
      <c r="C83" t="s">
        <v>35</v>
      </c>
      <c r="D83">
        <v>-33.961734458847701</v>
      </c>
      <c r="E83">
        <v>18.852767295223298</v>
      </c>
      <c r="F83">
        <v>4.3799999999999999E-2</v>
      </c>
      <c r="G83">
        <v>0.1096</v>
      </c>
      <c r="H83">
        <v>6.5750000000000003E-2</v>
      </c>
      <c r="I83">
        <v>5030.5219999999999</v>
      </c>
      <c r="J83">
        <v>5873.4170000000004</v>
      </c>
    </row>
    <row r="84" spans="1:10">
      <c r="A84">
        <v>36</v>
      </c>
      <c r="B84">
        <v>3</v>
      </c>
      <c r="C84" t="s">
        <v>35</v>
      </c>
      <c r="D84">
        <v>-33.967048181969702</v>
      </c>
      <c r="E84">
        <v>18.849784104667901</v>
      </c>
      <c r="F84">
        <v>4.3799999999999999E-2</v>
      </c>
      <c r="G84">
        <v>0.1096</v>
      </c>
      <c r="H84">
        <v>6.5750000000000003E-2</v>
      </c>
      <c r="I84">
        <v>6354.3339999999998</v>
      </c>
      <c r="J84">
        <v>7197.2290000000003</v>
      </c>
    </row>
    <row r="85" spans="1:10">
      <c r="A85">
        <v>37</v>
      </c>
      <c r="B85">
        <v>3</v>
      </c>
      <c r="C85" t="s">
        <v>35</v>
      </c>
      <c r="D85">
        <v>-33.962109764243003</v>
      </c>
      <c r="E85">
        <v>18.8574366579935</v>
      </c>
      <c r="F85">
        <v>4.3799999999999999E-2</v>
      </c>
      <c r="G85">
        <v>0.1096</v>
      </c>
      <c r="H85">
        <v>6.5750000000000003E-2</v>
      </c>
      <c r="I85">
        <v>5209.6549999999997</v>
      </c>
      <c r="J85">
        <v>6052.55</v>
      </c>
    </row>
    <row r="86" spans="1:10">
      <c r="A86">
        <v>38</v>
      </c>
      <c r="B86">
        <v>3</v>
      </c>
      <c r="C86" t="s">
        <v>35</v>
      </c>
      <c r="D86">
        <v>-33.960033466814203</v>
      </c>
      <c r="E86">
        <v>18.859678344518699</v>
      </c>
      <c r="F86">
        <v>4.3799999999999999E-2</v>
      </c>
      <c r="G86">
        <v>0.1096</v>
      </c>
      <c r="H86">
        <v>6.5750000000000003E-2</v>
      </c>
      <c r="I86">
        <v>5811.1970000000001</v>
      </c>
      <c r="J86">
        <v>6654.0910000000003</v>
      </c>
    </row>
    <row r="87" spans="1:10">
      <c r="A87">
        <v>39</v>
      </c>
      <c r="B87">
        <v>3</v>
      </c>
      <c r="C87" t="s">
        <v>35</v>
      </c>
      <c r="D87">
        <v>-33.967056135804697</v>
      </c>
      <c r="E87">
        <v>18.8518627662414</v>
      </c>
      <c r="F87">
        <v>4.3799999999999999E-2</v>
      </c>
      <c r="G87">
        <v>0.1096</v>
      </c>
      <c r="H87">
        <v>6.5750000000000003E-2</v>
      </c>
      <c r="I87">
        <v>6185.6149999999998</v>
      </c>
      <c r="J87">
        <v>7028.51</v>
      </c>
    </row>
    <row r="88" spans="1:10">
      <c r="A88">
        <v>40</v>
      </c>
      <c r="B88">
        <v>3</v>
      </c>
      <c r="C88" t="s">
        <v>35</v>
      </c>
      <c r="D88">
        <v>-33.9634798802986</v>
      </c>
      <c r="E88">
        <v>18.852025038397301</v>
      </c>
      <c r="F88">
        <v>4.3799999999999999E-2</v>
      </c>
      <c r="G88">
        <v>0.1096</v>
      </c>
      <c r="H88">
        <v>6.5750000000000003E-2</v>
      </c>
      <c r="I88">
        <v>5114.3919999999998</v>
      </c>
      <c r="J88">
        <v>5957.2860000000001</v>
      </c>
    </row>
    <row r="89" spans="1:10">
      <c r="A89">
        <v>41</v>
      </c>
      <c r="B89">
        <v>3</v>
      </c>
      <c r="C89" t="s">
        <v>35</v>
      </c>
      <c r="D89">
        <v>-33.961623275888201</v>
      </c>
      <c r="E89">
        <v>18.851942784120101</v>
      </c>
      <c r="F89">
        <v>4.3799999999999999E-2</v>
      </c>
      <c r="G89">
        <v>0.1096</v>
      </c>
      <c r="H89">
        <v>6.5750000000000003E-2</v>
      </c>
      <c r="I89">
        <v>5173.8100000000004</v>
      </c>
      <c r="J89">
        <v>6016.7049999999999</v>
      </c>
    </row>
    <row r="90" spans="1:10">
      <c r="A90">
        <v>42</v>
      </c>
      <c r="B90">
        <v>3</v>
      </c>
      <c r="C90" t="s">
        <v>35</v>
      </c>
      <c r="D90">
        <v>-33.961180593723803</v>
      </c>
      <c r="E90">
        <v>18.855631236507399</v>
      </c>
      <c r="F90">
        <v>4.3799999999999999E-2</v>
      </c>
      <c r="G90">
        <v>0.1096</v>
      </c>
      <c r="H90">
        <v>6.5750000000000003E-2</v>
      </c>
      <c r="I90">
        <v>4894.1639999999998</v>
      </c>
      <c r="J90">
        <v>5737.0590000000002</v>
      </c>
    </row>
    <row r="91" spans="1:10">
      <c r="A91">
        <v>43</v>
      </c>
      <c r="B91">
        <v>3</v>
      </c>
      <c r="C91" t="s">
        <v>35</v>
      </c>
      <c r="D91">
        <v>-33.967600665022502</v>
      </c>
      <c r="E91">
        <v>18.8590784408206</v>
      </c>
      <c r="F91">
        <v>4.3799999999999999E-2</v>
      </c>
      <c r="G91">
        <v>0.1096</v>
      </c>
      <c r="H91">
        <v>6.5750000000000003E-2</v>
      </c>
      <c r="I91">
        <v>6102.9369999999999</v>
      </c>
      <c r="J91">
        <v>6945.8320000000003</v>
      </c>
    </row>
    <row r="92" spans="1:10">
      <c r="A92">
        <v>44</v>
      </c>
      <c r="B92">
        <v>3</v>
      </c>
      <c r="C92" t="s">
        <v>35</v>
      </c>
      <c r="D92">
        <v>-33.965596597924403</v>
      </c>
      <c r="E92">
        <v>18.853272621906299</v>
      </c>
      <c r="F92">
        <v>4.3799999999999999E-2</v>
      </c>
      <c r="G92">
        <v>0.1096</v>
      </c>
      <c r="H92">
        <v>6.5750000000000003E-2</v>
      </c>
      <c r="I92">
        <v>5361.4769999999999</v>
      </c>
      <c r="J92">
        <v>6204.3720000000003</v>
      </c>
    </row>
    <row r="93" spans="1:10">
      <c r="A93">
        <v>45</v>
      </c>
      <c r="B93">
        <v>3</v>
      </c>
      <c r="C93" t="s">
        <v>35</v>
      </c>
      <c r="D93">
        <v>-33.964884674083599</v>
      </c>
      <c r="E93">
        <v>18.852178367704301</v>
      </c>
      <c r="F93">
        <v>4.3799999999999999E-2</v>
      </c>
      <c r="G93">
        <v>0.1096</v>
      </c>
      <c r="H93">
        <v>6.5750000000000003E-2</v>
      </c>
      <c r="I93">
        <v>6218.1880000000001</v>
      </c>
      <c r="J93">
        <v>7061.0829999999996</v>
      </c>
    </row>
    <row r="94" spans="1:10">
      <c r="A94">
        <v>46</v>
      </c>
      <c r="B94">
        <v>3</v>
      </c>
      <c r="C94" t="s">
        <v>35</v>
      </c>
      <c r="D94">
        <v>-33.967525364439098</v>
      </c>
      <c r="E94">
        <v>18.8557053509311</v>
      </c>
      <c r="F94">
        <v>4.3799999999999999E-2</v>
      </c>
      <c r="G94">
        <v>0.1096</v>
      </c>
      <c r="H94">
        <v>6.5750000000000003E-2</v>
      </c>
      <c r="I94">
        <v>6109.9350000000004</v>
      </c>
      <c r="J94">
        <v>6952.83</v>
      </c>
    </row>
    <row r="95" spans="1:10">
      <c r="A95">
        <v>47</v>
      </c>
      <c r="B95">
        <v>3</v>
      </c>
      <c r="C95" t="s">
        <v>35</v>
      </c>
      <c r="D95">
        <v>-33.9622015078453</v>
      </c>
      <c r="E95">
        <v>18.8523068939854</v>
      </c>
      <c r="F95">
        <v>4.3799999999999999E-2</v>
      </c>
      <c r="G95">
        <v>0.1096</v>
      </c>
      <c r="H95">
        <v>6.5750000000000003E-2</v>
      </c>
      <c r="I95">
        <v>5132.7020000000002</v>
      </c>
      <c r="J95">
        <v>5975.5959999999995</v>
      </c>
    </row>
    <row r="96" spans="1:10">
      <c r="A96">
        <v>48</v>
      </c>
      <c r="B96">
        <v>3</v>
      </c>
      <c r="C96" t="s">
        <v>35</v>
      </c>
      <c r="D96">
        <v>-33.965218309919102</v>
      </c>
      <c r="E96">
        <v>18.8517977577111</v>
      </c>
      <c r="F96">
        <v>4.3799999999999999E-2</v>
      </c>
      <c r="G96">
        <v>0.1096</v>
      </c>
      <c r="H96">
        <v>6.5750000000000003E-2</v>
      </c>
      <c r="I96">
        <v>6243.4549999999999</v>
      </c>
      <c r="J96">
        <v>7086.35</v>
      </c>
    </row>
    <row r="97" spans="1:10">
      <c r="A97">
        <v>49</v>
      </c>
      <c r="B97">
        <v>3</v>
      </c>
      <c r="C97" t="s">
        <v>35</v>
      </c>
      <c r="D97">
        <v>-33.961346925436501</v>
      </c>
      <c r="E97">
        <v>18.854739113268501</v>
      </c>
      <c r="F97">
        <v>4.3799999999999999E-2</v>
      </c>
      <c r="G97">
        <v>0.1096</v>
      </c>
      <c r="H97">
        <v>6.5750000000000003E-2</v>
      </c>
      <c r="I97">
        <v>4905.13</v>
      </c>
      <c r="J97">
        <v>5748.0240000000003</v>
      </c>
    </row>
    <row r="98" spans="1:10">
      <c r="A98">
        <v>50</v>
      </c>
      <c r="B98">
        <v>3</v>
      </c>
      <c r="C98" t="s">
        <v>35</v>
      </c>
      <c r="D98">
        <v>-33.963058002284598</v>
      </c>
      <c r="E98">
        <v>18.8564477353959</v>
      </c>
      <c r="F98">
        <v>4.3799999999999999E-2</v>
      </c>
      <c r="G98">
        <v>0.1096</v>
      </c>
      <c r="H98">
        <v>6.5750000000000003E-2</v>
      </c>
      <c r="I98">
        <v>5199.0780000000004</v>
      </c>
      <c r="J98">
        <v>6041.973</v>
      </c>
    </row>
    <row r="99" spans="1:10">
      <c r="A99">
        <v>51</v>
      </c>
      <c r="B99">
        <v>3</v>
      </c>
      <c r="C99" t="s">
        <v>35</v>
      </c>
      <c r="D99">
        <v>-33.960203666939798</v>
      </c>
      <c r="E99">
        <v>18.856498032062099</v>
      </c>
      <c r="F99">
        <v>4.3799999999999999E-2</v>
      </c>
      <c r="G99">
        <v>0.1096</v>
      </c>
      <c r="H99">
        <v>6.5750000000000003E-2</v>
      </c>
      <c r="I99">
        <v>5136.6130000000003</v>
      </c>
      <c r="J99">
        <v>5979.5069999999996</v>
      </c>
    </row>
    <row r="100" spans="1:10">
      <c r="A100">
        <v>52</v>
      </c>
      <c r="B100">
        <v>3</v>
      </c>
      <c r="C100" t="s">
        <v>35</v>
      </c>
      <c r="D100">
        <v>-33.962206046228196</v>
      </c>
      <c r="E100">
        <v>18.8497636053925</v>
      </c>
      <c r="F100">
        <v>4.3799999999999999E-2</v>
      </c>
      <c r="G100">
        <v>0.1096</v>
      </c>
      <c r="H100">
        <v>6.5750000000000003E-2</v>
      </c>
      <c r="I100">
        <v>4899.7529999999997</v>
      </c>
      <c r="J100">
        <v>5742.6480000000001</v>
      </c>
    </row>
    <row r="101" spans="1:10">
      <c r="A101">
        <v>53</v>
      </c>
      <c r="B101">
        <v>3</v>
      </c>
      <c r="C101" t="s">
        <v>35</v>
      </c>
      <c r="D101">
        <v>-33.961297529971802</v>
      </c>
      <c r="E101">
        <v>18.851053614481899</v>
      </c>
      <c r="F101">
        <v>4.3799999999999999E-2</v>
      </c>
      <c r="G101">
        <v>0.1096</v>
      </c>
      <c r="H101">
        <v>6.5750000000000003E-2</v>
      </c>
      <c r="I101">
        <v>4747.6360000000004</v>
      </c>
      <c r="J101">
        <v>5590.5309999999999</v>
      </c>
    </row>
    <row r="102" spans="1:10">
      <c r="A102">
        <v>54</v>
      </c>
      <c r="B102">
        <v>3</v>
      </c>
      <c r="C102" t="s">
        <v>35</v>
      </c>
      <c r="D102">
        <v>-33.963532582758098</v>
      </c>
      <c r="E102">
        <v>18.854814290832099</v>
      </c>
      <c r="F102">
        <v>4.3799999999999999E-2</v>
      </c>
      <c r="G102">
        <v>0.1096</v>
      </c>
      <c r="H102">
        <v>6.5750000000000003E-2</v>
      </c>
      <c r="I102">
        <v>5737.0649999999996</v>
      </c>
      <c r="J102">
        <v>6579.96</v>
      </c>
    </row>
    <row r="103" spans="1:10">
      <c r="A103">
        <v>55</v>
      </c>
      <c r="B103">
        <v>3</v>
      </c>
      <c r="C103" t="s">
        <v>35</v>
      </c>
      <c r="D103">
        <v>-33.967353029796598</v>
      </c>
      <c r="E103">
        <v>18.859291535412201</v>
      </c>
      <c r="F103">
        <v>4.3799999999999999E-2</v>
      </c>
      <c r="G103">
        <v>0.1096</v>
      </c>
      <c r="H103">
        <v>6.5750000000000003E-2</v>
      </c>
      <c r="I103">
        <v>6120.8779999999997</v>
      </c>
      <c r="J103">
        <v>6963.7719999999999</v>
      </c>
    </row>
    <row r="104" spans="1:10">
      <c r="A104">
        <v>56</v>
      </c>
      <c r="B104">
        <v>3</v>
      </c>
      <c r="C104" t="s">
        <v>35</v>
      </c>
      <c r="D104">
        <v>-33.967438345075998</v>
      </c>
      <c r="E104">
        <v>18.849994601966401</v>
      </c>
      <c r="F104">
        <v>4.3799999999999999E-2</v>
      </c>
      <c r="G104">
        <v>0.1096</v>
      </c>
      <c r="H104">
        <v>6.5750000000000003E-2</v>
      </c>
      <c r="I104">
        <v>6351.1639999999998</v>
      </c>
      <c r="J104">
        <v>7194.0590000000002</v>
      </c>
    </row>
    <row r="105" spans="1:10">
      <c r="A105">
        <v>57</v>
      </c>
      <c r="B105">
        <v>3</v>
      </c>
      <c r="C105" t="s">
        <v>35</v>
      </c>
      <c r="D105">
        <v>-33.960009583122797</v>
      </c>
      <c r="E105">
        <v>18.853047453205999</v>
      </c>
      <c r="F105">
        <v>4.3799999999999999E-2</v>
      </c>
      <c r="G105">
        <v>0.1096</v>
      </c>
      <c r="H105">
        <v>6.5750000000000003E-2</v>
      </c>
      <c r="I105">
        <v>5380.1509999999998</v>
      </c>
      <c r="J105">
        <v>6223.0460000000003</v>
      </c>
    </row>
    <row r="106" spans="1:10">
      <c r="A106">
        <v>58</v>
      </c>
      <c r="B106">
        <v>3</v>
      </c>
      <c r="C106" t="s">
        <v>35</v>
      </c>
      <c r="D106">
        <v>-33.961480203914803</v>
      </c>
      <c r="E106">
        <v>18.850487449792499</v>
      </c>
      <c r="F106">
        <v>4.3799999999999999E-2</v>
      </c>
      <c r="G106">
        <v>0.1096</v>
      </c>
      <c r="H106">
        <v>6.5750000000000003E-2</v>
      </c>
      <c r="I106">
        <v>4791.1760000000004</v>
      </c>
      <c r="J106">
        <v>5634.0709999999999</v>
      </c>
    </row>
    <row r="107" spans="1:10">
      <c r="A107">
        <v>0</v>
      </c>
      <c r="B107">
        <v>4</v>
      </c>
      <c r="C107" t="s">
        <v>21</v>
      </c>
      <c r="D107">
        <v>-33.979079508923299</v>
      </c>
      <c r="E107">
        <v>18.847848044943099</v>
      </c>
      <c r="F107">
        <v>4.3799999999999999E-2</v>
      </c>
      <c r="G107">
        <v>0.1096</v>
      </c>
      <c r="H107">
        <v>6.5750000000000003E-2</v>
      </c>
      <c r="I107">
        <v>7355.0569999999998</v>
      </c>
      <c r="J107">
        <v>8197.9519999999993</v>
      </c>
    </row>
    <row r="108" spans="1:10">
      <c r="A108">
        <v>1</v>
      </c>
      <c r="B108">
        <v>4</v>
      </c>
      <c r="C108" t="s">
        <v>21</v>
      </c>
      <c r="D108">
        <v>-33.977905067282201</v>
      </c>
      <c r="E108">
        <v>18.842412185305701</v>
      </c>
      <c r="F108">
        <v>4.3799999999999999E-2</v>
      </c>
      <c r="G108">
        <v>0.1096</v>
      </c>
      <c r="H108">
        <v>6.5750000000000003E-2</v>
      </c>
      <c r="I108">
        <v>7315.1480000000001</v>
      </c>
      <c r="J108">
        <v>8158.0429999999997</v>
      </c>
    </row>
    <row r="109" spans="1:10">
      <c r="A109">
        <v>2</v>
      </c>
      <c r="B109">
        <v>4</v>
      </c>
      <c r="C109" t="s">
        <v>21</v>
      </c>
      <c r="D109">
        <v>-33.981597569211601</v>
      </c>
      <c r="E109">
        <v>18.847785238060599</v>
      </c>
      <c r="F109">
        <v>4.3799999999999999E-2</v>
      </c>
      <c r="G109">
        <v>0.1096</v>
      </c>
      <c r="H109">
        <v>6.5750000000000003E-2</v>
      </c>
      <c r="I109">
        <v>7751.52</v>
      </c>
      <c r="J109">
        <v>8594.4150000000009</v>
      </c>
    </row>
    <row r="110" spans="1:10">
      <c r="A110">
        <v>3</v>
      </c>
      <c r="B110">
        <v>4</v>
      </c>
      <c r="C110" t="s">
        <v>21</v>
      </c>
      <c r="D110">
        <v>-33.979802632644997</v>
      </c>
      <c r="E110">
        <v>18.842909097698801</v>
      </c>
      <c r="F110">
        <v>4.3799999999999999E-2</v>
      </c>
      <c r="G110">
        <v>0.1096</v>
      </c>
      <c r="H110">
        <v>6.5750000000000003E-2</v>
      </c>
      <c r="I110">
        <v>7518.8459999999995</v>
      </c>
      <c r="J110">
        <v>8361.741</v>
      </c>
    </row>
    <row r="111" spans="1:10">
      <c r="A111">
        <v>4</v>
      </c>
      <c r="B111">
        <v>4</v>
      </c>
      <c r="C111" t="s">
        <v>21</v>
      </c>
      <c r="D111">
        <v>-33.975694876631202</v>
      </c>
      <c r="E111">
        <v>18.8402009660504</v>
      </c>
      <c r="F111">
        <v>4.3799999999999999E-2</v>
      </c>
      <c r="G111">
        <v>0.1096</v>
      </c>
      <c r="H111">
        <v>6.5750000000000003E-2</v>
      </c>
      <c r="I111">
        <v>6714.7479999999996</v>
      </c>
      <c r="J111">
        <v>7557.6419999999998</v>
      </c>
    </row>
    <row r="112" spans="1:10">
      <c r="A112">
        <v>5</v>
      </c>
      <c r="B112">
        <v>4</v>
      </c>
      <c r="C112" t="s">
        <v>21</v>
      </c>
      <c r="D112">
        <v>-33.982080294661202</v>
      </c>
      <c r="E112">
        <v>18.849478313134298</v>
      </c>
      <c r="F112">
        <v>4.3799999999999999E-2</v>
      </c>
      <c r="G112">
        <v>0.1096</v>
      </c>
      <c r="H112">
        <v>6.5750000000000003E-2</v>
      </c>
      <c r="I112">
        <v>8181.4470000000001</v>
      </c>
      <c r="J112">
        <v>9024.3420000000006</v>
      </c>
    </row>
    <row r="113" spans="1:10">
      <c r="A113">
        <v>6</v>
      </c>
      <c r="B113">
        <v>4</v>
      </c>
      <c r="C113" t="s">
        <v>21</v>
      </c>
      <c r="D113">
        <v>-33.979967406343498</v>
      </c>
      <c r="E113">
        <v>18.846621361891</v>
      </c>
      <c r="F113">
        <v>4.3799999999999999E-2</v>
      </c>
      <c r="G113">
        <v>0.1096</v>
      </c>
      <c r="H113">
        <v>6.5750000000000003E-2</v>
      </c>
      <c r="I113">
        <v>7878.3810000000003</v>
      </c>
      <c r="J113">
        <v>8721.2759999999998</v>
      </c>
    </row>
    <row r="114" spans="1:10">
      <c r="A114">
        <v>7</v>
      </c>
      <c r="B114">
        <v>4</v>
      </c>
      <c r="C114" t="s">
        <v>21</v>
      </c>
      <c r="D114">
        <v>-33.9788937078808</v>
      </c>
      <c r="E114">
        <v>18.854712604187799</v>
      </c>
      <c r="F114">
        <v>4.3799999999999999E-2</v>
      </c>
      <c r="G114">
        <v>0.1096</v>
      </c>
      <c r="H114">
        <v>6.5750000000000003E-2</v>
      </c>
      <c r="I114">
        <v>7930.4669999999996</v>
      </c>
      <c r="J114">
        <v>8773.3610000000008</v>
      </c>
    </row>
    <row r="115" spans="1:10">
      <c r="A115">
        <v>8</v>
      </c>
      <c r="B115">
        <v>4</v>
      </c>
      <c r="C115" t="s">
        <v>21</v>
      </c>
      <c r="D115">
        <v>-33.978864483975897</v>
      </c>
      <c r="E115">
        <v>18.847045861911202</v>
      </c>
      <c r="F115">
        <v>4.3799999999999999E-2</v>
      </c>
      <c r="G115">
        <v>0.1096</v>
      </c>
      <c r="H115">
        <v>6.5750000000000003E-2</v>
      </c>
      <c r="I115">
        <v>7277.0950000000003</v>
      </c>
      <c r="J115">
        <v>8119.99</v>
      </c>
    </row>
    <row r="116" spans="1:10">
      <c r="A116">
        <v>9</v>
      </c>
      <c r="B116">
        <v>4</v>
      </c>
      <c r="C116" t="s">
        <v>21</v>
      </c>
      <c r="D116">
        <v>-33.977125962645701</v>
      </c>
      <c r="E116">
        <v>18.854160234837799</v>
      </c>
      <c r="F116">
        <v>4.3799999999999999E-2</v>
      </c>
      <c r="G116">
        <v>0.1096</v>
      </c>
      <c r="H116">
        <v>6.5750000000000003E-2</v>
      </c>
      <c r="I116">
        <v>6728.79</v>
      </c>
      <c r="J116">
        <v>7571.6840000000002</v>
      </c>
    </row>
    <row r="117" spans="1:10">
      <c r="A117">
        <v>10</v>
      </c>
      <c r="B117">
        <v>4</v>
      </c>
      <c r="C117" t="s">
        <v>21</v>
      </c>
      <c r="D117">
        <v>-33.978522085729601</v>
      </c>
      <c r="E117">
        <v>18.8480129053798</v>
      </c>
      <c r="F117">
        <v>4.3799999999999999E-2</v>
      </c>
      <c r="G117">
        <v>0.1096</v>
      </c>
      <c r="H117">
        <v>6.5750000000000003E-2</v>
      </c>
      <c r="I117">
        <v>7241.973</v>
      </c>
      <c r="J117">
        <v>8084.8680000000004</v>
      </c>
    </row>
    <row r="118" spans="1:10">
      <c r="A118">
        <v>11</v>
      </c>
      <c r="B118">
        <v>4</v>
      </c>
      <c r="C118" t="s">
        <v>21</v>
      </c>
      <c r="D118">
        <v>-33.977277837086703</v>
      </c>
      <c r="E118">
        <v>18.8427132246516</v>
      </c>
      <c r="F118">
        <v>4.3799999999999999E-2</v>
      </c>
      <c r="G118">
        <v>0.1096</v>
      </c>
      <c r="H118">
        <v>6.5750000000000003E-2</v>
      </c>
      <c r="I118">
        <v>7077.5950000000003</v>
      </c>
      <c r="J118">
        <v>7920.49</v>
      </c>
    </row>
    <row r="119" spans="1:10">
      <c r="A119">
        <v>12</v>
      </c>
      <c r="B119">
        <v>4</v>
      </c>
      <c r="C119" t="s">
        <v>21</v>
      </c>
      <c r="D119">
        <v>-33.9812081143752</v>
      </c>
      <c r="E119">
        <v>18.854472756710098</v>
      </c>
      <c r="F119">
        <v>4.3799999999999999E-2</v>
      </c>
      <c r="G119">
        <v>0.1096</v>
      </c>
      <c r="H119">
        <v>6.5750000000000003E-2</v>
      </c>
      <c r="I119">
        <v>8014.0829999999996</v>
      </c>
      <c r="J119">
        <v>8856.9779999999992</v>
      </c>
    </row>
    <row r="120" spans="1:10">
      <c r="A120">
        <v>13</v>
      </c>
      <c r="B120">
        <v>4</v>
      </c>
      <c r="C120" t="s">
        <v>21</v>
      </c>
      <c r="D120">
        <v>-33.981721545550897</v>
      </c>
      <c r="E120">
        <v>18.8492520361754</v>
      </c>
      <c r="F120">
        <v>4.3799999999999999E-2</v>
      </c>
      <c r="G120">
        <v>0.1096</v>
      </c>
      <c r="H120">
        <v>6.5750000000000003E-2</v>
      </c>
      <c r="I120">
        <v>7845.4970000000003</v>
      </c>
      <c r="J120">
        <v>8688.3919999999998</v>
      </c>
    </row>
    <row r="121" spans="1:10">
      <c r="A121">
        <v>14</v>
      </c>
      <c r="B121">
        <v>4</v>
      </c>
      <c r="C121" t="s">
        <v>21</v>
      </c>
      <c r="D121">
        <v>-33.981349446597697</v>
      </c>
      <c r="E121">
        <v>18.8529206771458</v>
      </c>
      <c r="F121">
        <v>4.3799999999999999E-2</v>
      </c>
      <c r="G121">
        <v>0.1096</v>
      </c>
      <c r="H121">
        <v>6.5750000000000003E-2</v>
      </c>
      <c r="I121">
        <v>7943.1959999999999</v>
      </c>
      <c r="J121">
        <v>8786.0910000000003</v>
      </c>
    </row>
    <row r="122" spans="1:10">
      <c r="A122">
        <v>15</v>
      </c>
      <c r="B122">
        <v>4</v>
      </c>
      <c r="C122" t="s">
        <v>21</v>
      </c>
      <c r="D122">
        <v>-33.978849284710002</v>
      </c>
      <c r="E122">
        <v>18.854533164898001</v>
      </c>
      <c r="F122">
        <v>4.3799999999999999E-2</v>
      </c>
      <c r="G122">
        <v>0.1096</v>
      </c>
      <c r="H122">
        <v>6.5750000000000003E-2</v>
      </c>
      <c r="I122">
        <v>7828.1310000000003</v>
      </c>
      <c r="J122">
        <v>8671.0249999999996</v>
      </c>
    </row>
    <row r="123" spans="1:10">
      <c r="A123">
        <v>16</v>
      </c>
      <c r="B123">
        <v>4</v>
      </c>
      <c r="C123" t="s">
        <v>21</v>
      </c>
      <c r="D123">
        <v>-33.976241550580703</v>
      </c>
      <c r="E123">
        <v>18.8414901775777</v>
      </c>
      <c r="F123">
        <v>4.3799999999999999E-2</v>
      </c>
      <c r="G123">
        <v>0.1096</v>
      </c>
      <c r="H123">
        <v>6.5750000000000003E-2</v>
      </c>
      <c r="I123">
        <v>7597.3019999999997</v>
      </c>
      <c r="J123">
        <v>8440.1959999999999</v>
      </c>
    </row>
    <row r="124" spans="1:10">
      <c r="A124">
        <v>17</v>
      </c>
      <c r="B124">
        <v>4</v>
      </c>
      <c r="C124" t="s">
        <v>21</v>
      </c>
      <c r="D124">
        <v>-33.982246870667197</v>
      </c>
      <c r="E124">
        <v>18.8489446058122</v>
      </c>
      <c r="F124">
        <v>4.3799999999999999E-2</v>
      </c>
      <c r="G124">
        <v>0.1096</v>
      </c>
      <c r="H124">
        <v>6.5750000000000003E-2</v>
      </c>
      <c r="I124">
        <v>8035.6229999999996</v>
      </c>
      <c r="J124">
        <v>8878.518</v>
      </c>
    </row>
    <row r="125" spans="1:10">
      <c r="A125">
        <v>18</v>
      </c>
      <c r="B125">
        <v>4</v>
      </c>
      <c r="C125" t="s">
        <v>21</v>
      </c>
      <c r="D125">
        <v>-33.982468468240299</v>
      </c>
      <c r="E125">
        <v>18.8407405679893</v>
      </c>
      <c r="F125">
        <v>4.3799999999999999E-2</v>
      </c>
      <c r="G125">
        <v>0.1096</v>
      </c>
      <c r="H125">
        <v>6.5750000000000003E-2</v>
      </c>
      <c r="I125">
        <v>7603.8389999999999</v>
      </c>
      <c r="J125">
        <v>8446.7340000000004</v>
      </c>
    </row>
    <row r="126" spans="1:10">
      <c r="A126">
        <v>19</v>
      </c>
      <c r="B126">
        <v>4</v>
      </c>
      <c r="C126" t="s">
        <v>21</v>
      </c>
      <c r="D126">
        <v>-33.978065767261697</v>
      </c>
      <c r="E126">
        <v>18.852456674030702</v>
      </c>
      <c r="F126">
        <v>4.3799999999999999E-2</v>
      </c>
      <c r="G126">
        <v>0.1096</v>
      </c>
      <c r="H126">
        <v>6.5750000000000003E-2</v>
      </c>
      <c r="I126">
        <v>7756.8459999999995</v>
      </c>
      <c r="J126">
        <v>8599.741</v>
      </c>
    </row>
    <row r="127" spans="1:10">
      <c r="A127">
        <v>20</v>
      </c>
      <c r="B127">
        <v>4</v>
      </c>
      <c r="C127" t="s">
        <v>21</v>
      </c>
      <c r="D127">
        <v>-33.980651961432997</v>
      </c>
      <c r="E127">
        <v>18.852861542721101</v>
      </c>
      <c r="F127">
        <v>4.3799999999999999E-2</v>
      </c>
      <c r="G127">
        <v>0.1096</v>
      </c>
      <c r="H127">
        <v>6.5750000000000003E-2</v>
      </c>
      <c r="I127">
        <v>7833.9750000000004</v>
      </c>
      <c r="J127">
        <v>8676.8690000000006</v>
      </c>
    </row>
    <row r="128" spans="1:10">
      <c r="A128">
        <v>21</v>
      </c>
      <c r="B128">
        <v>4</v>
      </c>
      <c r="C128" t="s">
        <v>21</v>
      </c>
      <c r="D128">
        <v>-33.979957798333103</v>
      </c>
      <c r="E128">
        <v>18.843720156970001</v>
      </c>
      <c r="F128">
        <v>4.3799999999999999E-2</v>
      </c>
      <c r="G128">
        <v>0.1096</v>
      </c>
      <c r="H128">
        <v>6.5750000000000003E-2</v>
      </c>
      <c r="I128">
        <v>7609.0169999999998</v>
      </c>
      <c r="J128">
        <v>8451.9110000000001</v>
      </c>
    </row>
    <row r="129" spans="1:10">
      <c r="A129">
        <v>22</v>
      </c>
      <c r="B129">
        <v>4</v>
      </c>
      <c r="C129" t="s">
        <v>21</v>
      </c>
      <c r="D129">
        <v>-33.982711617225704</v>
      </c>
      <c r="E129">
        <v>18.846536018965502</v>
      </c>
      <c r="F129">
        <v>4.3799999999999999E-2</v>
      </c>
      <c r="G129">
        <v>0.1096</v>
      </c>
      <c r="H129">
        <v>6.5750000000000003E-2</v>
      </c>
      <c r="I129">
        <v>7959.223</v>
      </c>
      <c r="J129">
        <v>8802.1180000000004</v>
      </c>
    </row>
    <row r="130" spans="1:10">
      <c r="A130">
        <v>23</v>
      </c>
      <c r="B130">
        <v>4</v>
      </c>
      <c r="C130" t="s">
        <v>21</v>
      </c>
      <c r="D130">
        <v>-33.982555845690399</v>
      </c>
      <c r="E130">
        <v>18.851160272294301</v>
      </c>
      <c r="F130">
        <v>4.3799999999999999E-2</v>
      </c>
      <c r="G130">
        <v>0.1096</v>
      </c>
      <c r="H130">
        <v>6.5750000000000003E-2</v>
      </c>
      <c r="I130">
        <v>8013.6840000000002</v>
      </c>
      <c r="J130">
        <v>8856.5789999999997</v>
      </c>
    </row>
    <row r="131" spans="1:10">
      <c r="A131">
        <v>24</v>
      </c>
      <c r="B131">
        <v>4</v>
      </c>
      <c r="C131" t="s">
        <v>21</v>
      </c>
      <c r="D131">
        <v>-33.982560710255498</v>
      </c>
      <c r="E131">
        <v>18.848478959466799</v>
      </c>
      <c r="F131">
        <v>4.3799999999999999E-2</v>
      </c>
      <c r="G131">
        <v>0.1096</v>
      </c>
      <c r="H131">
        <v>6.5750000000000003E-2</v>
      </c>
      <c r="I131">
        <v>8075.45</v>
      </c>
      <c r="J131">
        <v>8918.3449999999993</v>
      </c>
    </row>
    <row r="132" spans="1:10">
      <c r="A132">
        <v>25</v>
      </c>
      <c r="B132">
        <v>4</v>
      </c>
      <c r="C132" t="s">
        <v>21</v>
      </c>
      <c r="D132">
        <v>-33.975550824371503</v>
      </c>
      <c r="E132">
        <v>18.843345411946402</v>
      </c>
      <c r="F132">
        <v>4.3799999999999999E-2</v>
      </c>
      <c r="G132">
        <v>0.1096</v>
      </c>
      <c r="H132">
        <v>6.5750000000000003E-2</v>
      </c>
      <c r="I132">
        <v>6818.8890000000001</v>
      </c>
      <c r="J132">
        <v>7661.7839999999997</v>
      </c>
    </row>
    <row r="133" spans="1:10">
      <c r="A133">
        <v>26</v>
      </c>
      <c r="B133">
        <v>4</v>
      </c>
      <c r="C133" t="s">
        <v>21</v>
      </c>
      <c r="D133">
        <v>-33.980273618071102</v>
      </c>
      <c r="E133">
        <v>18.8487964037027</v>
      </c>
      <c r="F133">
        <v>4.3799999999999999E-2</v>
      </c>
      <c r="G133">
        <v>0.1096</v>
      </c>
      <c r="H133">
        <v>6.5750000000000003E-2</v>
      </c>
      <c r="I133">
        <v>7629.0230000000001</v>
      </c>
      <c r="J133">
        <v>8471.9179999999997</v>
      </c>
    </row>
    <row r="134" spans="1:10">
      <c r="A134">
        <v>27</v>
      </c>
      <c r="B134">
        <v>4</v>
      </c>
      <c r="C134" t="s">
        <v>21</v>
      </c>
      <c r="D134">
        <v>-33.979334237496303</v>
      </c>
      <c r="E134">
        <v>18.845198142969899</v>
      </c>
      <c r="F134">
        <v>4.3799999999999999E-2</v>
      </c>
      <c r="G134">
        <v>0.1096</v>
      </c>
      <c r="H134">
        <v>6.5750000000000003E-2</v>
      </c>
      <c r="I134">
        <v>7334.0079999999998</v>
      </c>
      <c r="J134">
        <v>8176.9030000000002</v>
      </c>
    </row>
    <row r="135" spans="1:10">
      <c r="A135">
        <v>28</v>
      </c>
      <c r="B135">
        <v>4</v>
      </c>
      <c r="C135" t="s">
        <v>21</v>
      </c>
      <c r="D135">
        <v>-33.977467586802597</v>
      </c>
      <c r="E135">
        <v>18.8504314379582</v>
      </c>
      <c r="F135">
        <v>4.3799999999999999E-2</v>
      </c>
      <c r="G135">
        <v>0.1096</v>
      </c>
      <c r="H135">
        <v>6.5750000000000003E-2</v>
      </c>
      <c r="I135">
        <v>7561.9660000000003</v>
      </c>
      <c r="J135">
        <v>8404.8610000000008</v>
      </c>
    </row>
    <row r="136" spans="1:10">
      <c r="A136">
        <v>29</v>
      </c>
      <c r="B136">
        <v>4</v>
      </c>
      <c r="C136" t="s">
        <v>21</v>
      </c>
      <c r="D136">
        <v>-33.9781826028536</v>
      </c>
      <c r="E136">
        <v>18.849350449613201</v>
      </c>
      <c r="F136">
        <v>4.3799999999999999E-2</v>
      </c>
      <c r="G136">
        <v>0.1096</v>
      </c>
      <c r="H136">
        <v>6.5750000000000003E-2</v>
      </c>
      <c r="I136">
        <v>7359.3620000000001</v>
      </c>
      <c r="J136">
        <v>8202.2569999999996</v>
      </c>
    </row>
    <row r="137" spans="1:10">
      <c r="A137">
        <v>30</v>
      </c>
      <c r="B137">
        <v>4</v>
      </c>
      <c r="C137" t="s">
        <v>21</v>
      </c>
      <c r="D137">
        <v>-33.980532644721002</v>
      </c>
      <c r="E137">
        <v>18.8529243235058</v>
      </c>
      <c r="F137">
        <v>4.3799999999999999E-2</v>
      </c>
      <c r="G137">
        <v>0.1096</v>
      </c>
      <c r="H137">
        <v>6.5750000000000003E-2</v>
      </c>
      <c r="I137">
        <v>7833.7269999999999</v>
      </c>
      <c r="J137">
        <v>8676.6219999999994</v>
      </c>
    </row>
    <row r="138" spans="1:10">
      <c r="A138">
        <v>31</v>
      </c>
      <c r="B138">
        <v>4</v>
      </c>
      <c r="C138" t="s">
        <v>21</v>
      </c>
      <c r="D138">
        <v>-33.981443051487602</v>
      </c>
      <c r="E138">
        <v>18.8510216861809</v>
      </c>
      <c r="F138">
        <v>4.3799999999999999E-2</v>
      </c>
      <c r="G138">
        <v>0.1096</v>
      </c>
      <c r="H138">
        <v>6.5750000000000003E-2</v>
      </c>
      <c r="I138">
        <v>7824.0839999999998</v>
      </c>
      <c r="J138">
        <v>8666.9789999999994</v>
      </c>
    </row>
    <row r="139" spans="1:10">
      <c r="A139">
        <v>32</v>
      </c>
      <c r="B139">
        <v>4</v>
      </c>
      <c r="C139" t="s">
        <v>21</v>
      </c>
      <c r="D139">
        <v>-33.979934459117501</v>
      </c>
      <c r="E139">
        <v>18.851504519266701</v>
      </c>
      <c r="F139">
        <v>4.3799999999999999E-2</v>
      </c>
      <c r="G139">
        <v>0.1096</v>
      </c>
      <c r="H139">
        <v>6.5750000000000003E-2</v>
      </c>
      <c r="I139">
        <v>7679.607</v>
      </c>
      <c r="J139">
        <v>8522.5010000000002</v>
      </c>
    </row>
    <row r="140" spans="1:10">
      <c r="A140">
        <v>33</v>
      </c>
      <c r="B140">
        <v>4</v>
      </c>
      <c r="C140" t="s">
        <v>21</v>
      </c>
      <c r="D140">
        <v>-33.976754392585697</v>
      </c>
      <c r="E140">
        <v>18.8400762198347</v>
      </c>
      <c r="F140">
        <v>4.3799999999999999E-2</v>
      </c>
      <c r="G140">
        <v>0.1096</v>
      </c>
      <c r="H140">
        <v>6.5750000000000003E-2</v>
      </c>
      <c r="I140">
        <v>6788.43</v>
      </c>
      <c r="J140">
        <v>7631.3249999999998</v>
      </c>
    </row>
    <row r="141" spans="1:10">
      <c r="A141">
        <v>34</v>
      </c>
      <c r="B141">
        <v>4</v>
      </c>
      <c r="C141" t="s">
        <v>21</v>
      </c>
      <c r="D141">
        <v>-33.9795379342508</v>
      </c>
      <c r="E141">
        <v>18.8456728164787</v>
      </c>
      <c r="F141">
        <v>4.3799999999999999E-2</v>
      </c>
      <c r="G141">
        <v>0.1096</v>
      </c>
      <c r="H141">
        <v>6.5750000000000003E-2</v>
      </c>
      <c r="I141">
        <v>7328.9350000000004</v>
      </c>
      <c r="J141">
        <v>8171.83</v>
      </c>
    </row>
    <row r="142" spans="1:10">
      <c r="A142">
        <v>35</v>
      </c>
      <c r="B142">
        <v>4</v>
      </c>
      <c r="C142" t="s">
        <v>21</v>
      </c>
      <c r="D142">
        <v>-33.9767409443768</v>
      </c>
      <c r="E142">
        <v>18.844496240799899</v>
      </c>
      <c r="F142">
        <v>4.3799999999999999E-2</v>
      </c>
      <c r="G142">
        <v>0.1096</v>
      </c>
      <c r="H142">
        <v>6.5750000000000003E-2</v>
      </c>
      <c r="I142">
        <v>6886.549</v>
      </c>
      <c r="J142">
        <v>7729.4440000000004</v>
      </c>
    </row>
    <row r="143" spans="1:10">
      <c r="A143">
        <v>36</v>
      </c>
      <c r="B143">
        <v>4</v>
      </c>
      <c r="C143" t="s">
        <v>21</v>
      </c>
      <c r="D143">
        <v>-33.981986348201502</v>
      </c>
      <c r="E143">
        <v>18.840102317581302</v>
      </c>
      <c r="F143">
        <v>4.3799999999999999E-2</v>
      </c>
      <c r="G143">
        <v>0.1096</v>
      </c>
      <c r="H143">
        <v>6.5750000000000003E-2</v>
      </c>
      <c r="I143">
        <v>7552.6710000000003</v>
      </c>
      <c r="J143">
        <v>8395.5660000000007</v>
      </c>
    </row>
    <row r="144" spans="1:10">
      <c r="A144">
        <v>37</v>
      </c>
      <c r="B144">
        <v>4</v>
      </c>
      <c r="C144" t="s">
        <v>21</v>
      </c>
      <c r="D144">
        <v>-33.977111424417103</v>
      </c>
      <c r="E144">
        <v>18.8513737168145</v>
      </c>
      <c r="F144">
        <v>4.3799999999999999E-2</v>
      </c>
      <c r="G144">
        <v>0.1096</v>
      </c>
      <c r="H144">
        <v>6.5750000000000003E-2</v>
      </c>
      <c r="I144">
        <v>7643.549</v>
      </c>
      <c r="J144">
        <v>8486.4429999999993</v>
      </c>
    </row>
    <row r="145" spans="1:10">
      <c r="A145">
        <v>38</v>
      </c>
      <c r="B145">
        <v>4</v>
      </c>
      <c r="C145" t="s">
        <v>21</v>
      </c>
      <c r="D145">
        <v>-33.975061822240903</v>
      </c>
      <c r="E145">
        <v>18.8546754832585</v>
      </c>
      <c r="F145">
        <v>4.3799999999999999E-2</v>
      </c>
      <c r="G145">
        <v>0.1096</v>
      </c>
      <c r="H145">
        <v>6.5750000000000003E-2</v>
      </c>
      <c r="I145">
        <v>6557.116</v>
      </c>
      <c r="J145">
        <v>7400.0110000000004</v>
      </c>
    </row>
    <row r="146" spans="1:10">
      <c r="A146">
        <v>39</v>
      </c>
      <c r="B146">
        <v>4</v>
      </c>
      <c r="C146" t="s">
        <v>21</v>
      </c>
      <c r="D146">
        <v>-33.981994199772899</v>
      </c>
      <c r="E146">
        <v>18.8431639655658</v>
      </c>
      <c r="F146">
        <v>4.3799999999999999E-2</v>
      </c>
      <c r="G146">
        <v>0.1096</v>
      </c>
      <c r="H146">
        <v>6.5750000000000003E-2</v>
      </c>
      <c r="I146">
        <v>7654.8130000000001</v>
      </c>
      <c r="J146">
        <v>8497.7080000000005</v>
      </c>
    </row>
    <row r="147" spans="1:10">
      <c r="A147">
        <v>40</v>
      </c>
      <c r="B147">
        <v>4</v>
      </c>
      <c r="C147" t="s">
        <v>21</v>
      </c>
      <c r="D147">
        <v>-33.9784639246948</v>
      </c>
      <c r="E147">
        <v>18.843402975237002</v>
      </c>
      <c r="F147">
        <v>4.3799999999999999E-2</v>
      </c>
      <c r="G147">
        <v>0.1096</v>
      </c>
      <c r="H147">
        <v>6.5750000000000003E-2</v>
      </c>
      <c r="I147">
        <v>7173.3140000000003</v>
      </c>
      <c r="J147">
        <v>8016.2089999999998</v>
      </c>
    </row>
    <row r="148" spans="1:10">
      <c r="A148">
        <v>41</v>
      </c>
      <c r="B148">
        <v>4</v>
      </c>
      <c r="C148" t="s">
        <v>21</v>
      </c>
      <c r="D148">
        <v>-33.976631190912499</v>
      </c>
      <c r="E148">
        <v>18.8432818234125</v>
      </c>
      <c r="F148">
        <v>4.3799999999999999E-2</v>
      </c>
      <c r="G148">
        <v>0.1096</v>
      </c>
      <c r="H148">
        <v>6.5750000000000003E-2</v>
      </c>
      <c r="I148">
        <v>6833.8530000000001</v>
      </c>
      <c r="J148">
        <v>7676.7470000000003</v>
      </c>
    </row>
    <row r="149" spans="1:10">
      <c r="A149">
        <v>42</v>
      </c>
      <c r="B149">
        <v>4</v>
      </c>
      <c r="C149" t="s">
        <v>21</v>
      </c>
      <c r="D149">
        <v>-33.9761942003759</v>
      </c>
      <c r="E149">
        <v>18.848714522492301</v>
      </c>
      <c r="F149">
        <v>4.3799999999999999E-2</v>
      </c>
      <c r="G149">
        <v>0.1096</v>
      </c>
      <c r="H149">
        <v>6.5750000000000003E-2</v>
      </c>
      <c r="I149">
        <v>7362.8130000000001</v>
      </c>
      <c r="J149">
        <v>8205.7080000000005</v>
      </c>
    </row>
    <row r="150" spans="1:10">
      <c r="A150">
        <v>43</v>
      </c>
      <c r="B150">
        <v>4</v>
      </c>
      <c r="C150" t="s">
        <v>21</v>
      </c>
      <c r="D150">
        <v>-33.982531727900799</v>
      </c>
      <c r="E150">
        <v>18.853791888751601</v>
      </c>
      <c r="F150">
        <v>4.3799999999999999E-2</v>
      </c>
      <c r="G150">
        <v>0.1096</v>
      </c>
      <c r="H150">
        <v>6.5750000000000003E-2</v>
      </c>
      <c r="I150">
        <v>8121.7960000000003</v>
      </c>
      <c r="J150">
        <v>8964.6910000000007</v>
      </c>
    </row>
    <row r="151" spans="1:10">
      <c r="A151">
        <v>44</v>
      </c>
      <c r="B151">
        <v>4</v>
      </c>
      <c r="C151" t="s">
        <v>21</v>
      </c>
      <c r="D151">
        <v>-33.980553427379697</v>
      </c>
      <c r="E151">
        <v>18.845240533396701</v>
      </c>
      <c r="F151">
        <v>4.3799999999999999E-2</v>
      </c>
      <c r="G151">
        <v>0.1096</v>
      </c>
      <c r="H151">
        <v>6.5750000000000003E-2</v>
      </c>
      <c r="I151">
        <v>7723.86</v>
      </c>
      <c r="J151">
        <v>8566.7549999999992</v>
      </c>
    </row>
    <row r="152" spans="1:10">
      <c r="A152">
        <v>45</v>
      </c>
      <c r="B152">
        <v>4</v>
      </c>
      <c r="C152" t="s">
        <v>21</v>
      </c>
      <c r="D152">
        <v>-33.9798506568454</v>
      </c>
      <c r="E152">
        <v>18.843628813040301</v>
      </c>
      <c r="F152">
        <v>4.3799999999999999E-2</v>
      </c>
      <c r="G152">
        <v>0.1096</v>
      </c>
      <c r="H152">
        <v>6.5750000000000003E-2</v>
      </c>
      <c r="I152">
        <v>7551.4979999999996</v>
      </c>
      <c r="J152">
        <v>8394.393</v>
      </c>
    </row>
    <row r="153" spans="1:10">
      <c r="A153">
        <v>46</v>
      </c>
      <c r="B153">
        <v>4</v>
      </c>
      <c r="C153" t="s">
        <v>21</v>
      </c>
      <c r="D153">
        <v>-33.982457395467698</v>
      </c>
      <c r="E153">
        <v>18.8488236851761</v>
      </c>
      <c r="F153">
        <v>4.3799999999999999E-2</v>
      </c>
      <c r="G153">
        <v>0.1096</v>
      </c>
      <c r="H153">
        <v>6.5750000000000003E-2</v>
      </c>
      <c r="I153">
        <v>8053.7889999999998</v>
      </c>
      <c r="J153">
        <v>8896.6839999999993</v>
      </c>
    </row>
    <row r="154" spans="1:10">
      <c r="A154">
        <v>47</v>
      </c>
      <c r="B154">
        <v>4</v>
      </c>
      <c r="C154" t="s">
        <v>21</v>
      </c>
      <c r="D154">
        <v>-33.977201988458702</v>
      </c>
      <c r="E154">
        <v>18.843818118617701</v>
      </c>
      <c r="F154">
        <v>4.3799999999999999E-2</v>
      </c>
      <c r="G154">
        <v>0.1096</v>
      </c>
      <c r="H154">
        <v>6.5750000000000003E-2</v>
      </c>
      <c r="I154">
        <v>6963.6030000000001</v>
      </c>
      <c r="J154">
        <v>7806.4979999999996</v>
      </c>
    </row>
    <row r="155" spans="1:10">
      <c r="A155">
        <v>48</v>
      </c>
      <c r="B155">
        <v>4</v>
      </c>
      <c r="C155" t="s">
        <v>21</v>
      </c>
      <c r="D155">
        <v>-33.980180003077301</v>
      </c>
      <c r="E155">
        <v>18.843068214897102</v>
      </c>
      <c r="F155">
        <v>4.3799999999999999E-2</v>
      </c>
      <c r="G155">
        <v>0.1096</v>
      </c>
      <c r="H155">
        <v>6.5750000000000003E-2</v>
      </c>
      <c r="I155">
        <v>7492.2439999999997</v>
      </c>
      <c r="J155">
        <v>8335.1389999999992</v>
      </c>
    </row>
    <row r="156" spans="1:10">
      <c r="A156">
        <v>49</v>
      </c>
      <c r="B156">
        <v>4</v>
      </c>
      <c r="C156" t="s">
        <v>21</v>
      </c>
      <c r="D156">
        <v>-33.976358393538</v>
      </c>
      <c r="E156">
        <v>18.847400519601599</v>
      </c>
      <c r="F156">
        <v>4.3799999999999999E-2</v>
      </c>
      <c r="G156">
        <v>0.1096</v>
      </c>
      <c r="H156">
        <v>6.5750000000000003E-2</v>
      </c>
      <c r="I156">
        <v>7247.1149999999998</v>
      </c>
      <c r="J156">
        <v>8090.01</v>
      </c>
    </row>
    <row r="157" spans="1:10">
      <c r="A157">
        <v>50</v>
      </c>
      <c r="B157">
        <v>4</v>
      </c>
      <c r="C157" t="s">
        <v>21</v>
      </c>
      <c r="D157">
        <v>-33.978047470826702</v>
      </c>
      <c r="E157">
        <v>18.8499171387374</v>
      </c>
      <c r="F157">
        <v>4.3799999999999999E-2</v>
      </c>
      <c r="G157">
        <v>0.1096</v>
      </c>
      <c r="H157">
        <v>6.5750000000000003E-2</v>
      </c>
      <c r="I157">
        <v>7504.4629999999997</v>
      </c>
      <c r="J157">
        <v>8347.357</v>
      </c>
    </row>
    <row r="158" spans="1:10">
      <c r="A158">
        <v>51</v>
      </c>
      <c r="B158">
        <v>4</v>
      </c>
      <c r="C158" t="s">
        <v>21</v>
      </c>
      <c r="D158">
        <v>-33.975229834079101</v>
      </c>
      <c r="E158">
        <v>18.849991220391001</v>
      </c>
      <c r="F158">
        <v>4.3799999999999999E-2</v>
      </c>
      <c r="G158">
        <v>0.1096</v>
      </c>
      <c r="H158">
        <v>6.5750000000000003E-2</v>
      </c>
      <c r="I158">
        <v>7508.1570000000002</v>
      </c>
      <c r="J158">
        <v>8351.0509999999995</v>
      </c>
    </row>
    <row r="159" spans="1:10">
      <c r="A159">
        <v>52</v>
      </c>
      <c r="B159">
        <v>4</v>
      </c>
      <c r="C159" t="s">
        <v>21</v>
      </c>
      <c r="D159">
        <v>-33.977206468490998</v>
      </c>
      <c r="E159">
        <v>18.840072124323299</v>
      </c>
      <c r="F159">
        <v>4.3799999999999999E-2</v>
      </c>
      <c r="G159">
        <v>0.1096</v>
      </c>
      <c r="H159">
        <v>6.5750000000000003E-2</v>
      </c>
      <c r="I159">
        <v>6836.2610000000004</v>
      </c>
      <c r="J159">
        <v>7679.1559999999999</v>
      </c>
    </row>
    <row r="160" spans="1:10">
      <c r="A160">
        <v>53</v>
      </c>
      <c r="B160">
        <v>4</v>
      </c>
      <c r="C160" t="s">
        <v>21</v>
      </c>
      <c r="D160">
        <v>-33.976309633157797</v>
      </c>
      <c r="E160">
        <v>18.841972170862299</v>
      </c>
      <c r="F160">
        <v>4.3799999999999999E-2</v>
      </c>
      <c r="G160">
        <v>0.1096</v>
      </c>
      <c r="H160">
        <v>6.5750000000000003E-2</v>
      </c>
      <c r="I160">
        <v>7604.3329999999996</v>
      </c>
      <c r="J160">
        <v>8447.2279999999992</v>
      </c>
    </row>
    <row r="161" spans="1:10">
      <c r="A161">
        <v>54</v>
      </c>
      <c r="B161">
        <v>4</v>
      </c>
      <c r="C161" t="s">
        <v>21</v>
      </c>
      <c r="D161">
        <v>-33.978515949551301</v>
      </c>
      <c r="E161">
        <v>18.8475112481776</v>
      </c>
      <c r="F161">
        <v>4.3799999999999999E-2</v>
      </c>
      <c r="G161">
        <v>0.1096</v>
      </c>
      <c r="H161">
        <v>6.5750000000000003E-2</v>
      </c>
      <c r="I161">
        <v>7288.8459999999995</v>
      </c>
      <c r="J161">
        <v>8131.741</v>
      </c>
    </row>
    <row r="162" spans="1:10">
      <c r="A162">
        <v>55</v>
      </c>
      <c r="B162">
        <v>4</v>
      </c>
      <c r="C162" t="s">
        <v>21</v>
      </c>
      <c r="D162">
        <v>-33.982287276556399</v>
      </c>
      <c r="E162">
        <v>18.854105754479001</v>
      </c>
      <c r="F162">
        <v>4.3799999999999999E-2</v>
      </c>
      <c r="G162">
        <v>0.1096</v>
      </c>
      <c r="H162">
        <v>6.5750000000000003E-2</v>
      </c>
      <c r="I162">
        <v>8085.4219999999996</v>
      </c>
      <c r="J162">
        <v>8928.3169999999991</v>
      </c>
    </row>
    <row r="163" spans="1:10">
      <c r="A163">
        <v>56</v>
      </c>
      <c r="B163">
        <v>4</v>
      </c>
      <c r="C163" t="s">
        <v>21</v>
      </c>
      <c r="D163">
        <v>-33.982371494924998</v>
      </c>
      <c r="E163">
        <v>18.840412357771498</v>
      </c>
      <c r="F163">
        <v>4.3799999999999999E-2</v>
      </c>
      <c r="G163">
        <v>0.1096</v>
      </c>
      <c r="H163">
        <v>6.5750000000000003E-2</v>
      </c>
      <c r="I163">
        <v>7577.9629999999997</v>
      </c>
      <c r="J163">
        <v>8420.8580000000002</v>
      </c>
    </row>
    <row r="164" spans="1:10">
      <c r="A164">
        <v>57</v>
      </c>
      <c r="B164">
        <v>4</v>
      </c>
      <c r="C164" t="s">
        <v>21</v>
      </c>
      <c r="D164">
        <v>-33.975038245625498</v>
      </c>
      <c r="E164">
        <v>18.844908883788001</v>
      </c>
      <c r="F164">
        <v>4.3799999999999999E-2</v>
      </c>
      <c r="G164">
        <v>0.1096</v>
      </c>
      <c r="H164">
        <v>6.5750000000000003E-2</v>
      </c>
      <c r="I164">
        <v>6957.1189999999997</v>
      </c>
      <c r="J164">
        <v>7800.0140000000001</v>
      </c>
    </row>
    <row r="165" spans="1:10">
      <c r="A165">
        <v>58</v>
      </c>
      <c r="B165">
        <v>4</v>
      </c>
      <c r="C165" t="s">
        <v>21</v>
      </c>
      <c r="D165">
        <v>-33.976489958435899</v>
      </c>
      <c r="E165">
        <v>18.8411382703359</v>
      </c>
      <c r="F165">
        <v>4.3799999999999999E-2</v>
      </c>
      <c r="G165">
        <v>0.1096</v>
      </c>
      <c r="H165">
        <v>6.5750000000000003E-2</v>
      </c>
      <c r="I165">
        <v>6729.6880000000001</v>
      </c>
      <c r="J165">
        <v>7572.5829999999996</v>
      </c>
    </row>
    <row r="166" spans="1:10">
      <c r="A166">
        <v>59</v>
      </c>
      <c r="B166">
        <v>4</v>
      </c>
      <c r="C166" t="s">
        <v>21</v>
      </c>
      <c r="D166">
        <v>-33.979924175284701</v>
      </c>
      <c r="E166">
        <v>18.841248982110301</v>
      </c>
      <c r="F166">
        <v>4.3799999999999999E-2</v>
      </c>
      <c r="G166">
        <v>0.1096</v>
      </c>
      <c r="H166">
        <v>6.5750000000000003E-2</v>
      </c>
      <c r="I166">
        <v>7308.9160000000002</v>
      </c>
      <c r="J166">
        <v>8151.81</v>
      </c>
    </row>
    <row r="167" spans="1:10">
      <c r="A167">
        <v>0</v>
      </c>
      <c r="B167">
        <v>5</v>
      </c>
      <c r="C167" t="s">
        <v>50</v>
      </c>
      <c r="D167">
        <v>-33.900513513677403</v>
      </c>
      <c r="E167">
        <v>18.852923667818001</v>
      </c>
      <c r="F167">
        <v>4.3799999999999999E-2</v>
      </c>
      <c r="G167">
        <v>0.1096</v>
      </c>
      <c r="H167">
        <v>6.5750000000000003E-2</v>
      </c>
      <c r="I167">
        <v>7004.4279999999999</v>
      </c>
      <c r="J167">
        <v>8921.9680000000008</v>
      </c>
    </row>
    <row r="168" spans="1:10">
      <c r="A168">
        <v>1</v>
      </c>
      <c r="B168">
        <v>5</v>
      </c>
      <c r="C168" t="s">
        <v>50</v>
      </c>
      <c r="D168">
        <v>-33.899618093989098</v>
      </c>
      <c r="E168">
        <v>18.848391385802</v>
      </c>
      <c r="F168">
        <v>4.3799999999999999E-2</v>
      </c>
      <c r="G168">
        <v>0.1096</v>
      </c>
      <c r="H168">
        <v>6.5750000000000003E-2</v>
      </c>
      <c r="I168">
        <v>6628.201</v>
      </c>
      <c r="J168">
        <v>8545.7420000000002</v>
      </c>
    </row>
    <row r="169" spans="1:10">
      <c r="A169">
        <v>2</v>
      </c>
      <c r="B169">
        <v>5</v>
      </c>
      <c r="C169" t="s">
        <v>50</v>
      </c>
      <c r="D169">
        <v>-33.902433337259502</v>
      </c>
      <c r="E169">
        <v>18.852871301030898</v>
      </c>
      <c r="F169">
        <v>4.3799999999999999E-2</v>
      </c>
      <c r="G169">
        <v>0.1096</v>
      </c>
      <c r="H169">
        <v>6.5750000000000003E-2</v>
      </c>
      <c r="I169">
        <v>5677.6930000000002</v>
      </c>
      <c r="J169">
        <v>7595.2340000000004</v>
      </c>
    </row>
    <row r="170" spans="1:10">
      <c r="A170">
        <v>3</v>
      </c>
      <c r="B170">
        <v>5</v>
      </c>
      <c r="C170" t="s">
        <v>50</v>
      </c>
      <c r="D170">
        <v>-33.901064838830401</v>
      </c>
      <c r="E170">
        <v>18.848805698763201</v>
      </c>
      <c r="F170">
        <v>4.3799999999999999E-2</v>
      </c>
      <c r="G170">
        <v>0.1096</v>
      </c>
      <c r="H170">
        <v>6.5750000000000003E-2</v>
      </c>
      <c r="I170">
        <v>5984.3370000000004</v>
      </c>
      <c r="J170">
        <v>7901.8779999999997</v>
      </c>
    </row>
    <row r="171" spans="1:10">
      <c r="A171">
        <v>4</v>
      </c>
      <c r="B171">
        <v>5</v>
      </c>
      <c r="C171" t="s">
        <v>50</v>
      </c>
      <c r="D171">
        <v>-33.897932996872001</v>
      </c>
      <c r="E171">
        <v>18.846547727221299</v>
      </c>
      <c r="F171">
        <v>4.3799999999999999E-2</v>
      </c>
      <c r="G171">
        <v>0.1096</v>
      </c>
      <c r="H171">
        <v>6.5750000000000003E-2</v>
      </c>
      <c r="I171">
        <v>6568.22</v>
      </c>
      <c r="J171">
        <v>8485.7610000000004</v>
      </c>
    </row>
    <row r="172" spans="1:10">
      <c r="A172">
        <v>5</v>
      </c>
      <c r="B172">
        <v>5</v>
      </c>
      <c r="C172" t="s">
        <v>50</v>
      </c>
      <c r="D172">
        <v>-33.902801377574498</v>
      </c>
      <c r="E172">
        <v>18.854282944123302</v>
      </c>
      <c r="F172">
        <v>4.3799999999999999E-2</v>
      </c>
      <c r="G172">
        <v>0.1096</v>
      </c>
      <c r="H172">
        <v>6.5750000000000003E-2</v>
      </c>
      <c r="I172">
        <v>6048.7039999999997</v>
      </c>
      <c r="J172">
        <v>7966.2439999999997</v>
      </c>
    </row>
    <row r="173" spans="1:10">
      <c r="A173">
        <v>6</v>
      </c>
      <c r="B173">
        <v>5</v>
      </c>
      <c r="C173" t="s">
        <v>50</v>
      </c>
      <c r="D173">
        <v>-33.901190465859102</v>
      </c>
      <c r="E173">
        <v>18.851900890574399</v>
      </c>
      <c r="F173">
        <v>4.3799999999999999E-2</v>
      </c>
      <c r="G173">
        <v>0.1096</v>
      </c>
      <c r="H173">
        <v>6.5750000000000003E-2</v>
      </c>
      <c r="I173">
        <v>7004.4279999999999</v>
      </c>
      <c r="J173">
        <v>8921.9680000000008</v>
      </c>
    </row>
    <row r="174" spans="1:10">
      <c r="A174">
        <v>7</v>
      </c>
      <c r="B174">
        <v>5</v>
      </c>
      <c r="C174" t="s">
        <v>50</v>
      </c>
      <c r="D174">
        <v>-33.900371854947203</v>
      </c>
      <c r="E174">
        <v>18.858647163362001</v>
      </c>
      <c r="F174">
        <v>4.3799999999999999E-2</v>
      </c>
      <c r="G174">
        <v>0.1096</v>
      </c>
      <c r="H174">
        <v>6.5750000000000003E-2</v>
      </c>
      <c r="I174">
        <v>5997.58</v>
      </c>
      <c r="J174">
        <v>7915.1210000000001</v>
      </c>
    </row>
    <row r="175" spans="1:10">
      <c r="A175">
        <v>8</v>
      </c>
      <c r="B175">
        <v>5</v>
      </c>
      <c r="C175" t="s">
        <v>50</v>
      </c>
      <c r="D175">
        <v>-33.900349574010598</v>
      </c>
      <c r="E175">
        <v>18.852254827934001</v>
      </c>
      <c r="F175">
        <v>4.3799999999999999E-2</v>
      </c>
      <c r="G175">
        <v>0.1096</v>
      </c>
      <c r="H175">
        <v>6.5750000000000003E-2</v>
      </c>
      <c r="I175">
        <v>7004.4279999999999</v>
      </c>
      <c r="J175">
        <v>8921.9680000000008</v>
      </c>
    </row>
    <row r="176" spans="1:10">
      <c r="A176">
        <v>9</v>
      </c>
      <c r="B176">
        <v>5</v>
      </c>
      <c r="C176" t="s">
        <v>50</v>
      </c>
      <c r="D176">
        <v>-33.899024087776901</v>
      </c>
      <c r="E176">
        <v>18.8581866117954</v>
      </c>
      <c r="F176">
        <v>4.3799999999999999E-2</v>
      </c>
      <c r="G176">
        <v>0.1096</v>
      </c>
      <c r="H176">
        <v>6.5750000000000003E-2</v>
      </c>
      <c r="I176">
        <v>6204.7879999999996</v>
      </c>
      <c r="J176">
        <v>8122.3289999999997</v>
      </c>
    </row>
    <row r="177" spans="1:10">
      <c r="A177">
        <v>10</v>
      </c>
      <c r="B177">
        <v>5</v>
      </c>
      <c r="C177" t="s">
        <v>50</v>
      </c>
      <c r="D177">
        <v>-33.9000885221879</v>
      </c>
      <c r="E177">
        <v>18.853061124272301</v>
      </c>
      <c r="F177">
        <v>4.3799999999999999E-2</v>
      </c>
      <c r="G177">
        <v>0.1096</v>
      </c>
      <c r="H177">
        <v>6.5750000000000003E-2</v>
      </c>
      <c r="I177">
        <v>7004.4279999999999</v>
      </c>
      <c r="J177">
        <v>8921.9680000000008</v>
      </c>
    </row>
    <row r="178" spans="1:10">
      <c r="A178">
        <v>11</v>
      </c>
      <c r="B178">
        <v>5</v>
      </c>
      <c r="C178" t="s">
        <v>50</v>
      </c>
      <c r="D178">
        <v>-33.8991398801329</v>
      </c>
      <c r="E178">
        <v>18.84864238478</v>
      </c>
      <c r="F178">
        <v>4.3799999999999999E-2</v>
      </c>
      <c r="G178">
        <v>0.1096</v>
      </c>
      <c r="H178">
        <v>6.5750000000000003E-2</v>
      </c>
      <c r="I178">
        <v>6610.7839999999997</v>
      </c>
      <c r="J178">
        <v>8528.3250000000007</v>
      </c>
    </row>
    <row r="179" spans="1:10">
      <c r="A179">
        <v>12</v>
      </c>
      <c r="B179">
        <v>5</v>
      </c>
      <c r="C179" t="s">
        <v>50</v>
      </c>
      <c r="D179">
        <v>-33.902136408475599</v>
      </c>
      <c r="E179">
        <v>18.858447184612899</v>
      </c>
      <c r="F179">
        <v>4.3799999999999999E-2</v>
      </c>
      <c r="G179">
        <v>0.1096</v>
      </c>
      <c r="H179">
        <v>6.5750000000000003E-2</v>
      </c>
      <c r="I179">
        <v>5790.607</v>
      </c>
      <c r="J179">
        <v>7708.1480000000001</v>
      </c>
    </row>
    <row r="180" spans="1:10">
      <c r="A180">
        <v>13</v>
      </c>
      <c r="B180">
        <v>5</v>
      </c>
      <c r="C180" t="s">
        <v>50</v>
      </c>
      <c r="D180">
        <v>-33.902527859499799</v>
      </c>
      <c r="E180">
        <v>18.854094280129001</v>
      </c>
      <c r="F180">
        <v>4.3799999999999999E-2</v>
      </c>
      <c r="G180">
        <v>0.1096</v>
      </c>
      <c r="H180">
        <v>6.5750000000000003E-2</v>
      </c>
      <c r="I180">
        <v>6048.7039999999997</v>
      </c>
      <c r="J180">
        <v>7966.2439999999997</v>
      </c>
    </row>
    <row r="181" spans="1:10">
      <c r="A181">
        <v>14</v>
      </c>
      <c r="B181">
        <v>5</v>
      </c>
      <c r="C181" t="s">
        <v>50</v>
      </c>
      <c r="D181">
        <v>-33.902244163216402</v>
      </c>
      <c r="E181">
        <v>18.857153100003401</v>
      </c>
      <c r="F181">
        <v>4.3799999999999999E-2</v>
      </c>
      <c r="G181">
        <v>0.1096</v>
      </c>
      <c r="H181">
        <v>6.5750000000000003E-2</v>
      </c>
      <c r="I181">
        <v>5635.98</v>
      </c>
      <c r="J181">
        <v>7553.5209999999997</v>
      </c>
    </row>
    <row r="182" spans="1:10">
      <c r="A182">
        <v>15</v>
      </c>
      <c r="B182">
        <v>5</v>
      </c>
      <c r="C182" t="s">
        <v>50</v>
      </c>
      <c r="D182">
        <v>-33.900337985761801</v>
      </c>
      <c r="E182">
        <v>18.858497551429299</v>
      </c>
      <c r="F182">
        <v>4.3799999999999999E-2</v>
      </c>
      <c r="G182">
        <v>0.1096</v>
      </c>
      <c r="H182">
        <v>6.5750000000000003E-2</v>
      </c>
      <c r="I182">
        <v>5994.5609999999997</v>
      </c>
      <c r="J182">
        <v>7912.1019999999999</v>
      </c>
    </row>
    <row r="183" spans="1:10">
      <c r="A183">
        <v>16</v>
      </c>
      <c r="B183">
        <v>5</v>
      </c>
      <c r="C183" t="s">
        <v>50</v>
      </c>
      <c r="D183">
        <v>-33.8983497929053</v>
      </c>
      <c r="E183">
        <v>18.8476226391229</v>
      </c>
      <c r="F183">
        <v>4.3799999999999999E-2</v>
      </c>
      <c r="G183">
        <v>0.1096</v>
      </c>
      <c r="H183">
        <v>6.5750000000000003E-2</v>
      </c>
      <c r="I183">
        <v>6520.9570000000003</v>
      </c>
      <c r="J183">
        <v>8438.4979999999996</v>
      </c>
    </row>
    <row r="184" spans="1:10">
      <c r="A184">
        <v>17</v>
      </c>
      <c r="B184">
        <v>5</v>
      </c>
      <c r="C184" t="s">
        <v>50</v>
      </c>
      <c r="D184">
        <v>-33.902928378721398</v>
      </c>
      <c r="E184">
        <v>18.853837952482799</v>
      </c>
      <c r="F184">
        <v>4.3799999999999999E-2</v>
      </c>
      <c r="G184">
        <v>0.1096</v>
      </c>
      <c r="H184">
        <v>6.5750000000000003E-2</v>
      </c>
      <c r="I184">
        <v>6048.7039999999997</v>
      </c>
      <c r="J184">
        <v>7966.2439999999997</v>
      </c>
    </row>
    <row r="185" spans="1:10">
      <c r="A185">
        <v>18</v>
      </c>
      <c r="B185">
        <v>5</v>
      </c>
      <c r="C185" t="s">
        <v>50</v>
      </c>
      <c r="D185">
        <v>-33.903097329500198</v>
      </c>
      <c r="E185">
        <v>18.846997633644001</v>
      </c>
      <c r="F185">
        <v>4.3799999999999999E-2</v>
      </c>
      <c r="G185">
        <v>0.1096</v>
      </c>
      <c r="H185">
        <v>6.5750000000000003E-2</v>
      </c>
      <c r="I185">
        <v>5701.5150000000003</v>
      </c>
      <c r="J185">
        <v>7619.0559999999996</v>
      </c>
    </row>
    <row r="186" spans="1:10">
      <c r="A186">
        <v>19</v>
      </c>
      <c r="B186">
        <v>5</v>
      </c>
      <c r="C186" t="s">
        <v>50</v>
      </c>
      <c r="D186">
        <v>-33.899740615126397</v>
      </c>
      <c r="E186">
        <v>18.8567662259643</v>
      </c>
      <c r="F186">
        <v>4.3799999999999999E-2</v>
      </c>
      <c r="G186">
        <v>0.1096</v>
      </c>
      <c r="H186">
        <v>6.5750000000000003E-2</v>
      </c>
      <c r="I186">
        <v>6313.5829999999996</v>
      </c>
      <c r="J186">
        <v>8231.1239999999998</v>
      </c>
    </row>
    <row r="187" spans="1:10">
      <c r="A187">
        <v>20</v>
      </c>
      <c r="B187">
        <v>5</v>
      </c>
      <c r="C187" t="s">
        <v>50</v>
      </c>
      <c r="D187">
        <v>-33.901712385453401</v>
      </c>
      <c r="E187">
        <v>18.857103795218599</v>
      </c>
      <c r="F187">
        <v>4.3799999999999999E-2</v>
      </c>
      <c r="G187">
        <v>0.1096</v>
      </c>
      <c r="H187">
        <v>6.5750000000000003E-2</v>
      </c>
      <c r="I187">
        <v>5618.4269999999997</v>
      </c>
      <c r="J187">
        <v>7535.9679999999998</v>
      </c>
    </row>
    <row r="188" spans="1:10">
      <c r="A188">
        <v>21</v>
      </c>
      <c r="B188">
        <v>5</v>
      </c>
      <c r="C188" t="s">
        <v>50</v>
      </c>
      <c r="D188">
        <v>-33.901183140504301</v>
      </c>
      <c r="E188">
        <v>18.8494819394305</v>
      </c>
      <c r="F188">
        <v>4.3799999999999999E-2</v>
      </c>
      <c r="G188">
        <v>0.1096</v>
      </c>
      <c r="H188">
        <v>6.5750000000000003E-2</v>
      </c>
      <c r="I188">
        <v>5905.5479999999998</v>
      </c>
      <c r="J188">
        <v>7823.0879999999997</v>
      </c>
    </row>
    <row r="189" spans="1:10">
      <c r="A189">
        <v>22</v>
      </c>
      <c r="B189">
        <v>5</v>
      </c>
      <c r="C189" t="s">
        <v>50</v>
      </c>
      <c r="D189">
        <v>-33.903282711541301</v>
      </c>
      <c r="E189">
        <v>18.851829733805801</v>
      </c>
      <c r="F189">
        <v>4.3799999999999999E-2</v>
      </c>
      <c r="G189">
        <v>0.1096</v>
      </c>
      <c r="H189">
        <v>6.5750000000000003E-2</v>
      </c>
      <c r="I189">
        <v>5961.82</v>
      </c>
      <c r="J189">
        <v>7879.3609999999999</v>
      </c>
    </row>
    <row r="190" spans="1:10">
      <c r="A190">
        <v>23</v>
      </c>
      <c r="B190">
        <v>5</v>
      </c>
      <c r="C190" t="s">
        <v>50</v>
      </c>
      <c r="D190">
        <v>-33.903163947956401</v>
      </c>
      <c r="E190">
        <v>18.855685319048501</v>
      </c>
      <c r="F190">
        <v>4.3799999999999999E-2</v>
      </c>
      <c r="G190">
        <v>0.1096</v>
      </c>
      <c r="H190">
        <v>6.5750000000000003E-2</v>
      </c>
      <c r="I190">
        <v>5924.335</v>
      </c>
      <c r="J190">
        <v>7841.8760000000002</v>
      </c>
    </row>
    <row r="191" spans="1:10">
      <c r="A191">
        <v>24</v>
      </c>
      <c r="B191">
        <v>5</v>
      </c>
      <c r="C191" t="s">
        <v>50</v>
      </c>
      <c r="D191">
        <v>-33.903167656805998</v>
      </c>
      <c r="E191">
        <v>18.8534497083599</v>
      </c>
      <c r="F191">
        <v>4.3799999999999999E-2</v>
      </c>
      <c r="G191">
        <v>0.1096</v>
      </c>
      <c r="H191">
        <v>6.5750000000000003E-2</v>
      </c>
      <c r="I191">
        <v>5653.2</v>
      </c>
      <c r="J191">
        <v>7570.74</v>
      </c>
    </row>
    <row r="192" spans="1:10">
      <c r="A192">
        <v>25</v>
      </c>
      <c r="B192">
        <v>5</v>
      </c>
      <c r="C192" t="s">
        <v>50</v>
      </c>
      <c r="D192">
        <v>-33.897823168316002</v>
      </c>
      <c r="E192">
        <v>18.849169486526201</v>
      </c>
      <c r="F192">
        <v>4.3799999999999999E-2</v>
      </c>
      <c r="G192">
        <v>0.1096</v>
      </c>
      <c r="H192">
        <v>6.5750000000000003E-2</v>
      </c>
      <c r="I192">
        <v>6777.0230000000001</v>
      </c>
      <c r="J192">
        <v>8694.5630000000001</v>
      </c>
    </row>
    <row r="193" spans="1:10">
      <c r="A193">
        <v>26</v>
      </c>
      <c r="B193">
        <v>5</v>
      </c>
      <c r="C193" t="s">
        <v>50</v>
      </c>
      <c r="D193">
        <v>-33.901423928297802</v>
      </c>
      <c r="E193">
        <v>18.853714385319499</v>
      </c>
      <c r="F193">
        <v>4.3799999999999999E-2</v>
      </c>
      <c r="G193">
        <v>0.1096</v>
      </c>
      <c r="H193">
        <v>6.5750000000000003E-2</v>
      </c>
      <c r="I193">
        <v>6048.7039999999997</v>
      </c>
      <c r="J193">
        <v>7966.2439999999997</v>
      </c>
    </row>
    <row r="194" spans="1:10">
      <c r="A194">
        <v>27</v>
      </c>
      <c r="B194">
        <v>5</v>
      </c>
      <c r="C194" t="s">
        <v>50</v>
      </c>
      <c r="D194">
        <v>-33.900707724246402</v>
      </c>
      <c r="E194">
        <v>18.850714246703699</v>
      </c>
      <c r="F194">
        <v>4.3799999999999999E-2</v>
      </c>
      <c r="G194">
        <v>0.1096</v>
      </c>
      <c r="H194">
        <v>6.5750000000000003E-2</v>
      </c>
      <c r="I194">
        <v>6723.76</v>
      </c>
      <c r="J194">
        <v>8641.3009999999995</v>
      </c>
    </row>
    <row r="195" spans="1:10">
      <c r="A195">
        <v>28</v>
      </c>
      <c r="B195">
        <v>5</v>
      </c>
      <c r="C195" t="s">
        <v>50</v>
      </c>
      <c r="D195">
        <v>-33.899284549416997</v>
      </c>
      <c r="E195">
        <v>18.855077635448399</v>
      </c>
      <c r="F195">
        <v>4.3799999999999999E-2</v>
      </c>
      <c r="G195">
        <v>0.1096</v>
      </c>
      <c r="H195">
        <v>6.5750000000000003E-2</v>
      </c>
      <c r="I195">
        <v>6358</v>
      </c>
      <c r="J195">
        <v>8275.5400000000009</v>
      </c>
    </row>
    <row r="196" spans="1:10">
      <c r="A196">
        <v>29</v>
      </c>
      <c r="B196">
        <v>5</v>
      </c>
      <c r="C196" t="s">
        <v>50</v>
      </c>
      <c r="D196">
        <v>-33.899829693106597</v>
      </c>
      <c r="E196">
        <v>18.854176334759501</v>
      </c>
      <c r="F196">
        <v>4.3799999999999999E-2</v>
      </c>
      <c r="G196">
        <v>0.1096</v>
      </c>
      <c r="H196">
        <v>6.5750000000000003E-2</v>
      </c>
      <c r="I196">
        <v>6358</v>
      </c>
      <c r="J196">
        <v>8275.5400000000009</v>
      </c>
    </row>
    <row r="197" spans="1:10">
      <c r="A197">
        <v>30</v>
      </c>
      <c r="B197">
        <v>5</v>
      </c>
      <c r="C197" t="s">
        <v>50</v>
      </c>
      <c r="D197">
        <v>-33.901621415813601</v>
      </c>
      <c r="E197">
        <v>18.857156140245898</v>
      </c>
      <c r="F197">
        <v>4.3799999999999999E-2</v>
      </c>
      <c r="G197">
        <v>0.1096</v>
      </c>
      <c r="H197">
        <v>6.5750000000000003E-2</v>
      </c>
      <c r="I197">
        <v>5613.4989999999998</v>
      </c>
      <c r="J197">
        <v>7531.04</v>
      </c>
    </row>
    <row r="198" spans="1:10">
      <c r="A198">
        <v>31</v>
      </c>
      <c r="B198">
        <v>5</v>
      </c>
      <c r="C198" t="s">
        <v>50</v>
      </c>
      <c r="D198">
        <v>-33.902315529607399</v>
      </c>
      <c r="E198">
        <v>18.855569769458999</v>
      </c>
      <c r="F198">
        <v>4.3799999999999999E-2</v>
      </c>
      <c r="G198">
        <v>0.1096</v>
      </c>
      <c r="H198">
        <v>6.5750000000000003E-2</v>
      </c>
      <c r="I198">
        <v>6002.1040000000003</v>
      </c>
      <c r="J198">
        <v>7919.6450000000004</v>
      </c>
    </row>
    <row r="199" spans="1:10">
      <c r="A199">
        <v>32</v>
      </c>
      <c r="B199">
        <v>5</v>
      </c>
      <c r="C199" t="s">
        <v>50</v>
      </c>
      <c r="D199">
        <v>-33.901165346181898</v>
      </c>
      <c r="E199">
        <v>18.855972343450599</v>
      </c>
      <c r="F199">
        <v>4.3799999999999999E-2</v>
      </c>
      <c r="G199">
        <v>0.1096</v>
      </c>
      <c r="H199">
        <v>6.5750000000000003E-2</v>
      </c>
      <c r="I199">
        <v>6414.9949999999999</v>
      </c>
      <c r="J199">
        <v>8332.5360000000001</v>
      </c>
    </row>
    <row r="200" spans="1:10">
      <c r="A200">
        <v>33</v>
      </c>
      <c r="B200">
        <v>5</v>
      </c>
      <c r="C200" t="s">
        <v>50</v>
      </c>
      <c r="D200">
        <v>-33.898740794733101</v>
      </c>
      <c r="E200">
        <v>18.8464437169878</v>
      </c>
      <c r="F200">
        <v>4.3799999999999999E-2</v>
      </c>
      <c r="G200">
        <v>0.1096</v>
      </c>
      <c r="H200">
        <v>6.5750000000000003E-2</v>
      </c>
      <c r="I200">
        <v>6407.3789999999999</v>
      </c>
      <c r="J200">
        <v>8324.92</v>
      </c>
    </row>
    <row r="201" spans="1:10">
      <c r="A201">
        <v>34</v>
      </c>
      <c r="B201">
        <v>5</v>
      </c>
      <c r="C201" t="s">
        <v>50</v>
      </c>
      <c r="D201">
        <v>-33.9008630270542</v>
      </c>
      <c r="E201">
        <v>18.8511100174467</v>
      </c>
      <c r="F201">
        <v>4.3799999999999999E-2</v>
      </c>
      <c r="G201">
        <v>0.1096</v>
      </c>
      <c r="H201">
        <v>6.5750000000000003E-2</v>
      </c>
      <c r="I201">
        <v>7004.4279999999999</v>
      </c>
      <c r="J201">
        <v>8921.9680000000008</v>
      </c>
    </row>
    <row r="202" spans="1:10">
      <c r="A202">
        <v>35</v>
      </c>
      <c r="B202">
        <v>5</v>
      </c>
      <c r="C202" t="s">
        <v>50</v>
      </c>
      <c r="D202">
        <v>-33.898730541528003</v>
      </c>
      <c r="E202">
        <v>18.8501290184612</v>
      </c>
      <c r="F202">
        <v>4.3799999999999999E-2</v>
      </c>
      <c r="G202">
        <v>0.1096</v>
      </c>
      <c r="H202">
        <v>6.5750000000000003E-2</v>
      </c>
      <c r="I202">
        <v>6773.7709999999997</v>
      </c>
      <c r="J202">
        <v>8691.3119999999999</v>
      </c>
    </row>
    <row r="203" spans="1:10">
      <c r="A203">
        <v>36</v>
      </c>
      <c r="B203">
        <v>5</v>
      </c>
      <c r="C203" t="s">
        <v>50</v>
      </c>
      <c r="D203">
        <v>-33.902729750763399</v>
      </c>
      <c r="E203">
        <v>18.8464654766276</v>
      </c>
      <c r="F203">
        <v>4.3799999999999999E-2</v>
      </c>
      <c r="G203">
        <v>0.1096</v>
      </c>
      <c r="H203">
        <v>6.5750000000000003E-2</v>
      </c>
      <c r="I203">
        <v>5763.7529999999997</v>
      </c>
      <c r="J203">
        <v>7681.2939999999999</v>
      </c>
    </row>
    <row r="204" spans="1:10">
      <c r="A204">
        <v>37</v>
      </c>
      <c r="B204">
        <v>5</v>
      </c>
      <c r="C204" t="s">
        <v>50</v>
      </c>
      <c r="D204">
        <v>-33.899013003517197</v>
      </c>
      <c r="E204">
        <v>18.855863283680598</v>
      </c>
      <c r="F204">
        <v>4.3799999999999999E-2</v>
      </c>
      <c r="G204">
        <v>0.1096</v>
      </c>
      <c r="H204">
        <v>6.5750000000000003E-2</v>
      </c>
      <c r="I204">
        <v>6323.7420000000002</v>
      </c>
      <c r="J204">
        <v>8241.2819999999992</v>
      </c>
    </row>
    <row r="205" spans="1:10">
      <c r="A205">
        <v>38</v>
      </c>
      <c r="B205">
        <v>5</v>
      </c>
      <c r="C205" t="s">
        <v>50</v>
      </c>
      <c r="D205">
        <v>-33.897450342523697</v>
      </c>
      <c r="E205">
        <v>18.858616212871699</v>
      </c>
      <c r="F205">
        <v>4.3799999999999999E-2</v>
      </c>
      <c r="G205">
        <v>0.1096</v>
      </c>
      <c r="H205">
        <v>6.5750000000000003E-2</v>
      </c>
      <c r="I205">
        <v>5962.7610000000004</v>
      </c>
      <c r="J205">
        <v>7880.3010000000004</v>
      </c>
    </row>
    <row r="206" spans="1:10">
      <c r="A206">
        <v>39</v>
      </c>
      <c r="B206">
        <v>5</v>
      </c>
      <c r="C206" t="s">
        <v>50</v>
      </c>
      <c r="D206">
        <v>-33.902735736971103</v>
      </c>
      <c r="E206">
        <v>18.8490182011321</v>
      </c>
      <c r="F206">
        <v>4.3799999999999999E-2</v>
      </c>
      <c r="G206">
        <v>0.1096</v>
      </c>
      <c r="H206">
        <v>6.5750000000000003E-2</v>
      </c>
      <c r="I206">
        <v>5831.5140000000001</v>
      </c>
      <c r="J206">
        <v>7749.0550000000003</v>
      </c>
    </row>
    <row r="207" spans="1:10">
      <c r="A207">
        <v>40</v>
      </c>
      <c r="B207">
        <v>5</v>
      </c>
      <c r="C207" t="s">
        <v>50</v>
      </c>
      <c r="D207">
        <v>-33.900044178958098</v>
      </c>
      <c r="E207">
        <v>18.849217481339199</v>
      </c>
      <c r="F207">
        <v>4.3799999999999999E-2</v>
      </c>
      <c r="G207">
        <v>0.1096</v>
      </c>
      <c r="H207">
        <v>6.5750000000000003E-2</v>
      </c>
      <c r="I207">
        <v>6653.8670000000002</v>
      </c>
      <c r="J207">
        <v>8571.4079999999994</v>
      </c>
    </row>
    <row r="208" spans="1:10">
      <c r="A208">
        <v>41</v>
      </c>
      <c r="B208">
        <v>5</v>
      </c>
      <c r="C208" t="s">
        <v>50</v>
      </c>
      <c r="D208">
        <v>-33.898646863114898</v>
      </c>
      <c r="E208">
        <v>18.849116468018</v>
      </c>
      <c r="F208">
        <v>4.3799999999999999E-2</v>
      </c>
      <c r="G208">
        <v>0.1096</v>
      </c>
      <c r="H208">
        <v>6.5750000000000003E-2</v>
      </c>
      <c r="I208">
        <v>6677.9849999999997</v>
      </c>
      <c r="J208">
        <v>8595.5259999999998</v>
      </c>
    </row>
    <row r="209" spans="1:10">
      <c r="A209">
        <v>42</v>
      </c>
      <c r="B209">
        <v>5</v>
      </c>
      <c r="C209" t="s">
        <v>50</v>
      </c>
      <c r="D209">
        <v>-33.8983136920859</v>
      </c>
      <c r="E209">
        <v>18.853646114841101</v>
      </c>
      <c r="F209">
        <v>4.3799999999999999E-2</v>
      </c>
      <c r="G209">
        <v>0.1096</v>
      </c>
      <c r="H209">
        <v>6.5750000000000003E-2</v>
      </c>
      <c r="I209">
        <v>6992.0929999999998</v>
      </c>
      <c r="J209">
        <v>8909.6329999999998</v>
      </c>
    </row>
    <row r="210" spans="1:10">
      <c r="A210">
        <v>43</v>
      </c>
      <c r="B210">
        <v>5</v>
      </c>
      <c r="C210" t="s">
        <v>50</v>
      </c>
      <c r="D210">
        <v>-33.903145560032399</v>
      </c>
      <c r="E210">
        <v>18.857879494163001</v>
      </c>
      <c r="F210">
        <v>4.3799999999999999E-2</v>
      </c>
      <c r="G210">
        <v>0.1096</v>
      </c>
      <c r="H210">
        <v>6.5750000000000003E-2</v>
      </c>
      <c r="I210">
        <v>5835.4279999999999</v>
      </c>
      <c r="J210">
        <v>7752.9690000000001</v>
      </c>
    </row>
    <row r="211" spans="1:10">
      <c r="A211">
        <v>44</v>
      </c>
      <c r="B211">
        <v>5</v>
      </c>
      <c r="C211" t="s">
        <v>50</v>
      </c>
      <c r="D211">
        <v>-33.901637260961699</v>
      </c>
      <c r="E211">
        <v>18.8507495907673</v>
      </c>
      <c r="F211">
        <v>4.3799999999999999E-2</v>
      </c>
      <c r="G211">
        <v>0.1096</v>
      </c>
      <c r="H211">
        <v>6.5750000000000003E-2</v>
      </c>
      <c r="I211">
        <v>5834.6310000000003</v>
      </c>
      <c r="J211">
        <v>7752.1710000000003</v>
      </c>
    </row>
    <row r="212" spans="1:10">
      <c r="A212">
        <v>45</v>
      </c>
      <c r="B212">
        <v>5</v>
      </c>
      <c r="C212" t="s">
        <v>50</v>
      </c>
      <c r="D212">
        <v>-33.901101453518599</v>
      </c>
      <c r="E212">
        <v>18.8494057791766</v>
      </c>
      <c r="F212">
        <v>4.3799999999999999E-2</v>
      </c>
      <c r="G212">
        <v>0.1096</v>
      </c>
      <c r="H212">
        <v>6.5750000000000003E-2</v>
      </c>
      <c r="I212">
        <v>5917.0309999999999</v>
      </c>
      <c r="J212">
        <v>7834.5720000000001</v>
      </c>
    </row>
    <row r="213" spans="1:10">
      <c r="A213">
        <v>46</v>
      </c>
      <c r="B213">
        <v>5</v>
      </c>
      <c r="C213" t="s">
        <v>50</v>
      </c>
      <c r="D213">
        <v>-33.903088887378999</v>
      </c>
      <c r="E213">
        <v>18.8537371319206</v>
      </c>
      <c r="F213">
        <v>4.3799999999999999E-2</v>
      </c>
      <c r="G213">
        <v>0.1096</v>
      </c>
      <c r="H213">
        <v>6.5750000000000003E-2</v>
      </c>
      <c r="I213">
        <v>5653.2</v>
      </c>
      <c r="J213">
        <v>7570.74</v>
      </c>
    </row>
    <row r="214" spans="1:10">
      <c r="A214">
        <v>47</v>
      </c>
      <c r="B214">
        <v>5</v>
      </c>
      <c r="C214" t="s">
        <v>50</v>
      </c>
      <c r="D214">
        <v>-33.899082051499697</v>
      </c>
      <c r="E214">
        <v>18.849563617369899</v>
      </c>
      <c r="F214">
        <v>4.3799999999999999E-2</v>
      </c>
      <c r="G214">
        <v>0.1096</v>
      </c>
      <c r="H214">
        <v>6.5750000000000003E-2</v>
      </c>
      <c r="I214">
        <v>6709.6170000000002</v>
      </c>
      <c r="J214">
        <v>8627.1579999999994</v>
      </c>
    </row>
    <row r="215" spans="1:10">
      <c r="A215">
        <v>48</v>
      </c>
      <c r="B215">
        <v>5</v>
      </c>
      <c r="C215" t="s">
        <v>50</v>
      </c>
      <c r="D215">
        <v>-33.901352554203399</v>
      </c>
      <c r="E215">
        <v>18.848938366650899</v>
      </c>
      <c r="F215">
        <v>4.3799999999999999E-2</v>
      </c>
      <c r="G215">
        <v>0.1096</v>
      </c>
      <c r="H215">
        <v>6.5750000000000003E-2</v>
      </c>
      <c r="I215">
        <v>5922.0969999999998</v>
      </c>
      <c r="J215">
        <v>7839.6379999999999</v>
      </c>
    </row>
    <row r="216" spans="1:10">
      <c r="A216">
        <v>49</v>
      </c>
      <c r="B216">
        <v>5</v>
      </c>
      <c r="C216" t="s">
        <v>50</v>
      </c>
      <c r="D216">
        <v>-33.898438876501103</v>
      </c>
      <c r="E216">
        <v>18.852550532528898</v>
      </c>
      <c r="F216">
        <v>4.3799999999999999E-2</v>
      </c>
      <c r="G216">
        <v>0.1096</v>
      </c>
      <c r="H216">
        <v>6.5750000000000003E-2</v>
      </c>
      <c r="I216">
        <v>6987.7129999999997</v>
      </c>
      <c r="J216">
        <v>8905.2530000000006</v>
      </c>
    </row>
    <row r="217" spans="1:10">
      <c r="A217">
        <v>50</v>
      </c>
      <c r="B217">
        <v>5</v>
      </c>
      <c r="C217" t="s">
        <v>50</v>
      </c>
      <c r="D217">
        <v>-33.899726665529002</v>
      </c>
      <c r="E217">
        <v>18.8546488257909</v>
      </c>
      <c r="F217">
        <v>4.3799999999999999E-2</v>
      </c>
      <c r="G217">
        <v>0.1096</v>
      </c>
      <c r="H217">
        <v>6.5750000000000003E-2</v>
      </c>
      <c r="I217">
        <v>6358</v>
      </c>
      <c r="J217">
        <v>8275.5400000000009</v>
      </c>
    </row>
    <row r="218" spans="1:10">
      <c r="A218">
        <v>51</v>
      </c>
      <c r="B218">
        <v>5</v>
      </c>
      <c r="C218" t="s">
        <v>50</v>
      </c>
      <c r="D218">
        <v>-33.897578438380101</v>
      </c>
      <c r="E218">
        <v>18.854710593196401</v>
      </c>
      <c r="F218">
        <v>4.3799999999999999E-2</v>
      </c>
      <c r="G218">
        <v>0.1096</v>
      </c>
      <c r="H218">
        <v>6.5750000000000003E-2</v>
      </c>
      <c r="I218">
        <v>6886.6360000000004</v>
      </c>
      <c r="J218">
        <v>8804.1769999999997</v>
      </c>
    </row>
    <row r="219" spans="1:10">
      <c r="A219">
        <v>52</v>
      </c>
      <c r="B219">
        <v>5</v>
      </c>
      <c r="C219" t="s">
        <v>50</v>
      </c>
      <c r="D219">
        <v>-33.899085467173201</v>
      </c>
      <c r="E219">
        <v>18.846440302254202</v>
      </c>
      <c r="F219">
        <v>4.3799999999999999E-2</v>
      </c>
      <c r="G219">
        <v>0.1096</v>
      </c>
      <c r="H219">
        <v>6.5750000000000003E-2</v>
      </c>
      <c r="I219">
        <v>6403.0410000000002</v>
      </c>
      <c r="J219">
        <v>8320.5820000000003</v>
      </c>
    </row>
    <row r="220" spans="1:10">
      <c r="A220">
        <v>53</v>
      </c>
      <c r="B220">
        <v>5</v>
      </c>
      <c r="C220" t="s">
        <v>50</v>
      </c>
      <c r="D220">
        <v>-33.898401700533498</v>
      </c>
      <c r="E220">
        <v>18.8480245129095</v>
      </c>
      <c r="F220">
        <v>4.3799999999999999E-2</v>
      </c>
      <c r="G220">
        <v>0.1096</v>
      </c>
      <c r="H220">
        <v>6.5750000000000003E-2</v>
      </c>
      <c r="I220">
        <v>6538.8990000000003</v>
      </c>
      <c r="J220">
        <v>8456.4390000000003</v>
      </c>
    </row>
    <row r="221" spans="1:10">
      <c r="A221">
        <v>54</v>
      </c>
      <c r="B221">
        <v>5</v>
      </c>
      <c r="C221" t="s">
        <v>50</v>
      </c>
      <c r="D221">
        <v>-33.900083843833002</v>
      </c>
      <c r="E221">
        <v>18.852642855209599</v>
      </c>
      <c r="F221">
        <v>4.3799999999999999E-2</v>
      </c>
      <c r="G221">
        <v>0.1096</v>
      </c>
      <c r="H221">
        <v>6.5750000000000003E-2</v>
      </c>
      <c r="I221">
        <v>7004.4279999999999</v>
      </c>
      <c r="J221">
        <v>8921.9680000000008</v>
      </c>
    </row>
    <row r="222" spans="1:10">
      <c r="A222">
        <v>55</v>
      </c>
      <c r="B222">
        <v>5</v>
      </c>
      <c r="C222" t="s">
        <v>50</v>
      </c>
      <c r="D222">
        <v>-33.902959185044502</v>
      </c>
      <c r="E222">
        <v>18.858141187452901</v>
      </c>
      <c r="F222">
        <v>4.3799999999999999E-2</v>
      </c>
      <c r="G222">
        <v>0.1096</v>
      </c>
      <c r="H222">
        <v>6.5750000000000003E-2</v>
      </c>
      <c r="I222">
        <v>5878.4830000000002</v>
      </c>
      <c r="J222">
        <v>7796.0240000000003</v>
      </c>
    </row>
    <row r="223" spans="1:10">
      <c r="A223">
        <v>56</v>
      </c>
      <c r="B223">
        <v>5</v>
      </c>
      <c r="C223" t="s">
        <v>50</v>
      </c>
      <c r="D223">
        <v>-33.903023394948903</v>
      </c>
      <c r="E223">
        <v>18.8467239802814</v>
      </c>
      <c r="F223">
        <v>4.3799999999999999E-2</v>
      </c>
      <c r="G223">
        <v>0.1096</v>
      </c>
      <c r="H223">
        <v>6.5750000000000003E-2</v>
      </c>
      <c r="I223">
        <v>5723.3180000000002</v>
      </c>
      <c r="J223">
        <v>7640.8590000000004</v>
      </c>
    </row>
    <row r="224" spans="1:10">
      <c r="A224">
        <v>57</v>
      </c>
      <c r="B224">
        <v>5</v>
      </c>
      <c r="C224" t="s">
        <v>50</v>
      </c>
      <c r="D224">
        <v>-33.897432367202697</v>
      </c>
      <c r="E224">
        <v>18.850473069727901</v>
      </c>
      <c r="F224">
        <v>4.3799999999999999E-2</v>
      </c>
      <c r="G224">
        <v>0.1096</v>
      </c>
      <c r="H224">
        <v>6.5750000000000003E-2</v>
      </c>
      <c r="I224">
        <v>6939.8360000000002</v>
      </c>
      <c r="J224">
        <v>8857.3770000000004</v>
      </c>
    </row>
    <row r="225" spans="1:10">
      <c r="A225">
        <v>58</v>
      </c>
      <c r="B225">
        <v>5</v>
      </c>
      <c r="C225" t="s">
        <v>50</v>
      </c>
      <c r="D225">
        <v>-33.898539184422503</v>
      </c>
      <c r="E225">
        <v>18.847329227782399</v>
      </c>
      <c r="F225">
        <v>4.3799999999999999E-2</v>
      </c>
      <c r="G225">
        <v>0.1096</v>
      </c>
      <c r="H225">
        <v>6.5750000000000003E-2</v>
      </c>
      <c r="I225">
        <v>6502.12</v>
      </c>
      <c r="J225">
        <v>8419.6610000000001</v>
      </c>
    </row>
    <row r="226" spans="1:10">
      <c r="A226">
        <v>59</v>
      </c>
      <c r="B226">
        <v>5</v>
      </c>
      <c r="C226" t="s">
        <v>50</v>
      </c>
      <c r="D226">
        <v>-33.9011575055656</v>
      </c>
      <c r="E226">
        <v>18.847421536454299</v>
      </c>
      <c r="F226">
        <v>4.3799999999999999E-2</v>
      </c>
      <c r="G226">
        <v>0.1096</v>
      </c>
      <c r="H226">
        <v>6.5750000000000003E-2</v>
      </c>
      <c r="I226">
        <v>6002.2020000000002</v>
      </c>
      <c r="J226">
        <v>7919.7430000000004</v>
      </c>
    </row>
    <row r="227" spans="1:10">
      <c r="A227">
        <v>60</v>
      </c>
      <c r="B227">
        <v>5</v>
      </c>
      <c r="C227" t="s">
        <v>50</v>
      </c>
      <c r="D227">
        <v>-33.8975840645858</v>
      </c>
      <c r="E227">
        <v>18.846412293152</v>
      </c>
      <c r="F227">
        <v>4.3799999999999999E-2</v>
      </c>
      <c r="G227">
        <v>0.1096</v>
      </c>
      <c r="H227">
        <v>6.5750000000000003E-2</v>
      </c>
      <c r="I227">
        <v>6607.5889999999999</v>
      </c>
      <c r="J227">
        <v>8525.1299999999992</v>
      </c>
    </row>
    <row r="228" spans="1:10">
      <c r="A228">
        <v>61</v>
      </c>
      <c r="B228">
        <v>5</v>
      </c>
      <c r="C228" t="s">
        <v>50</v>
      </c>
      <c r="D228">
        <v>-33.8976255588925</v>
      </c>
      <c r="E228">
        <v>18.8472471481514</v>
      </c>
      <c r="F228">
        <v>4.3799999999999999E-2</v>
      </c>
      <c r="G228">
        <v>0.1096</v>
      </c>
      <c r="H228">
        <v>6.5750000000000003E-2</v>
      </c>
      <c r="I228">
        <v>6599.183</v>
      </c>
      <c r="J228">
        <v>8516.7240000000002</v>
      </c>
    </row>
    <row r="229" spans="1:10">
      <c r="A229">
        <v>62</v>
      </c>
      <c r="B229">
        <v>5</v>
      </c>
      <c r="C229" t="s">
        <v>50</v>
      </c>
      <c r="D229">
        <v>-33.902200971592301</v>
      </c>
      <c r="E229">
        <v>18.856566359635501</v>
      </c>
      <c r="F229">
        <v>4.3799999999999999E-2</v>
      </c>
      <c r="G229">
        <v>0.1096</v>
      </c>
      <c r="H229">
        <v>6.5750000000000003E-2</v>
      </c>
      <c r="I229">
        <v>5654.3450000000003</v>
      </c>
      <c r="J229">
        <v>7571.8860000000004</v>
      </c>
    </row>
    <row r="230" spans="1:10">
      <c r="A230">
        <v>63</v>
      </c>
      <c r="B230">
        <v>5</v>
      </c>
      <c r="C230" t="s">
        <v>50</v>
      </c>
      <c r="D230">
        <v>-33.899029335788498</v>
      </c>
      <c r="E230">
        <v>18.8561634553941</v>
      </c>
      <c r="F230">
        <v>4.3799999999999999E-2</v>
      </c>
      <c r="G230">
        <v>0.1096</v>
      </c>
      <c r="H230">
        <v>6.5750000000000003E-2</v>
      </c>
      <c r="I230">
        <v>6299.2269999999999</v>
      </c>
      <c r="J230">
        <v>8216.7669999999998</v>
      </c>
    </row>
    <row r="231" spans="1:10">
      <c r="A231">
        <v>64</v>
      </c>
      <c r="B231">
        <v>5</v>
      </c>
      <c r="C231" t="s">
        <v>50</v>
      </c>
      <c r="D231">
        <v>-33.900331092205903</v>
      </c>
      <c r="E231">
        <v>18.8554222185962</v>
      </c>
      <c r="F231">
        <v>4.3799999999999999E-2</v>
      </c>
      <c r="G231">
        <v>0.1096</v>
      </c>
      <c r="H231">
        <v>6.5750000000000003E-2</v>
      </c>
      <c r="I231">
        <v>6274.4269999999997</v>
      </c>
      <c r="J231">
        <v>8191.9669999999996</v>
      </c>
    </row>
    <row r="232" spans="1:10">
      <c r="A232">
        <v>65</v>
      </c>
      <c r="B232">
        <v>5</v>
      </c>
      <c r="C232" t="s">
        <v>50</v>
      </c>
      <c r="D232">
        <v>-33.901232526928403</v>
      </c>
      <c r="E232">
        <v>18.8571767523216</v>
      </c>
      <c r="F232">
        <v>4.3799999999999999E-2</v>
      </c>
      <c r="G232">
        <v>0.1096</v>
      </c>
      <c r="H232">
        <v>6.5750000000000003E-2</v>
      </c>
      <c r="I232">
        <v>6415.2640000000001</v>
      </c>
      <c r="J232">
        <v>8332.8050000000003</v>
      </c>
    </row>
    <row r="233" spans="1:10">
      <c r="A233">
        <v>66</v>
      </c>
      <c r="B233">
        <v>5</v>
      </c>
      <c r="C233" t="s">
        <v>50</v>
      </c>
      <c r="D233">
        <v>-33.903105298355598</v>
      </c>
      <c r="E233">
        <v>18.848952444774799</v>
      </c>
      <c r="F233">
        <v>4.3799999999999999E-2</v>
      </c>
      <c r="G233">
        <v>0.1096</v>
      </c>
      <c r="H233">
        <v>6.5750000000000003E-2</v>
      </c>
      <c r="I233">
        <v>5801.759</v>
      </c>
      <c r="J233">
        <v>7719.3</v>
      </c>
    </row>
    <row r="234" spans="1:10">
      <c r="A234">
        <v>67</v>
      </c>
      <c r="B234">
        <v>5</v>
      </c>
      <c r="C234" t="s">
        <v>50</v>
      </c>
      <c r="D234">
        <v>-33.901706767820002</v>
      </c>
      <c r="E234">
        <v>18.857217931427101</v>
      </c>
      <c r="F234">
        <v>4.3799999999999999E-2</v>
      </c>
      <c r="G234">
        <v>0.1096</v>
      </c>
      <c r="H234">
        <v>6.5750000000000003E-2</v>
      </c>
      <c r="I234">
        <v>5611.8469999999998</v>
      </c>
      <c r="J234">
        <v>7529.3869999999997</v>
      </c>
    </row>
    <row r="235" spans="1:10">
      <c r="A235">
        <v>68</v>
      </c>
      <c r="B235">
        <v>5</v>
      </c>
      <c r="C235" t="s">
        <v>50</v>
      </c>
      <c r="D235">
        <v>-33.902401750326703</v>
      </c>
      <c r="E235">
        <v>18.850439656111</v>
      </c>
      <c r="F235">
        <v>4.3799999999999999E-2</v>
      </c>
      <c r="G235">
        <v>0.1096</v>
      </c>
      <c r="H235">
        <v>6.5750000000000003E-2</v>
      </c>
      <c r="I235">
        <v>5779.1329999999998</v>
      </c>
      <c r="J235">
        <v>7696.674</v>
      </c>
    </row>
    <row r="236" spans="1:10">
      <c r="A236">
        <v>69</v>
      </c>
      <c r="B236">
        <v>5</v>
      </c>
      <c r="C236" t="s">
        <v>50</v>
      </c>
      <c r="D236">
        <v>-33.898522380797097</v>
      </c>
      <c r="E236">
        <v>18.8549813418255</v>
      </c>
      <c r="F236">
        <v>4.3799999999999999E-2</v>
      </c>
      <c r="G236">
        <v>0.1096</v>
      </c>
      <c r="H236">
        <v>6.5750000000000003E-2</v>
      </c>
      <c r="I236">
        <v>6358</v>
      </c>
      <c r="J236">
        <v>8275.5400000000009</v>
      </c>
    </row>
    <row r="237" spans="1:10">
      <c r="A237">
        <v>70</v>
      </c>
      <c r="B237">
        <v>5</v>
      </c>
      <c r="C237" t="s">
        <v>50</v>
      </c>
      <c r="D237">
        <v>-33.903040064911202</v>
      </c>
      <c r="E237">
        <v>18.852105632158398</v>
      </c>
      <c r="F237">
        <v>4.3799999999999999E-2</v>
      </c>
      <c r="G237">
        <v>0.1096</v>
      </c>
      <c r="H237">
        <v>6.5750000000000003E-2</v>
      </c>
      <c r="I237">
        <v>5987.9660000000003</v>
      </c>
      <c r="J237">
        <v>7905.5060000000003</v>
      </c>
    </row>
    <row r="238" spans="1:10">
      <c r="A238">
        <v>71</v>
      </c>
      <c r="B238">
        <v>5</v>
      </c>
      <c r="C238" t="s">
        <v>50</v>
      </c>
      <c r="D238">
        <v>-33.900693944249902</v>
      </c>
      <c r="E238">
        <v>18.852124300617199</v>
      </c>
      <c r="F238">
        <v>4.3799999999999999E-2</v>
      </c>
      <c r="G238">
        <v>0.1096</v>
      </c>
      <c r="H238">
        <v>6.5750000000000003E-2</v>
      </c>
      <c r="I238">
        <v>7004.4279999999999</v>
      </c>
      <c r="J238">
        <v>8921.9680000000008</v>
      </c>
    </row>
    <row r="239" spans="1:10">
      <c r="A239">
        <v>0</v>
      </c>
      <c r="B239">
        <v>6</v>
      </c>
      <c r="C239" t="s">
        <v>52</v>
      </c>
      <c r="D239">
        <v>-33.948088259943503</v>
      </c>
      <c r="E239">
        <v>18.8489201534899</v>
      </c>
      <c r="F239">
        <v>4.3799999999999999E-2</v>
      </c>
      <c r="G239">
        <v>0.1096</v>
      </c>
      <c r="H239">
        <v>6.5750000000000003E-2</v>
      </c>
      <c r="I239">
        <v>3448.4319999999998</v>
      </c>
      <c r="J239">
        <v>4291.326</v>
      </c>
    </row>
    <row r="240" spans="1:10">
      <c r="A240">
        <v>1</v>
      </c>
      <c r="B240">
        <v>6</v>
      </c>
      <c r="C240" t="s">
        <v>52</v>
      </c>
      <c r="D240">
        <v>-33.946303369258402</v>
      </c>
      <c r="E240">
        <v>18.8438549370027</v>
      </c>
      <c r="F240">
        <v>4.3799999999999999E-2</v>
      </c>
      <c r="G240">
        <v>0.1096</v>
      </c>
      <c r="H240">
        <v>6.5750000000000003E-2</v>
      </c>
      <c r="I240">
        <v>3586.6750000000002</v>
      </c>
      <c r="J240">
        <v>4429.57</v>
      </c>
    </row>
    <row r="241" spans="1:10">
      <c r="A241">
        <v>2</v>
      </c>
      <c r="B241">
        <v>6</v>
      </c>
      <c r="C241" t="s">
        <v>52</v>
      </c>
      <c r="D241">
        <v>-33.9519151528226</v>
      </c>
      <c r="E241">
        <v>18.8488616290838</v>
      </c>
      <c r="F241">
        <v>4.3799999999999999E-2</v>
      </c>
      <c r="G241">
        <v>0.1096</v>
      </c>
      <c r="H241">
        <v>6.5750000000000003E-2</v>
      </c>
      <c r="I241">
        <v>3934.3110000000001</v>
      </c>
      <c r="J241">
        <v>4777.2049999999999</v>
      </c>
    </row>
    <row r="242" spans="1:10">
      <c r="A242">
        <v>3</v>
      </c>
      <c r="B242">
        <v>6</v>
      </c>
      <c r="C242" t="s">
        <v>52</v>
      </c>
      <c r="D242">
        <v>-33.949187247538802</v>
      </c>
      <c r="E242">
        <v>18.8443179675102</v>
      </c>
      <c r="F242">
        <v>4.3799999999999999E-2</v>
      </c>
      <c r="G242">
        <v>0.1096</v>
      </c>
      <c r="H242">
        <v>6.5750000000000003E-2</v>
      </c>
      <c r="I242">
        <v>4085.3119999999999</v>
      </c>
      <c r="J242">
        <v>4928.2070000000003</v>
      </c>
    </row>
    <row r="243" spans="1:10">
      <c r="A243">
        <v>4</v>
      </c>
      <c r="B243">
        <v>6</v>
      </c>
      <c r="C243" t="s">
        <v>52</v>
      </c>
      <c r="D243">
        <v>-33.942944369911601</v>
      </c>
      <c r="E243">
        <v>18.841794489350299</v>
      </c>
      <c r="F243">
        <v>4.3799999999999999E-2</v>
      </c>
      <c r="G243">
        <v>0.1096</v>
      </c>
      <c r="H243">
        <v>6.5750000000000003E-2</v>
      </c>
      <c r="I243">
        <v>4036.1840000000002</v>
      </c>
      <c r="J243">
        <v>2185.2220000000002</v>
      </c>
    </row>
    <row r="244" spans="1:10">
      <c r="A244">
        <v>5</v>
      </c>
      <c r="B244">
        <v>6</v>
      </c>
      <c r="C244" t="s">
        <v>52</v>
      </c>
      <c r="D244">
        <v>-33.9526487883888</v>
      </c>
      <c r="E244">
        <v>18.850439262126201</v>
      </c>
      <c r="F244">
        <v>4.3799999999999999E-2</v>
      </c>
      <c r="G244">
        <v>0.1096</v>
      </c>
      <c r="H244">
        <v>6.5750000000000003E-2</v>
      </c>
      <c r="I244">
        <v>3941.4070000000002</v>
      </c>
      <c r="J244">
        <v>4784.3019999999997</v>
      </c>
    </row>
    <row r="245" spans="1:10">
      <c r="A245">
        <v>6</v>
      </c>
      <c r="B245">
        <v>6</v>
      </c>
      <c r="C245" t="s">
        <v>52</v>
      </c>
      <c r="D245">
        <v>-33.949437666997298</v>
      </c>
      <c r="E245">
        <v>18.847777111609801</v>
      </c>
      <c r="F245">
        <v>4.3799999999999999E-2</v>
      </c>
      <c r="G245">
        <v>0.1096</v>
      </c>
      <c r="H245">
        <v>6.5750000000000003E-2</v>
      </c>
      <c r="I245">
        <v>3896.567</v>
      </c>
      <c r="J245">
        <v>4739.4620000000004</v>
      </c>
    </row>
    <row r="246" spans="1:10">
      <c r="A246">
        <v>7</v>
      </c>
      <c r="B246">
        <v>6</v>
      </c>
      <c r="C246" t="s">
        <v>52</v>
      </c>
      <c r="D246">
        <v>-33.947805883588302</v>
      </c>
      <c r="E246">
        <v>18.855316653948599</v>
      </c>
      <c r="F246">
        <v>4.3799999999999999E-2</v>
      </c>
      <c r="G246">
        <v>0.1096</v>
      </c>
      <c r="H246">
        <v>6.5750000000000003E-2</v>
      </c>
      <c r="I246">
        <v>3039.4079999999999</v>
      </c>
      <c r="J246">
        <v>4146.8159999999998</v>
      </c>
    </row>
    <row r="247" spans="1:10">
      <c r="A247">
        <v>8</v>
      </c>
      <c r="B247">
        <v>6</v>
      </c>
      <c r="C247" t="s">
        <v>52</v>
      </c>
      <c r="D247">
        <v>-33.9477614697376</v>
      </c>
      <c r="E247">
        <v>18.848172667169401</v>
      </c>
      <c r="F247">
        <v>4.3799999999999999E-2</v>
      </c>
      <c r="G247">
        <v>0.1096</v>
      </c>
      <c r="H247">
        <v>6.5750000000000003E-2</v>
      </c>
      <c r="I247">
        <v>3479.9929999999999</v>
      </c>
      <c r="J247">
        <v>4322.8879999999999</v>
      </c>
    </row>
    <row r="248" spans="1:10">
      <c r="A248">
        <v>9</v>
      </c>
      <c r="B248">
        <v>6</v>
      </c>
      <c r="C248" t="s">
        <v>52</v>
      </c>
      <c r="D248">
        <v>-33.9451193030947</v>
      </c>
      <c r="E248">
        <v>18.854801947807299</v>
      </c>
      <c r="F248">
        <v>4.3799999999999999E-2</v>
      </c>
      <c r="G248">
        <v>0.1096</v>
      </c>
      <c r="H248">
        <v>6.5750000000000003E-2</v>
      </c>
      <c r="I248">
        <v>3220.779</v>
      </c>
      <c r="J248">
        <v>4063.6729999999998</v>
      </c>
    </row>
    <row r="249" spans="1:10">
      <c r="A249">
        <v>10</v>
      </c>
      <c r="B249">
        <v>6</v>
      </c>
      <c r="C249" t="s">
        <v>52</v>
      </c>
      <c r="D249">
        <v>-33.947241100381603</v>
      </c>
      <c r="E249">
        <v>18.849073772946198</v>
      </c>
      <c r="F249">
        <v>4.3799999999999999E-2</v>
      </c>
      <c r="G249">
        <v>0.1096</v>
      </c>
      <c r="H249">
        <v>6.5750000000000003E-2</v>
      </c>
      <c r="I249">
        <v>3307.665</v>
      </c>
      <c r="J249">
        <v>4150.5600000000004</v>
      </c>
    </row>
    <row r="250" spans="1:10">
      <c r="A250">
        <v>11</v>
      </c>
      <c r="B250">
        <v>6</v>
      </c>
      <c r="C250" t="s">
        <v>52</v>
      </c>
      <c r="D250">
        <v>-33.945350118543999</v>
      </c>
      <c r="E250">
        <v>18.844135450032802</v>
      </c>
      <c r="F250">
        <v>4.3799999999999999E-2</v>
      </c>
      <c r="G250">
        <v>0.1096</v>
      </c>
      <c r="H250">
        <v>6.5750000000000003E-2</v>
      </c>
      <c r="I250">
        <v>3636.4810000000002</v>
      </c>
      <c r="J250">
        <v>4479.3760000000002</v>
      </c>
    </row>
    <row r="251" spans="1:10">
      <c r="A251">
        <v>12</v>
      </c>
      <c r="B251">
        <v>6</v>
      </c>
      <c r="C251" t="s">
        <v>52</v>
      </c>
      <c r="D251">
        <v>-33.951323267891503</v>
      </c>
      <c r="E251">
        <v>18.8550931604297</v>
      </c>
      <c r="F251">
        <v>4.3799999999999999E-2</v>
      </c>
      <c r="G251">
        <v>0.1096</v>
      </c>
      <c r="H251">
        <v>6.5750000000000003E-2</v>
      </c>
      <c r="I251">
        <v>3510.433</v>
      </c>
      <c r="J251">
        <v>4353.3270000000002</v>
      </c>
    </row>
    <row r="252" spans="1:10">
      <c r="A252">
        <v>13</v>
      </c>
      <c r="B252">
        <v>6</v>
      </c>
      <c r="C252" t="s">
        <v>52</v>
      </c>
      <c r="D252">
        <v>-33.952103569347798</v>
      </c>
      <c r="E252">
        <v>18.850228413822698</v>
      </c>
      <c r="F252">
        <v>4.3799999999999999E-2</v>
      </c>
      <c r="G252">
        <v>0.1096</v>
      </c>
      <c r="H252">
        <v>6.5750000000000003E-2</v>
      </c>
      <c r="I252">
        <v>3884.895</v>
      </c>
      <c r="J252">
        <v>4727.79</v>
      </c>
    </row>
    <row r="253" spans="1:10">
      <c r="A253">
        <v>14</v>
      </c>
      <c r="B253">
        <v>6</v>
      </c>
      <c r="C253" t="s">
        <v>52</v>
      </c>
      <c r="D253">
        <v>-33.951538061508103</v>
      </c>
      <c r="E253">
        <v>18.853646909142299</v>
      </c>
      <c r="F253">
        <v>4.3799999999999999E-2</v>
      </c>
      <c r="G253">
        <v>0.1096</v>
      </c>
      <c r="H253">
        <v>6.5750000000000003E-2</v>
      </c>
      <c r="I253">
        <v>3727.0309999999999</v>
      </c>
      <c r="J253">
        <v>4569.9260000000004</v>
      </c>
    </row>
    <row r="254" spans="1:10">
      <c r="A254">
        <v>15</v>
      </c>
      <c r="B254">
        <v>6</v>
      </c>
      <c r="C254" t="s">
        <v>52</v>
      </c>
      <c r="D254">
        <v>-33.947738370226297</v>
      </c>
      <c r="E254">
        <v>18.855149449695801</v>
      </c>
      <c r="F254">
        <v>4.3799999999999999E-2</v>
      </c>
      <c r="G254">
        <v>0.1096</v>
      </c>
      <c r="H254">
        <v>6.5750000000000003E-2</v>
      </c>
      <c r="I254">
        <v>3052.12</v>
      </c>
      <c r="J254">
        <v>4134.1030000000001</v>
      </c>
    </row>
    <row r="255" spans="1:10">
      <c r="A255">
        <v>16</v>
      </c>
      <c r="B255">
        <v>6</v>
      </c>
      <c r="C255" t="s">
        <v>52</v>
      </c>
      <c r="D255">
        <v>-33.943775193007497</v>
      </c>
      <c r="E255">
        <v>18.842995796212399</v>
      </c>
      <c r="F255">
        <v>4.3799999999999999E-2</v>
      </c>
      <c r="G255">
        <v>0.1096</v>
      </c>
      <c r="H255">
        <v>6.5750000000000003E-2</v>
      </c>
      <c r="I255">
        <v>3680.2939999999999</v>
      </c>
      <c r="J255">
        <v>4523.1890000000003</v>
      </c>
    </row>
    <row r="256" spans="1:10">
      <c r="A256">
        <v>17</v>
      </c>
      <c r="B256">
        <v>6</v>
      </c>
      <c r="C256" t="s">
        <v>52</v>
      </c>
      <c r="D256">
        <v>-33.952901946954697</v>
      </c>
      <c r="E256">
        <v>18.849941945545599</v>
      </c>
      <c r="F256">
        <v>4.3799999999999999E-2</v>
      </c>
      <c r="G256">
        <v>0.1096</v>
      </c>
      <c r="H256">
        <v>6.5750000000000003E-2</v>
      </c>
      <c r="I256">
        <v>4007.1880000000001</v>
      </c>
      <c r="J256">
        <v>4850.0829999999996</v>
      </c>
    </row>
    <row r="257" spans="1:10">
      <c r="A257">
        <v>18</v>
      </c>
      <c r="B257">
        <v>6</v>
      </c>
      <c r="C257" t="s">
        <v>52</v>
      </c>
      <c r="D257">
        <v>-33.953238726093197</v>
      </c>
      <c r="E257">
        <v>18.842297298624299</v>
      </c>
      <c r="F257">
        <v>4.3799999999999999E-2</v>
      </c>
      <c r="G257">
        <v>0.1096</v>
      </c>
      <c r="H257">
        <v>6.5750000000000003E-2</v>
      </c>
      <c r="I257">
        <v>4005.4380000000001</v>
      </c>
      <c r="J257">
        <v>4848.3320000000003</v>
      </c>
    </row>
    <row r="258" spans="1:10">
      <c r="A258">
        <v>19</v>
      </c>
      <c r="B258">
        <v>6</v>
      </c>
      <c r="C258" t="s">
        <v>52</v>
      </c>
      <c r="D258">
        <v>-33.9465475975678</v>
      </c>
      <c r="E258">
        <v>18.853214543999499</v>
      </c>
      <c r="F258">
        <v>4.3799999999999999E-2</v>
      </c>
      <c r="G258">
        <v>0.1096</v>
      </c>
      <c r="H258">
        <v>6.5750000000000003E-2</v>
      </c>
      <c r="I258">
        <v>2951.7689999999998</v>
      </c>
      <c r="J258">
        <v>3794.6640000000002</v>
      </c>
    </row>
    <row r="259" spans="1:10">
      <c r="A259">
        <v>20</v>
      </c>
      <c r="B259">
        <v>6</v>
      </c>
      <c r="C259" t="s">
        <v>52</v>
      </c>
      <c r="D259">
        <v>-33.950478038829999</v>
      </c>
      <c r="E259">
        <v>18.853591806788099</v>
      </c>
      <c r="F259">
        <v>4.3799999999999999E-2</v>
      </c>
      <c r="G259">
        <v>0.1096</v>
      </c>
      <c r="H259">
        <v>6.5750000000000003E-2</v>
      </c>
      <c r="I259">
        <v>3525.69</v>
      </c>
      <c r="J259">
        <v>4368.585</v>
      </c>
    </row>
    <row r="260" spans="1:10">
      <c r="A260">
        <v>21</v>
      </c>
      <c r="B260">
        <v>6</v>
      </c>
      <c r="C260" t="s">
        <v>52</v>
      </c>
      <c r="D260">
        <v>-33.9494230649534</v>
      </c>
      <c r="E260">
        <v>18.845073724845101</v>
      </c>
      <c r="F260">
        <v>4.3799999999999999E-2</v>
      </c>
      <c r="G260">
        <v>0.1096</v>
      </c>
      <c r="H260">
        <v>6.5750000000000003E-2</v>
      </c>
      <c r="I260">
        <v>4144.7169999999996</v>
      </c>
      <c r="J260">
        <v>4987.6120000000001</v>
      </c>
    </row>
    <row r="261" spans="1:10">
      <c r="A261">
        <v>22</v>
      </c>
      <c r="B261">
        <v>6</v>
      </c>
      <c r="C261" t="s">
        <v>52</v>
      </c>
      <c r="D261">
        <v>-33.953608258595999</v>
      </c>
      <c r="E261">
        <v>18.847697587776899</v>
      </c>
      <c r="F261">
        <v>4.3799999999999999E-2</v>
      </c>
      <c r="G261">
        <v>0.1096</v>
      </c>
      <c r="H261">
        <v>6.5750000000000003E-2</v>
      </c>
      <c r="I261">
        <v>3961.9830000000002</v>
      </c>
      <c r="J261">
        <v>4804.8779999999997</v>
      </c>
    </row>
    <row r="262" spans="1:10">
      <c r="A262">
        <v>23</v>
      </c>
      <c r="B262">
        <v>6</v>
      </c>
      <c r="C262" t="s">
        <v>52</v>
      </c>
      <c r="D262">
        <v>-33.953371520428099</v>
      </c>
      <c r="E262">
        <v>18.8520065371915</v>
      </c>
      <c r="F262">
        <v>4.3799999999999999E-2</v>
      </c>
      <c r="G262">
        <v>0.1096</v>
      </c>
      <c r="H262">
        <v>6.5750000000000003E-2</v>
      </c>
      <c r="I262">
        <v>4098.0609999999997</v>
      </c>
      <c r="J262">
        <v>4940.9560000000001</v>
      </c>
    </row>
    <row r="263" spans="1:10">
      <c r="A263">
        <v>24</v>
      </c>
      <c r="B263">
        <v>6</v>
      </c>
      <c r="C263" t="s">
        <v>52</v>
      </c>
      <c r="D263">
        <v>-33.953378913487597</v>
      </c>
      <c r="E263">
        <v>18.849508049215899</v>
      </c>
      <c r="F263">
        <v>4.3799999999999999E-2</v>
      </c>
      <c r="G263">
        <v>0.1096</v>
      </c>
      <c r="H263">
        <v>6.5750000000000003E-2</v>
      </c>
      <c r="I263">
        <v>4016.672</v>
      </c>
      <c r="J263">
        <v>4859.567</v>
      </c>
    </row>
    <row r="264" spans="1:10">
      <c r="A264">
        <v>25</v>
      </c>
      <c r="B264">
        <v>6</v>
      </c>
      <c r="C264" t="s">
        <v>52</v>
      </c>
      <c r="D264">
        <v>-33.942725442442097</v>
      </c>
      <c r="E264">
        <v>18.844724531746198</v>
      </c>
      <c r="F264">
        <v>4.3799999999999999E-2</v>
      </c>
      <c r="G264">
        <v>0.1096</v>
      </c>
      <c r="H264">
        <v>6.5750000000000003E-2</v>
      </c>
      <c r="I264">
        <v>4182.308</v>
      </c>
      <c r="J264">
        <v>2345.2159999999999</v>
      </c>
    </row>
    <row r="265" spans="1:10">
      <c r="A265">
        <v>26</v>
      </c>
      <c r="B265">
        <v>6</v>
      </c>
      <c r="C265" t="s">
        <v>52</v>
      </c>
      <c r="D265">
        <v>-33.949903040874602</v>
      </c>
      <c r="E265">
        <v>18.849803848571401</v>
      </c>
      <c r="F265">
        <v>4.3799999999999999E-2</v>
      </c>
      <c r="G265">
        <v>0.1096</v>
      </c>
      <c r="H265">
        <v>6.5750000000000003E-2</v>
      </c>
      <c r="I265">
        <v>3659.9690000000001</v>
      </c>
      <c r="J265">
        <v>4502.8630000000003</v>
      </c>
    </row>
    <row r="266" spans="1:10">
      <c r="A266">
        <v>27</v>
      </c>
      <c r="B266">
        <v>6</v>
      </c>
      <c r="C266" t="s">
        <v>52</v>
      </c>
      <c r="D266">
        <v>-33.94847539085</v>
      </c>
      <c r="E266">
        <v>18.846450934624901</v>
      </c>
      <c r="F266">
        <v>4.3799999999999999E-2</v>
      </c>
      <c r="G266">
        <v>0.1096</v>
      </c>
      <c r="H266">
        <v>6.5750000000000003E-2</v>
      </c>
      <c r="I266">
        <v>3661.585</v>
      </c>
      <c r="J266">
        <v>4504.4799999999996</v>
      </c>
    </row>
    <row r="267" spans="1:10">
      <c r="A267">
        <v>28</v>
      </c>
      <c r="B267">
        <v>6</v>
      </c>
      <c r="C267" t="s">
        <v>52</v>
      </c>
      <c r="D267">
        <v>-33.945638496006602</v>
      </c>
      <c r="E267">
        <v>18.8513273982987</v>
      </c>
      <c r="F267">
        <v>4.3799999999999999E-2</v>
      </c>
      <c r="G267">
        <v>0.1096</v>
      </c>
      <c r="H267">
        <v>6.5750000000000003E-2</v>
      </c>
      <c r="I267">
        <v>2966.7179999999998</v>
      </c>
      <c r="J267">
        <v>3809.6120000000001</v>
      </c>
    </row>
    <row r="268" spans="1:10">
      <c r="A268">
        <v>29</v>
      </c>
      <c r="B268">
        <v>6</v>
      </c>
      <c r="C268" t="s">
        <v>52</v>
      </c>
      <c r="D268">
        <v>-33.946725161741597</v>
      </c>
      <c r="E268">
        <v>18.850320116957199</v>
      </c>
      <c r="F268">
        <v>4.3799999999999999E-2</v>
      </c>
      <c r="G268">
        <v>0.1096</v>
      </c>
      <c r="H268">
        <v>6.5750000000000003E-2</v>
      </c>
      <c r="I268">
        <v>3187.2150000000001</v>
      </c>
      <c r="J268">
        <v>4030.11</v>
      </c>
    </row>
    <row r="269" spans="1:10">
      <c r="A269">
        <v>30</v>
      </c>
      <c r="B269">
        <v>6</v>
      </c>
      <c r="C269" t="s">
        <v>52</v>
      </c>
      <c r="D269">
        <v>-33.950296703904201</v>
      </c>
      <c r="E269">
        <v>18.853650306875899</v>
      </c>
      <c r="F269">
        <v>4.3799999999999999E-2</v>
      </c>
      <c r="G269">
        <v>0.1096</v>
      </c>
      <c r="H269">
        <v>6.5750000000000003E-2</v>
      </c>
      <c r="I269">
        <v>3517.3150000000001</v>
      </c>
      <c r="J269">
        <v>4360.21</v>
      </c>
    </row>
    <row r="270" spans="1:10">
      <c r="A270">
        <v>31</v>
      </c>
      <c r="B270">
        <v>6</v>
      </c>
      <c r="C270" t="s">
        <v>52</v>
      </c>
      <c r="D270">
        <v>-33.9516803201697</v>
      </c>
      <c r="E270">
        <v>18.851877400548201</v>
      </c>
      <c r="F270">
        <v>4.3799999999999999E-2</v>
      </c>
      <c r="G270">
        <v>0.1096</v>
      </c>
      <c r="H270">
        <v>6.5750000000000003E-2</v>
      </c>
      <c r="I270">
        <v>3866.5909999999999</v>
      </c>
      <c r="J270">
        <v>4709.4859999999999</v>
      </c>
    </row>
    <row r="271" spans="1:10">
      <c r="A271">
        <v>32</v>
      </c>
      <c r="B271">
        <v>6</v>
      </c>
      <c r="C271" t="s">
        <v>52</v>
      </c>
      <c r="D271">
        <v>-33.949387594524701</v>
      </c>
      <c r="E271">
        <v>18.852327311743601</v>
      </c>
      <c r="F271">
        <v>4.3799999999999999E-2</v>
      </c>
      <c r="G271">
        <v>0.1096</v>
      </c>
      <c r="H271">
        <v>6.5750000000000003E-2</v>
      </c>
      <c r="I271">
        <v>3537.7950000000001</v>
      </c>
      <c r="J271">
        <v>4380.6890000000003</v>
      </c>
    </row>
    <row r="272" spans="1:10">
      <c r="A272">
        <v>33</v>
      </c>
      <c r="B272">
        <v>6</v>
      </c>
      <c r="C272" t="s">
        <v>52</v>
      </c>
      <c r="D272">
        <v>-33.944554599055103</v>
      </c>
      <c r="E272">
        <v>18.8416782489338</v>
      </c>
      <c r="F272">
        <v>4.3799999999999999E-2</v>
      </c>
      <c r="G272">
        <v>0.1096</v>
      </c>
      <c r="H272">
        <v>6.5750000000000003E-2</v>
      </c>
      <c r="I272">
        <v>3989.6260000000002</v>
      </c>
      <c r="J272">
        <v>2138.665</v>
      </c>
    </row>
    <row r="273" spans="1:10">
      <c r="A273">
        <v>34</v>
      </c>
      <c r="B273">
        <v>6</v>
      </c>
      <c r="C273" t="s">
        <v>52</v>
      </c>
      <c r="D273">
        <v>-33.948784964716502</v>
      </c>
      <c r="E273">
        <v>18.846893242602601</v>
      </c>
      <c r="F273">
        <v>4.3799999999999999E-2</v>
      </c>
      <c r="G273">
        <v>0.1096</v>
      </c>
      <c r="H273">
        <v>6.5750000000000003E-2</v>
      </c>
      <c r="I273">
        <v>3706.2460000000001</v>
      </c>
      <c r="J273">
        <v>4549.1409999999996</v>
      </c>
    </row>
    <row r="274" spans="1:10">
      <c r="A274">
        <v>35</v>
      </c>
      <c r="B274">
        <v>6</v>
      </c>
      <c r="C274" t="s">
        <v>52</v>
      </c>
      <c r="D274">
        <v>-33.944534160761897</v>
      </c>
      <c r="E274">
        <v>18.845796891533102</v>
      </c>
      <c r="F274">
        <v>4.3799999999999999E-2</v>
      </c>
      <c r="G274">
        <v>0.1096</v>
      </c>
      <c r="H274">
        <v>6.5750000000000003E-2</v>
      </c>
      <c r="I274">
        <v>3524.8589999999999</v>
      </c>
      <c r="J274">
        <v>4367.7539999999999</v>
      </c>
    </row>
    <row r="275" spans="1:10">
      <c r="A275">
        <v>36</v>
      </c>
      <c r="B275">
        <v>6</v>
      </c>
      <c r="C275" t="s">
        <v>52</v>
      </c>
      <c r="D275">
        <v>-33.952506010617</v>
      </c>
      <c r="E275">
        <v>18.84170256721</v>
      </c>
      <c r="F275">
        <v>4.3799999999999999E-2</v>
      </c>
      <c r="G275">
        <v>0.1096</v>
      </c>
      <c r="H275">
        <v>6.5750000000000003E-2</v>
      </c>
      <c r="I275">
        <v>4005.4380000000001</v>
      </c>
      <c r="J275">
        <v>4848.3320000000003</v>
      </c>
    </row>
    <row r="276" spans="1:10">
      <c r="A276">
        <v>37</v>
      </c>
      <c r="B276">
        <v>6</v>
      </c>
      <c r="C276" t="s">
        <v>52</v>
      </c>
      <c r="D276">
        <v>-33.945097208213198</v>
      </c>
      <c r="E276">
        <v>18.852205428034001</v>
      </c>
      <c r="F276">
        <v>4.3799999999999999E-2</v>
      </c>
      <c r="G276">
        <v>0.1096</v>
      </c>
      <c r="H276">
        <v>6.5750000000000003E-2</v>
      </c>
      <c r="I276">
        <v>2791.1350000000002</v>
      </c>
      <c r="J276">
        <v>3634.03</v>
      </c>
    </row>
    <row r="277" spans="1:10">
      <c r="A277">
        <v>38</v>
      </c>
      <c r="B277">
        <v>6</v>
      </c>
      <c r="C277" t="s">
        <v>52</v>
      </c>
      <c r="D277">
        <v>-33.941982267713499</v>
      </c>
      <c r="E277">
        <v>18.855282064103399</v>
      </c>
      <c r="F277">
        <v>4.3799999999999999E-2</v>
      </c>
      <c r="G277">
        <v>0.1096</v>
      </c>
      <c r="H277">
        <v>6.5750000000000003E-2</v>
      </c>
      <c r="I277">
        <v>2365.7579999999998</v>
      </c>
      <c r="J277">
        <v>4648.5860000000002</v>
      </c>
    </row>
    <row r="278" spans="1:10">
      <c r="A278">
        <v>39</v>
      </c>
      <c r="B278">
        <v>6</v>
      </c>
      <c r="C278" t="s">
        <v>52</v>
      </c>
      <c r="D278">
        <v>-33.952517943263103</v>
      </c>
      <c r="E278">
        <v>18.844555457255701</v>
      </c>
      <c r="F278">
        <v>4.3799999999999999E-2</v>
      </c>
      <c r="G278">
        <v>0.1096</v>
      </c>
      <c r="H278">
        <v>6.5750000000000003E-2</v>
      </c>
      <c r="I278">
        <v>3851.797</v>
      </c>
      <c r="J278">
        <v>4694.6909999999998</v>
      </c>
    </row>
    <row r="279" spans="1:10">
      <c r="A279">
        <v>40</v>
      </c>
      <c r="B279">
        <v>6</v>
      </c>
      <c r="C279" t="s">
        <v>52</v>
      </c>
      <c r="D279">
        <v>-33.9471527085147</v>
      </c>
      <c r="E279">
        <v>18.844778170093701</v>
      </c>
      <c r="F279">
        <v>4.3799999999999999E-2</v>
      </c>
      <c r="G279">
        <v>0.1096</v>
      </c>
      <c r="H279">
        <v>6.5750000000000003E-2</v>
      </c>
      <c r="I279">
        <v>4190.2179999999998</v>
      </c>
      <c r="J279">
        <v>5033.1130000000003</v>
      </c>
    </row>
    <row r="280" spans="1:10">
      <c r="A280">
        <v>41</v>
      </c>
      <c r="B280">
        <v>6</v>
      </c>
      <c r="C280" t="s">
        <v>52</v>
      </c>
      <c r="D280">
        <v>-33.944367359850503</v>
      </c>
      <c r="E280">
        <v>18.844665278985399</v>
      </c>
      <c r="F280">
        <v>4.3799999999999999E-2</v>
      </c>
      <c r="G280">
        <v>0.1096</v>
      </c>
      <c r="H280">
        <v>6.5750000000000003E-2</v>
      </c>
      <c r="I280">
        <v>3560.3139999999999</v>
      </c>
      <c r="J280">
        <v>4403.2089999999998</v>
      </c>
    </row>
    <row r="281" spans="1:10">
      <c r="A281">
        <v>42</v>
      </c>
      <c r="B281">
        <v>6</v>
      </c>
      <c r="C281" t="s">
        <v>52</v>
      </c>
      <c r="D281">
        <v>-33.943703231203301</v>
      </c>
      <c r="E281">
        <v>18.8497275504171</v>
      </c>
      <c r="F281">
        <v>4.3799999999999999E-2</v>
      </c>
      <c r="G281">
        <v>0.1096</v>
      </c>
      <c r="H281">
        <v>6.5750000000000003E-2</v>
      </c>
      <c r="I281">
        <v>3084.674</v>
      </c>
      <c r="J281">
        <v>3927.569</v>
      </c>
    </row>
    <row r="282" spans="1:10">
      <c r="A282">
        <v>43</v>
      </c>
      <c r="B282">
        <v>6</v>
      </c>
      <c r="C282" t="s">
        <v>52</v>
      </c>
      <c r="D282">
        <v>-33.953334866739702</v>
      </c>
      <c r="E282">
        <v>18.854458717335302</v>
      </c>
      <c r="F282">
        <v>4.3799999999999999E-2</v>
      </c>
      <c r="G282">
        <v>0.1096</v>
      </c>
      <c r="H282">
        <v>6.5750000000000003E-2</v>
      </c>
      <c r="I282">
        <v>4138.3059999999996</v>
      </c>
      <c r="J282">
        <v>4981.2</v>
      </c>
    </row>
    <row r="283" spans="1:10">
      <c r="A283">
        <v>44</v>
      </c>
      <c r="B283">
        <v>6</v>
      </c>
      <c r="C283" t="s">
        <v>52</v>
      </c>
      <c r="D283">
        <v>-33.950328288933797</v>
      </c>
      <c r="E283">
        <v>18.8464904346678</v>
      </c>
      <c r="F283">
        <v>4.3799999999999999E-2</v>
      </c>
      <c r="G283">
        <v>0.1096</v>
      </c>
      <c r="H283">
        <v>6.5750000000000003E-2</v>
      </c>
      <c r="I283">
        <v>3851.797</v>
      </c>
      <c r="J283">
        <v>4694.6909999999998</v>
      </c>
    </row>
    <row r="284" spans="1:10">
      <c r="A284">
        <v>45</v>
      </c>
      <c r="B284">
        <v>6</v>
      </c>
      <c r="C284" t="s">
        <v>52</v>
      </c>
      <c r="D284">
        <v>-33.949260233666898</v>
      </c>
      <c r="E284">
        <v>18.8449886091854</v>
      </c>
      <c r="F284">
        <v>4.3799999999999999E-2</v>
      </c>
      <c r="G284">
        <v>0.1096</v>
      </c>
      <c r="H284">
        <v>6.5750000000000003E-2</v>
      </c>
      <c r="I284">
        <v>4142.3270000000002</v>
      </c>
      <c r="J284">
        <v>4985.2219999999998</v>
      </c>
    </row>
    <row r="285" spans="1:10">
      <c r="A285">
        <v>46</v>
      </c>
      <c r="B285">
        <v>6</v>
      </c>
      <c r="C285" t="s">
        <v>52</v>
      </c>
      <c r="D285">
        <v>-33.953221897935798</v>
      </c>
      <c r="E285">
        <v>18.849829269862202</v>
      </c>
      <c r="F285">
        <v>4.3799999999999999E-2</v>
      </c>
      <c r="G285">
        <v>0.1096</v>
      </c>
      <c r="H285">
        <v>6.5750000000000003E-2</v>
      </c>
      <c r="I285">
        <v>4025.1350000000002</v>
      </c>
      <c r="J285">
        <v>4868.0290000000005</v>
      </c>
    </row>
    <row r="286" spans="1:10">
      <c r="A286">
        <v>47</v>
      </c>
      <c r="B286">
        <v>6</v>
      </c>
      <c r="C286" t="s">
        <v>52</v>
      </c>
      <c r="D286">
        <v>-33.945234845460199</v>
      </c>
      <c r="E286">
        <v>18.845165006994701</v>
      </c>
      <c r="F286">
        <v>4.3799999999999999E-2</v>
      </c>
      <c r="G286">
        <v>0.1096</v>
      </c>
      <c r="H286">
        <v>6.5750000000000003E-2</v>
      </c>
      <c r="I286">
        <v>3541.7890000000002</v>
      </c>
      <c r="J286">
        <v>4384.6840000000002</v>
      </c>
    </row>
    <row r="287" spans="1:10">
      <c r="A287">
        <v>48</v>
      </c>
      <c r="B287">
        <v>6</v>
      </c>
      <c r="C287" t="s">
        <v>52</v>
      </c>
      <c r="D287">
        <v>-33.949760766857203</v>
      </c>
      <c r="E287">
        <v>18.844466235329801</v>
      </c>
      <c r="F287">
        <v>4.3799999999999999E-2</v>
      </c>
      <c r="G287">
        <v>0.1096</v>
      </c>
      <c r="H287">
        <v>6.5750000000000003E-2</v>
      </c>
      <c r="I287">
        <v>4080.3290000000002</v>
      </c>
      <c r="J287">
        <v>4923.223</v>
      </c>
    </row>
    <row r="288" spans="1:10">
      <c r="A288">
        <v>49</v>
      </c>
      <c r="B288">
        <v>6</v>
      </c>
      <c r="C288" t="s">
        <v>52</v>
      </c>
      <c r="D288">
        <v>-33.943952768375098</v>
      </c>
      <c r="E288">
        <v>18.848503142586502</v>
      </c>
      <c r="F288">
        <v>4.3799999999999999E-2</v>
      </c>
      <c r="G288">
        <v>0.1096</v>
      </c>
      <c r="H288">
        <v>6.5750000000000003E-2</v>
      </c>
      <c r="I288">
        <v>3198.8910000000001</v>
      </c>
      <c r="J288">
        <v>4041.7860000000001</v>
      </c>
    </row>
    <row r="289" spans="1:10">
      <c r="A289">
        <v>50</v>
      </c>
      <c r="B289">
        <v>6</v>
      </c>
      <c r="C289" t="s">
        <v>52</v>
      </c>
      <c r="D289">
        <v>-33.946519791046597</v>
      </c>
      <c r="E289">
        <v>18.850848166481299</v>
      </c>
      <c r="F289">
        <v>4.3799999999999999E-2</v>
      </c>
      <c r="G289">
        <v>0.1096</v>
      </c>
      <c r="H289">
        <v>6.5750000000000003E-2</v>
      </c>
      <c r="I289">
        <v>3125.3939999999998</v>
      </c>
      <c r="J289">
        <v>3968.2890000000002</v>
      </c>
    </row>
    <row r="290" spans="1:10">
      <c r="A290">
        <v>51</v>
      </c>
      <c r="B290">
        <v>6</v>
      </c>
      <c r="C290" t="s">
        <v>52</v>
      </c>
      <c r="D290">
        <v>-33.9422376084256</v>
      </c>
      <c r="E290">
        <v>18.850917196890201</v>
      </c>
      <c r="F290">
        <v>4.3799999999999999E-2</v>
      </c>
      <c r="G290">
        <v>0.1096</v>
      </c>
      <c r="H290">
        <v>6.5750000000000003E-2</v>
      </c>
      <c r="I290">
        <v>2612.0700000000002</v>
      </c>
      <c r="J290">
        <v>3092.2330000000002</v>
      </c>
    </row>
    <row r="291" spans="1:10">
      <c r="A291">
        <v>52</v>
      </c>
      <c r="B291">
        <v>6</v>
      </c>
      <c r="C291" t="s">
        <v>52</v>
      </c>
      <c r="D291">
        <v>-33.9452416541153</v>
      </c>
      <c r="E291">
        <v>18.8416744326741</v>
      </c>
      <c r="F291">
        <v>4.3799999999999999E-2</v>
      </c>
      <c r="G291">
        <v>0.1096</v>
      </c>
      <c r="H291">
        <v>6.5750000000000003E-2</v>
      </c>
      <c r="I291">
        <v>3860.5549999999998</v>
      </c>
      <c r="J291">
        <v>4703.4489999999996</v>
      </c>
    </row>
    <row r="292" spans="1:10">
      <c r="A292">
        <v>53</v>
      </c>
      <c r="B292">
        <v>6</v>
      </c>
      <c r="C292" t="s">
        <v>52</v>
      </c>
      <c r="D292">
        <v>-33.943878663417202</v>
      </c>
      <c r="E292">
        <v>18.843444924868098</v>
      </c>
      <c r="F292">
        <v>4.3799999999999999E-2</v>
      </c>
      <c r="G292">
        <v>0.1096</v>
      </c>
      <c r="H292">
        <v>6.5750000000000003E-2</v>
      </c>
      <c r="I292">
        <v>3647.7860000000001</v>
      </c>
      <c r="J292">
        <v>4490.6809999999996</v>
      </c>
    </row>
    <row r="293" spans="1:10">
      <c r="A293">
        <v>54</v>
      </c>
      <c r="B293">
        <v>6</v>
      </c>
      <c r="C293" t="s">
        <v>52</v>
      </c>
      <c r="D293">
        <v>-33.947231774752197</v>
      </c>
      <c r="E293">
        <v>18.848606321153699</v>
      </c>
      <c r="F293">
        <v>4.3799999999999999E-2</v>
      </c>
      <c r="G293">
        <v>0.1096</v>
      </c>
      <c r="H293">
        <v>6.5750000000000003E-2</v>
      </c>
      <c r="I293">
        <v>3408.6280000000002</v>
      </c>
      <c r="J293">
        <v>4251.5230000000001</v>
      </c>
    </row>
    <row r="294" spans="1:10">
      <c r="A294">
        <v>55</v>
      </c>
      <c r="B294">
        <v>6</v>
      </c>
      <c r="C294" t="s">
        <v>52</v>
      </c>
      <c r="D294">
        <v>-33.952963354940202</v>
      </c>
      <c r="E294">
        <v>18.854751182182401</v>
      </c>
      <c r="F294">
        <v>4.3799999999999999E-2</v>
      </c>
      <c r="G294">
        <v>0.1096</v>
      </c>
      <c r="H294">
        <v>6.5750000000000003E-2</v>
      </c>
      <c r="I294">
        <v>3868.0320000000002</v>
      </c>
      <c r="J294">
        <v>4710.9260000000004</v>
      </c>
    </row>
    <row r="295" spans="1:10">
      <c r="A295">
        <v>56</v>
      </c>
      <c r="B295">
        <v>6</v>
      </c>
      <c r="C295" t="s">
        <v>52</v>
      </c>
      <c r="D295">
        <v>-33.9530913481724</v>
      </c>
      <c r="E295">
        <v>18.8419914673634</v>
      </c>
      <c r="F295">
        <v>4.3799999999999999E-2</v>
      </c>
      <c r="G295">
        <v>0.1096</v>
      </c>
      <c r="H295">
        <v>6.5750000000000003E-2</v>
      </c>
      <c r="I295">
        <v>4005.4380000000001</v>
      </c>
      <c r="J295">
        <v>4848.3320000000003</v>
      </c>
    </row>
    <row r="296" spans="1:10">
      <c r="A296">
        <v>57</v>
      </c>
      <c r="B296">
        <v>6</v>
      </c>
      <c r="C296" t="s">
        <v>52</v>
      </c>
      <c r="D296">
        <v>-33.9419464364898</v>
      </c>
      <c r="E296">
        <v>18.846181398530401</v>
      </c>
      <c r="F296">
        <v>4.3799999999999999E-2</v>
      </c>
      <c r="G296">
        <v>0.1096</v>
      </c>
      <c r="H296">
        <v>6.5750000000000003E-2</v>
      </c>
      <c r="I296">
        <v>4331.4979999999996</v>
      </c>
      <c r="J296">
        <v>2494.4059999999999</v>
      </c>
    </row>
    <row r="297" spans="1:10">
      <c r="A297">
        <v>58</v>
      </c>
      <c r="B297">
        <v>6</v>
      </c>
      <c r="C297" t="s">
        <v>52</v>
      </c>
      <c r="D297">
        <v>-33.944152717825503</v>
      </c>
      <c r="E297">
        <v>18.842667883705101</v>
      </c>
      <c r="F297">
        <v>4.3799999999999999E-2</v>
      </c>
      <c r="G297">
        <v>0.1096</v>
      </c>
      <c r="H297">
        <v>6.5750000000000003E-2</v>
      </c>
      <c r="I297">
        <v>3722.8009999999999</v>
      </c>
      <c r="J297">
        <v>4565.6949999999997</v>
      </c>
    </row>
    <row r="298" spans="1:10">
      <c r="A298">
        <v>59</v>
      </c>
      <c r="B298">
        <v>6</v>
      </c>
      <c r="C298" t="s">
        <v>52</v>
      </c>
      <c r="D298">
        <v>-33.949371965380898</v>
      </c>
      <c r="E298">
        <v>18.8427710466162</v>
      </c>
      <c r="F298">
        <v>4.3799999999999999E-2</v>
      </c>
      <c r="G298">
        <v>0.1096</v>
      </c>
      <c r="H298">
        <v>6.5750000000000003E-2</v>
      </c>
      <c r="I298">
        <v>3992.2460000000001</v>
      </c>
      <c r="J298">
        <v>4835.1409999999996</v>
      </c>
    </row>
    <row r="299" spans="1:10">
      <c r="A299">
        <v>60</v>
      </c>
      <c r="B299">
        <v>6</v>
      </c>
      <c r="C299" t="s">
        <v>52</v>
      </c>
      <c r="D299">
        <v>-33.942248823459302</v>
      </c>
      <c r="E299">
        <v>18.841643130083899</v>
      </c>
      <c r="F299">
        <v>4.3799999999999999E-2</v>
      </c>
      <c r="G299">
        <v>0.1096</v>
      </c>
      <c r="H299">
        <v>6.5750000000000003E-2</v>
      </c>
      <c r="I299">
        <v>3291.9949999999999</v>
      </c>
      <c r="J299">
        <v>3536</v>
      </c>
    </row>
    <row r="300" spans="1:10">
      <c r="A300">
        <v>61</v>
      </c>
      <c r="B300">
        <v>6</v>
      </c>
      <c r="C300" t="s">
        <v>52</v>
      </c>
      <c r="D300">
        <v>-33.942331536406797</v>
      </c>
      <c r="E300">
        <v>18.842576152630301</v>
      </c>
      <c r="F300">
        <v>4.3799999999999999E-2</v>
      </c>
      <c r="G300">
        <v>0.1096</v>
      </c>
      <c r="H300">
        <v>6.5750000000000003E-2</v>
      </c>
      <c r="I300">
        <v>3975.4540000000002</v>
      </c>
      <c r="J300">
        <v>2138.3620000000001</v>
      </c>
    </row>
    <row r="301" spans="1:10">
      <c r="A301">
        <v>62</v>
      </c>
      <c r="B301">
        <v>6</v>
      </c>
      <c r="C301" t="s">
        <v>52</v>
      </c>
      <c r="D301">
        <v>-33.951451965201898</v>
      </c>
      <c r="E301">
        <v>18.8529911761199</v>
      </c>
      <c r="F301">
        <v>4.3799999999999999E-2</v>
      </c>
      <c r="G301">
        <v>0.1096</v>
      </c>
      <c r="H301">
        <v>6.5750000000000003E-2</v>
      </c>
      <c r="I301">
        <v>3761.14</v>
      </c>
      <c r="J301">
        <v>4604.0349999999999</v>
      </c>
    </row>
    <row r="302" spans="1:10">
      <c r="A302">
        <v>63</v>
      </c>
      <c r="B302">
        <v>6</v>
      </c>
      <c r="C302" t="s">
        <v>52</v>
      </c>
      <c r="D302">
        <v>-33.945129764252997</v>
      </c>
      <c r="E302">
        <v>18.852540895841699</v>
      </c>
      <c r="F302">
        <v>4.3799999999999999E-2</v>
      </c>
      <c r="G302">
        <v>0.1096</v>
      </c>
      <c r="H302">
        <v>6.5750000000000003E-2</v>
      </c>
      <c r="I302">
        <v>2782.587</v>
      </c>
      <c r="J302">
        <v>3625.482</v>
      </c>
    </row>
    <row r="303" spans="1:10">
      <c r="A303">
        <v>64</v>
      </c>
      <c r="B303">
        <v>6</v>
      </c>
      <c r="C303" t="s">
        <v>52</v>
      </c>
      <c r="D303">
        <v>-33.947724628911601</v>
      </c>
      <c r="E303">
        <v>18.851712499719</v>
      </c>
      <c r="F303">
        <v>4.3799999999999999E-2</v>
      </c>
      <c r="G303">
        <v>0.1096</v>
      </c>
      <c r="H303">
        <v>6.5750000000000003E-2</v>
      </c>
      <c r="I303">
        <v>3198.797</v>
      </c>
      <c r="J303">
        <v>4041.692</v>
      </c>
    </row>
    <row r="304" spans="1:10">
      <c r="A304">
        <v>65</v>
      </c>
      <c r="B304">
        <v>6</v>
      </c>
      <c r="C304" t="s">
        <v>52</v>
      </c>
      <c r="D304">
        <v>-33.949521509704503</v>
      </c>
      <c r="E304">
        <v>18.853673342650101</v>
      </c>
      <c r="F304">
        <v>4.3799999999999999E-2</v>
      </c>
      <c r="G304">
        <v>0.1096</v>
      </c>
      <c r="H304">
        <v>6.5750000000000003E-2</v>
      </c>
      <c r="I304">
        <v>3648.5770000000002</v>
      </c>
      <c r="J304">
        <v>4491.4709999999995</v>
      </c>
    </row>
    <row r="305" spans="1:10">
      <c r="A305">
        <v>66</v>
      </c>
      <c r="B305">
        <v>6</v>
      </c>
      <c r="C305" t="s">
        <v>52</v>
      </c>
      <c r="D305">
        <v>-33.953254610863297</v>
      </c>
      <c r="E305">
        <v>18.844481968848701</v>
      </c>
      <c r="F305">
        <v>4.3799999999999999E-2</v>
      </c>
      <c r="G305">
        <v>0.1096</v>
      </c>
      <c r="H305">
        <v>6.5750000000000003E-2</v>
      </c>
      <c r="I305">
        <v>3945.9609999999998</v>
      </c>
      <c r="J305">
        <v>4788.8559999999998</v>
      </c>
    </row>
    <row r="306" spans="1:10">
      <c r="A306">
        <v>67</v>
      </c>
      <c r="B306">
        <v>6</v>
      </c>
      <c r="C306" t="s">
        <v>52</v>
      </c>
      <c r="D306">
        <v>-33.950466840883799</v>
      </c>
      <c r="E306">
        <v>18.853719363856101</v>
      </c>
      <c r="F306">
        <v>4.3799999999999999E-2</v>
      </c>
      <c r="G306">
        <v>0.1096</v>
      </c>
      <c r="H306">
        <v>6.5750000000000003E-2</v>
      </c>
      <c r="I306">
        <v>3534.1030000000001</v>
      </c>
      <c r="J306">
        <v>4376.9979999999996</v>
      </c>
    </row>
    <row r="307" spans="1:10">
      <c r="A307">
        <v>68</v>
      </c>
      <c r="B307">
        <v>6</v>
      </c>
      <c r="C307" t="s">
        <v>52</v>
      </c>
      <c r="D307">
        <v>-33.951852188803898</v>
      </c>
      <c r="E307">
        <v>18.846144055928399</v>
      </c>
      <c r="F307">
        <v>4.3799999999999999E-2</v>
      </c>
      <c r="G307">
        <v>0.1096</v>
      </c>
      <c r="H307">
        <v>6.5750000000000003E-2</v>
      </c>
      <c r="I307">
        <v>3910.7109999999998</v>
      </c>
      <c r="J307">
        <v>4753.6059999999998</v>
      </c>
    </row>
    <row r="308" spans="1:10">
      <c r="A308">
        <v>69</v>
      </c>
      <c r="B308">
        <v>6</v>
      </c>
      <c r="C308" t="s">
        <v>52</v>
      </c>
      <c r="D308">
        <v>-33.944119222208997</v>
      </c>
      <c r="E308">
        <v>18.851219781860799</v>
      </c>
      <c r="F308">
        <v>4.3799999999999999E-2</v>
      </c>
      <c r="G308">
        <v>0.1096</v>
      </c>
      <c r="H308">
        <v>6.5750000000000003E-2</v>
      </c>
      <c r="I308">
        <v>3028.4670000000001</v>
      </c>
      <c r="J308">
        <v>3871.3620000000001</v>
      </c>
    </row>
    <row r="309" spans="1:10">
      <c r="A309">
        <v>70</v>
      </c>
      <c r="B309">
        <v>6</v>
      </c>
      <c r="C309" t="s">
        <v>52</v>
      </c>
      <c r="D309">
        <v>-33.9531245773507</v>
      </c>
      <c r="E309">
        <v>18.848005928008099</v>
      </c>
      <c r="F309">
        <v>4.3799999999999999E-2</v>
      </c>
      <c r="G309">
        <v>0.1096</v>
      </c>
      <c r="H309">
        <v>6.5750000000000003E-2</v>
      </c>
      <c r="I309">
        <v>3943.7750000000001</v>
      </c>
      <c r="J309">
        <v>4786.67</v>
      </c>
    </row>
    <row r="310" spans="1:10">
      <c r="A310">
        <v>71</v>
      </c>
      <c r="B310">
        <v>6</v>
      </c>
      <c r="C310" t="s">
        <v>52</v>
      </c>
      <c r="D310">
        <v>-33.948447922403901</v>
      </c>
      <c r="E310">
        <v>18.848026791622701</v>
      </c>
      <c r="F310">
        <v>4.3799999999999999E-2</v>
      </c>
      <c r="G310">
        <v>0.1096</v>
      </c>
      <c r="H310">
        <v>6.5750000000000003E-2</v>
      </c>
      <c r="I310">
        <v>3785.817</v>
      </c>
      <c r="J310">
        <v>4628.7120000000004</v>
      </c>
    </row>
    <row r="311" spans="1:10">
      <c r="A311">
        <v>72</v>
      </c>
      <c r="B311">
        <v>6</v>
      </c>
      <c r="C311" t="s">
        <v>52</v>
      </c>
      <c r="D311">
        <v>-33.942902411105599</v>
      </c>
      <c r="E311">
        <v>18.8534219626729</v>
      </c>
      <c r="F311">
        <v>4.3799999999999999E-2</v>
      </c>
      <c r="G311">
        <v>0.1096</v>
      </c>
      <c r="H311">
        <v>6.5750000000000003E-2</v>
      </c>
      <c r="I311">
        <v>2419.029</v>
      </c>
      <c r="J311">
        <v>3533.9459999999999</v>
      </c>
    </row>
    <row r="312" spans="1:10">
      <c r="A312">
        <v>73</v>
      </c>
      <c r="B312">
        <v>6</v>
      </c>
      <c r="C312" t="s">
        <v>52</v>
      </c>
      <c r="D312">
        <v>-33.952521135284201</v>
      </c>
      <c r="E312">
        <v>18.853810707013398</v>
      </c>
      <c r="F312">
        <v>4.3799999999999999E-2</v>
      </c>
      <c r="G312">
        <v>0.1096</v>
      </c>
      <c r="H312">
        <v>6.5750000000000003E-2</v>
      </c>
      <c r="I312">
        <v>3804.277</v>
      </c>
      <c r="J312">
        <v>4647.1719999999996</v>
      </c>
    </row>
    <row r="313" spans="1:10">
      <c r="A313">
        <v>0</v>
      </c>
      <c r="B313">
        <v>7</v>
      </c>
      <c r="C313" t="s">
        <v>51</v>
      </c>
      <c r="D313">
        <v>-33.9221019205687</v>
      </c>
      <c r="E313">
        <v>18.883778790581399</v>
      </c>
      <c r="F313">
        <v>4.3799999999999999E-2</v>
      </c>
      <c r="G313">
        <v>0.1096</v>
      </c>
      <c r="H313">
        <v>6.5750000000000003E-2</v>
      </c>
      <c r="I313">
        <v>2129.96</v>
      </c>
      <c r="J313">
        <v>7188.375</v>
      </c>
    </row>
    <row r="314" spans="1:10">
      <c r="A314">
        <v>1</v>
      </c>
      <c r="B314">
        <v>7</v>
      </c>
      <c r="C314" t="s">
        <v>51</v>
      </c>
      <c r="D314">
        <v>-33.920866150752197</v>
      </c>
      <c r="E314">
        <v>18.8752234110713</v>
      </c>
      <c r="F314">
        <v>4.3799999999999999E-2</v>
      </c>
      <c r="G314">
        <v>0.1096</v>
      </c>
      <c r="H314">
        <v>6.5750000000000003E-2</v>
      </c>
      <c r="I314">
        <v>4347.1239999999998</v>
      </c>
      <c r="J314">
        <v>7573.3249999999998</v>
      </c>
    </row>
    <row r="315" spans="1:10">
      <c r="A315">
        <v>2</v>
      </c>
      <c r="B315">
        <v>7</v>
      </c>
      <c r="C315" t="s">
        <v>51</v>
      </c>
      <c r="D315">
        <v>-33.924751471462997</v>
      </c>
      <c r="E315">
        <v>18.883679940215199</v>
      </c>
      <c r="F315">
        <v>4.3799999999999999E-2</v>
      </c>
      <c r="G315">
        <v>0.1096</v>
      </c>
      <c r="H315">
        <v>6.5750000000000003E-2</v>
      </c>
      <c r="I315">
        <v>1965.847</v>
      </c>
      <c r="J315">
        <v>7024.2619999999997</v>
      </c>
    </row>
    <row r="316" spans="1:10">
      <c r="A316">
        <v>3</v>
      </c>
      <c r="B316">
        <v>7</v>
      </c>
      <c r="C316" t="s">
        <v>51</v>
      </c>
      <c r="D316">
        <v>-33.9228628050925</v>
      </c>
      <c r="E316">
        <v>18.876005490519599</v>
      </c>
      <c r="F316">
        <v>4.3799999999999999E-2</v>
      </c>
      <c r="G316">
        <v>0.1096</v>
      </c>
      <c r="H316">
        <v>6.5750000000000003E-2</v>
      </c>
      <c r="I316">
        <v>1983.2670000000001</v>
      </c>
      <c r="J316">
        <v>6380.2139999999999</v>
      </c>
    </row>
    <row r="317" spans="1:10">
      <c r="A317">
        <v>4</v>
      </c>
      <c r="B317">
        <v>7</v>
      </c>
      <c r="C317" t="s">
        <v>51</v>
      </c>
      <c r="D317">
        <v>-33.918540546141799</v>
      </c>
      <c r="E317">
        <v>18.8717432218886</v>
      </c>
      <c r="F317">
        <v>4.3799999999999999E-2</v>
      </c>
      <c r="G317">
        <v>0.1096</v>
      </c>
      <c r="H317">
        <v>6.5750000000000003E-2</v>
      </c>
      <c r="I317">
        <v>3479.9749999999999</v>
      </c>
      <c r="J317">
        <v>6706.1760000000004</v>
      </c>
    </row>
    <row r="318" spans="1:10">
      <c r="A318">
        <v>5</v>
      </c>
      <c r="B318">
        <v>7</v>
      </c>
      <c r="C318" t="s">
        <v>51</v>
      </c>
      <c r="D318">
        <v>-33.925259404355899</v>
      </c>
      <c r="E318">
        <v>18.8863446337064</v>
      </c>
      <c r="F318">
        <v>4.3799999999999999E-2</v>
      </c>
      <c r="G318">
        <v>0.1096</v>
      </c>
      <c r="H318">
        <v>6.5750000000000003E-2</v>
      </c>
      <c r="I318">
        <v>2215.8510000000001</v>
      </c>
      <c r="J318">
        <v>7274.2659999999996</v>
      </c>
    </row>
    <row r="319" spans="1:10">
      <c r="A319">
        <v>6</v>
      </c>
      <c r="B319">
        <v>7</v>
      </c>
      <c r="C319" t="s">
        <v>51</v>
      </c>
      <c r="D319">
        <v>-33.9230361831099</v>
      </c>
      <c r="E319">
        <v>18.881848141199399</v>
      </c>
      <c r="F319">
        <v>4.3799999999999999E-2</v>
      </c>
      <c r="G319">
        <v>0.1096</v>
      </c>
      <c r="H319">
        <v>6.5750000000000003E-2</v>
      </c>
      <c r="I319">
        <v>1957.5</v>
      </c>
      <c r="J319">
        <v>7015.9139999999998</v>
      </c>
    </row>
    <row r="320" spans="1:10">
      <c r="A320">
        <v>7</v>
      </c>
      <c r="B320">
        <v>7</v>
      </c>
      <c r="C320" t="s">
        <v>51</v>
      </c>
      <c r="D320">
        <v>-33.921906417180502</v>
      </c>
      <c r="E320">
        <v>18.8945827688711</v>
      </c>
      <c r="F320">
        <v>4.3799999999999999E-2</v>
      </c>
      <c r="G320">
        <v>0.1096</v>
      </c>
      <c r="H320">
        <v>6.5750000000000003E-2</v>
      </c>
      <c r="I320">
        <v>3382.1880000000001</v>
      </c>
      <c r="J320">
        <v>8440.6029999999992</v>
      </c>
    </row>
    <row r="321" spans="1:10">
      <c r="A321">
        <v>8</v>
      </c>
      <c r="B321">
        <v>7</v>
      </c>
      <c r="C321" t="s">
        <v>51</v>
      </c>
      <c r="D321">
        <v>-33.9218756672322</v>
      </c>
      <c r="E321">
        <v>18.882516252412199</v>
      </c>
      <c r="F321">
        <v>4.3799999999999999E-2</v>
      </c>
      <c r="G321">
        <v>0.1096</v>
      </c>
      <c r="H321">
        <v>6.5750000000000003E-2</v>
      </c>
      <c r="I321">
        <v>2026.89</v>
      </c>
      <c r="J321">
        <v>7085.3050000000003</v>
      </c>
    </row>
    <row r="322" spans="1:10">
      <c r="A322">
        <v>9</v>
      </c>
      <c r="B322">
        <v>7</v>
      </c>
      <c r="C322" t="s">
        <v>51</v>
      </c>
      <c r="D322">
        <v>-33.920046362045802</v>
      </c>
      <c r="E322">
        <v>18.893713406942201</v>
      </c>
      <c r="F322">
        <v>4.3799999999999999E-2</v>
      </c>
      <c r="G322">
        <v>0.1096</v>
      </c>
      <c r="H322">
        <v>6.5750000000000003E-2</v>
      </c>
      <c r="I322">
        <v>3474.1750000000002</v>
      </c>
      <c r="J322">
        <v>8532.59</v>
      </c>
    </row>
    <row r="323" spans="1:10">
      <c r="A323">
        <v>10</v>
      </c>
      <c r="B323">
        <v>7</v>
      </c>
      <c r="C323" t="s">
        <v>51</v>
      </c>
      <c r="D323">
        <v>-33.921515389289702</v>
      </c>
      <c r="E323">
        <v>18.884038260784099</v>
      </c>
      <c r="F323">
        <v>4.3799999999999999E-2</v>
      </c>
      <c r="G323">
        <v>0.1096</v>
      </c>
      <c r="H323">
        <v>6.5750000000000003E-2</v>
      </c>
      <c r="I323">
        <v>1858.59035699225</v>
      </c>
      <c r="J323">
        <v>6484.3303216172098</v>
      </c>
    </row>
    <row r="324" spans="1:10">
      <c r="A324">
        <v>11</v>
      </c>
      <c r="B324">
        <v>7</v>
      </c>
      <c r="C324" t="s">
        <v>51</v>
      </c>
      <c r="D324">
        <v>-33.920206167219199</v>
      </c>
      <c r="E324">
        <v>18.875697210253598</v>
      </c>
      <c r="F324">
        <v>4.3799999999999999E-2</v>
      </c>
      <c r="G324">
        <v>0.1096</v>
      </c>
      <c r="H324">
        <v>6.5750000000000003E-2</v>
      </c>
      <c r="I324">
        <v>1547.9065376620499</v>
      </c>
      <c r="J324">
        <v>5871.8616629263097</v>
      </c>
    </row>
    <row r="325" spans="1:10">
      <c r="A325">
        <v>12</v>
      </c>
      <c r="B325">
        <v>7</v>
      </c>
      <c r="C325" t="s">
        <v>51</v>
      </c>
      <c r="D325">
        <v>-33.924341679682001</v>
      </c>
      <c r="E325">
        <v>18.894205278219399</v>
      </c>
      <c r="F325">
        <v>4.3799999999999999E-2</v>
      </c>
      <c r="G325">
        <v>0.1096</v>
      </c>
      <c r="H325">
        <v>6.5750000000000003E-2</v>
      </c>
      <c r="I325">
        <v>2475.0219872663502</v>
      </c>
      <c r="J325">
        <v>7227.2299430568</v>
      </c>
    </row>
    <row r="326" spans="1:10">
      <c r="A326">
        <v>13</v>
      </c>
      <c r="B326">
        <v>7</v>
      </c>
      <c r="C326" t="s">
        <v>51</v>
      </c>
      <c r="D326">
        <v>-33.924881921723497</v>
      </c>
      <c r="E326">
        <v>18.885988501394898</v>
      </c>
      <c r="F326">
        <v>4.3799999999999999E-2</v>
      </c>
      <c r="G326">
        <v>0.1096</v>
      </c>
      <c r="H326">
        <v>6.5750000000000003E-2</v>
      </c>
      <c r="I326">
        <v>1770.8092617866901</v>
      </c>
      <c r="J326">
        <v>6496.7750693325997</v>
      </c>
    </row>
    <row r="327" spans="1:10">
      <c r="A327">
        <v>14</v>
      </c>
      <c r="B327">
        <v>7</v>
      </c>
      <c r="C327" t="s">
        <v>51</v>
      </c>
      <c r="D327">
        <v>-33.924490392132803</v>
      </c>
      <c r="E327">
        <v>18.891762494448599</v>
      </c>
      <c r="F327">
        <v>4.3799999999999999E-2</v>
      </c>
      <c r="G327">
        <v>0.1096</v>
      </c>
      <c r="H327">
        <v>6.5750000000000003E-2</v>
      </c>
      <c r="I327">
        <v>2262.25715984404</v>
      </c>
      <c r="J327">
        <v>7009.8214405408298</v>
      </c>
    </row>
    <row r="328" spans="1:10">
      <c r="A328">
        <v>15</v>
      </c>
      <c r="B328">
        <v>7</v>
      </c>
      <c r="C328" t="s">
        <v>51</v>
      </c>
      <c r="D328">
        <v>-33.921859674275801</v>
      </c>
      <c r="E328">
        <v>18.8943003533332</v>
      </c>
      <c r="F328">
        <v>4.3799999999999999E-2</v>
      </c>
      <c r="G328">
        <v>0.1096</v>
      </c>
      <c r="H328">
        <v>6.5750000000000003E-2</v>
      </c>
      <c r="I328">
        <v>2604.7411308594901</v>
      </c>
      <c r="J328">
        <v>7335.9496676004601</v>
      </c>
    </row>
    <row r="329" spans="1:10">
      <c r="A329">
        <v>16</v>
      </c>
      <c r="B329">
        <v>7</v>
      </c>
      <c r="C329" t="s">
        <v>51</v>
      </c>
      <c r="D329">
        <v>-33.919115766861601</v>
      </c>
      <c r="E329">
        <v>18.873772283457601</v>
      </c>
      <c r="F329">
        <v>4.3799999999999999E-2</v>
      </c>
      <c r="G329">
        <v>0.1096</v>
      </c>
      <c r="H329">
        <v>6.5750000000000003E-2</v>
      </c>
      <c r="I329">
        <v>1610.39619096454</v>
      </c>
      <c r="J329">
        <v>5782.9117257958897</v>
      </c>
    </row>
    <row r="330" spans="1:10">
      <c r="A330">
        <v>17</v>
      </c>
      <c r="B330">
        <v>7</v>
      </c>
      <c r="C330" t="s">
        <v>51</v>
      </c>
      <c r="D330">
        <v>-33.925434678795398</v>
      </c>
      <c r="E330">
        <v>18.885504643531402</v>
      </c>
      <c r="F330">
        <v>4.3799999999999999E-2</v>
      </c>
      <c r="G330">
        <v>0.1096</v>
      </c>
      <c r="H330">
        <v>6.5750000000000003E-2</v>
      </c>
      <c r="I330">
        <v>1700.8059814555299</v>
      </c>
      <c r="J330">
        <v>6432.2214501254202</v>
      </c>
    </row>
    <row r="331" spans="1:10">
      <c r="A331">
        <v>18</v>
      </c>
      <c r="B331">
        <v>7</v>
      </c>
      <c r="C331" t="s">
        <v>51</v>
      </c>
      <c r="D331">
        <v>-33.9256678479736</v>
      </c>
      <c r="E331">
        <v>18.8725924894709</v>
      </c>
      <c r="F331">
        <v>4.3799999999999999E-2</v>
      </c>
      <c r="G331">
        <v>0.1096</v>
      </c>
      <c r="H331">
        <v>6.5750000000000003E-2</v>
      </c>
      <c r="I331">
        <v>880.05563592901899</v>
      </c>
      <c r="J331">
        <v>5330.09148294233</v>
      </c>
    </row>
    <row r="332" spans="1:10">
      <c r="A332">
        <v>19</v>
      </c>
      <c r="B332">
        <v>7</v>
      </c>
      <c r="C332" t="s">
        <v>51</v>
      </c>
      <c r="D332">
        <v>-33.921035242324898</v>
      </c>
      <c r="E332">
        <v>18.891032210186701</v>
      </c>
      <c r="F332">
        <v>4.3799999999999999E-2</v>
      </c>
      <c r="G332">
        <v>0.1096</v>
      </c>
      <c r="H332">
        <v>6.5750000000000003E-2</v>
      </c>
      <c r="I332">
        <v>2395.0513353637998</v>
      </c>
      <c r="J332">
        <v>7093.90598933601</v>
      </c>
    </row>
    <row r="333" spans="1:10">
      <c r="A333">
        <v>20</v>
      </c>
      <c r="B333">
        <v>7</v>
      </c>
      <c r="C333" t="s">
        <v>51</v>
      </c>
      <c r="D333">
        <v>-33.923756484985901</v>
      </c>
      <c r="E333">
        <v>18.8916694240827</v>
      </c>
      <c r="F333">
        <v>4.3799999999999999E-2</v>
      </c>
      <c r="G333">
        <v>0.1096</v>
      </c>
      <c r="H333">
        <v>6.5750000000000003E-2</v>
      </c>
      <c r="I333">
        <v>2290.66423528212</v>
      </c>
      <c r="J333">
        <v>7031.3015131223501</v>
      </c>
    </row>
    <row r="334" spans="1:10">
      <c r="A334">
        <v>21</v>
      </c>
      <c r="B334">
        <v>7</v>
      </c>
      <c r="C334" t="s">
        <v>51</v>
      </c>
      <c r="D334">
        <v>-33.923026073378701</v>
      </c>
      <c r="E334">
        <v>18.877281998806001</v>
      </c>
      <c r="F334">
        <v>4.3799999999999999E-2</v>
      </c>
      <c r="G334">
        <v>0.1096</v>
      </c>
      <c r="H334">
        <v>6.5750000000000003E-2</v>
      </c>
      <c r="I334">
        <v>1332.25051695466</v>
      </c>
      <c r="J334">
        <v>5849.7375124316004</v>
      </c>
    </row>
    <row r="335" spans="1:10">
      <c r="A335">
        <v>22</v>
      </c>
      <c r="B335">
        <v>7</v>
      </c>
      <c r="C335" t="s">
        <v>51</v>
      </c>
      <c r="D335">
        <v>-33.925923693957301</v>
      </c>
      <c r="E335">
        <v>18.8817138218525</v>
      </c>
      <c r="F335">
        <v>4.3799999999999999E-2</v>
      </c>
      <c r="G335">
        <v>0.1096</v>
      </c>
      <c r="H335">
        <v>6.5750000000000003E-2</v>
      </c>
      <c r="I335">
        <v>1377.2221510015399</v>
      </c>
      <c r="J335">
        <v>6086.8982740291203</v>
      </c>
    </row>
    <row r="336" spans="1:10">
      <c r="A336">
        <v>23</v>
      </c>
      <c r="B336">
        <v>7</v>
      </c>
      <c r="C336" t="s">
        <v>51</v>
      </c>
      <c r="D336">
        <v>-33.9257597881872</v>
      </c>
      <c r="E336">
        <v>18.888991832106299</v>
      </c>
      <c r="F336">
        <v>4.3799999999999999E-2</v>
      </c>
      <c r="G336">
        <v>0.1096</v>
      </c>
      <c r="H336">
        <v>6.5750000000000003E-2</v>
      </c>
      <c r="I336">
        <v>1970.2268044206801</v>
      </c>
      <c r="J336">
        <v>6720.0704746985202</v>
      </c>
    </row>
    <row r="337" spans="1:10">
      <c r="A337">
        <v>24</v>
      </c>
      <c r="B337">
        <v>7</v>
      </c>
      <c r="C337" t="s">
        <v>51</v>
      </c>
      <c r="D337">
        <v>-33.9257649067751</v>
      </c>
      <c r="E337">
        <v>18.884771773025602</v>
      </c>
      <c r="F337">
        <v>4.3799999999999999E-2</v>
      </c>
      <c r="G337">
        <v>0.1096</v>
      </c>
      <c r="H337">
        <v>6.5750000000000003E-2</v>
      </c>
      <c r="I337">
        <v>1623.7500833440699</v>
      </c>
      <c r="J337">
        <v>6355.6149082517504</v>
      </c>
    </row>
    <row r="338" spans="1:10">
      <c r="A338">
        <v>25</v>
      </c>
      <c r="B338">
        <v>7</v>
      </c>
      <c r="C338" t="s">
        <v>51</v>
      </c>
      <c r="D338">
        <v>-33.918388971616203</v>
      </c>
      <c r="E338">
        <v>18.8766921958842</v>
      </c>
      <c r="F338">
        <v>4.3799999999999999E-2</v>
      </c>
      <c r="G338">
        <v>0.1096</v>
      </c>
      <c r="H338">
        <v>6.5750000000000003E-2</v>
      </c>
      <c r="I338">
        <v>1769.36144884436</v>
      </c>
      <c r="J338">
        <v>6054.8718567945998</v>
      </c>
    </row>
    <row r="339" spans="1:10">
      <c r="A339">
        <v>26</v>
      </c>
      <c r="B339">
        <v>7</v>
      </c>
      <c r="C339" t="s">
        <v>51</v>
      </c>
      <c r="D339">
        <v>-33.923358384909598</v>
      </c>
      <c r="E339">
        <v>18.885271391502201</v>
      </c>
      <c r="F339">
        <v>4.3799999999999999E-2</v>
      </c>
      <c r="G339">
        <v>0.1096</v>
      </c>
      <c r="H339">
        <v>6.5750000000000003E-2</v>
      </c>
      <c r="I339">
        <v>1811.4227288473501</v>
      </c>
      <c r="J339">
        <v>6501.8671516743898</v>
      </c>
    </row>
    <row r="340" spans="1:10">
      <c r="A340">
        <v>27</v>
      </c>
      <c r="B340">
        <v>7</v>
      </c>
      <c r="C340" t="s">
        <v>51</v>
      </c>
      <c r="D340">
        <v>-33.922369950814598</v>
      </c>
      <c r="E340">
        <v>18.879608168351002</v>
      </c>
      <c r="F340">
        <v>4.3799999999999999E-2</v>
      </c>
      <c r="G340">
        <v>0.1096</v>
      </c>
      <c r="H340">
        <v>6.5750000000000003E-2</v>
      </c>
      <c r="I340">
        <v>1514.7980347361599</v>
      </c>
      <c r="J340">
        <v>6074.7058939212202</v>
      </c>
    </row>
    <row r="341" spans="1:10">
      <c r="A341">
        <v>28</v>
      </c>
      <c r="B341">
        <v>7</v>
      </c>
      <c r="C341" t="s">
        <v>51</v>
      </c>
      <c r="D341">
        <v>-33.920405825476699</v>
      </c>
      <c r="E341">
        <v>18.887844735830601</v>
      </c>
      <c r="F341">
        <v>4.3799999999999999E-2</v>
      </c>
      <c r="G341">
        <v>0.1096</v>
      </c>
      <c r="H341">
        <v>6.5750000000000003E-2</v>
      </c>
      <c r="I341">
        <v>2202.4133570873801</v>
      </c>
      <c r="J341">
        <v>6855.2461046082499</v>
      </c>
    </row>
    <row r="342" spans="1:10">
      <c r="A342">
        <v>29</v>
      </c>
      <c r="B342">
        <v>7</v>
      </c>
      <c r="C342" t="s">
        <v>51</v>
      </c>
      <c r="D342">
        <v>-33.921158178955302</v>
      </c>
      <c r="E342">
        <v>18.886143392132499</v>
      </c>
      <c r="F342">
        <v>4.3799999999999999E-2</v>
      </c>
      <c r="G342">
        <v>0.1096</v>
      </c>
      <c r="H342">
        <v>6.5750000000000003E-2</v>
      </c>
      <c r="I342">
        <v>2028.5671518920799</v>
      </c>
      <c r="J342">
        <v>6677.1359277607398</v>
      </c>
    </row>
    <row r="343" spans="1:10">
      <c r="A343">
        <v>30</v>
      </c>
      <c r="B343">
        <v>7</v>
      </c>
      <c r="C343" t="s">
        <v>51</v>
      </c>
      <c r="D343">
        <v>-33.9236309376737</v>
      </c>
      <c r="E343">
        <v>18.891768233374201</v>
      </c>
      <c r="F343">
        <v>4.3799999999999999E-2</v>
      </c>
      <c r="G343">
        <v>0.1096</v>
      </c>
      <c r="H343">
        <v>6.5750000000000003E-2</v>
      </c>
      <c r="I343">
        <v>2305.1973910509801</v>
      </c>
      <c r="J343">
        <v>7044.9359022216504</v>
      </c>
    </row>
    <row r="344" spans="1:10">
      <c r="A344">
        <v>31</v>
      </c>
      <c r="B344">
        <v>7</v>
      </c>
      <c r="C344" t="s">
        <v>51</v>
      </c>
      <c r="D344">
        <v>-33.924588884976998</v>
      </c>
      <c r="E344">
        <v>18.888773714481001</v>
      </c>
      <c r="F344">
        <v>4.3799999999999999E-2</v>
      </c>
      <c r="G344">
        <v>0.1096</v>
      </c>
      <c r="H344">
        <v>6.5750000000000003E-2</v>
      </c>
      <c r="I344">
        <v>2010.4914430598601</v>
      </c>
      <c r="J344">
        <v>6748.0654745708998</v>
      </c>
    </row>
    <row r="345" spans="1:10">
      <c r="A345">
        <v>32</v>
      </c>
      <c r="B345">
        <v>7</v>
      </c>
      <c r="C345" t="s">
        <v>51</v>
      </c>
      <c r="D345">
        <v>-33.923001515412402</v>
      </c>
      <c r="E345">
        <v>18.889533634818399</v>
      </c>
      <c r="F345">
        <v>4.3799999999999999E-2</v>
      </c>
      <c r="G345">
        <v>0.1096</v>
      </c>
      <c r="H345">
        <v>6.5750000000000003E-2</v>
      </c>
      <c r="I345">
        <v>2159.70466967414</v>
      </c>
      <c r="J345">
        <v>6879.8721780039896</v>
      </c>
    </row>
    <row r="346" spans="1:10">
      <c r="A346">
        <v>33</v>
      </c>
      <c r="B346">
        <v>7</v>
      </c>
      <c r="C346" t="s">
        <v>51</v>
      </c>
      <c r="D346">
        <v>-33.919655388966497</v>
      </c>
      <c r="E346">
        <v>18.871546886573</v>
      </c>
      <c r="F346">
        <v>4.3799999999999999E-2</v>
      </c>
      <c r="G346">
        <v>0.1096</v>
      </c>
      <c r="H346">
        <v>6.5750000000000003E-2</v>
      </c>
      <c r="I346">
        <v>1515.1007027117</v>
      </c>
      <c r="J346">
        <v>5577.17847509076</v>
      </c>
    </row>
    <row r="347" spans="1:10">
      <c r="A347">
        <v>34</v>
      </c>
      <c r="B347">
        <v>7</v>
      </c>
      <c r="C347" t="s">
        <v>51</v>
      </c>
      <c r="D347">
        <v>-33.9225842844113</v>
      </c>
      <c r="E347">
        <v>18.880355246510199</v>
      </c>
      <c r="F347">
        <v>4.3799999999999999E-2</v>
      </c>
      <c r="G347">
        <v>0.1096</v>
      </c>
      <c r="H347">
        <v>6.5750000000000003E-2</v>
      </c>
      <c r="I347">
        <v>1539.42923589717</v>
      </c>
      <c r="J347">
        <v>6125.9495469171598</v>
      </c>
    </row>
    <row r="348" spans="1:10">
      <c r="A348">
        <v>35</v>
      </c>
      <c r="B348">
        <v>7</v>
      </c>
      <c r="C348" t="s">
        <v>51</v>
      </c>
      <c r="D348">
        <v>-33.919641238505598</v>
      </c>
      <c r="E348">
        <v>18.8785034600171</v>
      </c>
      <c r="F348">
        <v>4.3799999999999999E-2</v>
      </c>
      <c r="G348">
        <v>0.1096</v>
      </c>
      <c r="H348">
        <v>6.5750000000000003E-2</v>
      </c>
      <c r="I348">
        <v>1714.1326574084901</v>
      </c>
      <c r="J348">
        <v>6128.0696617845197</v>
      </c>
    </row>
    <row r="349" spans="1:10">
      <c r="A349">
        <v>36</v>
      </c>
      <c r="B349">
        <v>7</v>
      </c>
      <c r="C349" t="s">
        <v>51</v>
      </c>
      <c r="D349">
        <v>-33.925160552105403</v>
      </c>
      <c r="E349">
        <v>18.871587961240301</v>
      </c>
      <c r="F349">
        <v>4.3799999999999999E-2</v>
      </c>
      <c r="G349">
        <v>0.1096</v>
      </c>
      <c r="H349">
        <v>6.5750000000000003E-2</v>
      </c>
      <c r="I349">
        <v>911.27394238080797</v>
      </c>
      <c r="J349">
        <v>5272.6494620773601</v>
      </c>
    </row>
    <row r="350" spans="1:10">
      <c r="A350">
        <v>37</v>
      </c>
      <c r="B350">
        <v>7</v>
      </c>
      <c r="C350" t="s">
        <v>51</v>
      </c>
      <c r="D350">
        <v>-33.9200310646453</v>
      </c>
      <c r="E350">
        <v>18.889327767725799</v>
      </c>
      <c r="F350">
        <v>4.3799999999999999E-2</v>
      </c>
      <c r="G350">
        <v>0.1096</v>
      </c>
      <c r="H350">
        <v>6.5750000000000003E-2</v>
      </c>
      <c r="I350">
        <v>2334.80454861826</v>
      </c>
      <c r="J350">
        <v>6997.0879169724003</v>
      </c>
    </row>
    <row r="351" spans="1:10">
      <c r="A351">
        <v>38</v>
      </c>
      <c r="B351">
        <v>7</v>
      </c>
      <c r="C351" t="s">
        <v>51</v>
      </c>
      <c r="D351">
        <v>-33.9178744342803</v>
      </c>
      <c r="E351">
        <v>18.894524345059601</v>
      </c>
      <c r="F351">
        <v>4.3799999999999999E-2</v>
      </c>
      <c r="G351">
        <v>0.1096</v>
      </c>
      <c r="H351">
        <v>6.5750000000000003E-2</v>
      </c>
      <c r="I351">
        <v>2862.01509457569</v>
      </c>
      <c r="J351">
        <v>7534.3417225817602</v>
      </c>
    </row>
    <row r="352" spans="1:10">
      <c r="A352">
        <v>39</v>
      </c>
      <c r="B352">
        <v>7</v>
      </c>
      <c r="C352" t="s">
        <v>51</v>
      </c>
      <c r="D352">
        <v>-33.925168813678098</v>
      </c>
      <c r="E352">
        <v>18.876406621430402</v>
      </c>
      <c r="F352">
        <v>4.3799999999999999E-2</v>
      </c>
      <c r="G352">
        <v>0.1096</v>
      </c>
      <c r="H352">
        <v>6.5750000000000003E-2</v>
      </c>
      <c r="I352">
        <v>1088.9485159636599</v>
      </c>
      <c r="J352">
        <v>5671.9692550012396</v>
      </c>
    </row>
    <row r="353" spans="1:10">
      <c r="A353">
        <v>40</v>
      </c>
      <c r="B353">
        <v>7</v>
      </c>
      <c r="C353" t="s">
        <v>51</v>
      </c>
      <c r="D353">
        <v>-33.921454191143503</v>
      </c>
      <c r="E353">
        <v>18.8767827934767</v>
      </c>
      <c r="F353">
        <v>4.3799999999999999E-2</v>
      </c>
      <c r="G353">
        <v>0.1096</v>
      </c>
      <c r="H353">
        <v>6.5750000000000003E-2</v>
      </c>
      <c r="I353">
        <v>1461.90513675638</v>
      </c>
      <c r="J353">
        <v>5890.7043254153496</v>
      </c>
    </row>
    <row r="354" spans="1:10">
      <c r="A354">
        <v>41</v>
      </c>
      <c r="B354">
        <v>7</v>
      </c>
      <c r="C354" t="s">
        <v>51</v>
      </c>
      <c r="D354">
        <v>-33.919525753824402</v>
      </c>
      <c r="E354">
        <v>18.876592115293999</v>
      </c>
      <c r="F354">
        <v>4.3799999999999999E-2</v>
      </c>
      <c r="G354">
        <v>0.1096</v>
      </c>
      <c r="H354">
        <v>6.5750000000000003E-2</v>
      </c>
      <c r="I354">
        <v>1648.9844073693901</v>
      </c>
      <c r="J354">
        <v>5981.6105116520703</v>
      </c>
    </row>
    <row r="355" spans="1:10">
      <c r="A355">
        <v>42</v>
      </c>
      <c r="B355">
        <v>7</v>
      </c>
      <c r="C355" t="s">
        <v>51</v>
      </c>
      <c r="D355">
        <v>-33.919065944076202</v>
      </c>
      <c r="E355">
        <v>18.8851425204723</v>
      </c>
      <c r="F355">
        <v>4.3799999999999999E-2</v>
      </c>
      <c r="G355">
        <v>0.1096</v>
      </c>
      <c r="H355">
        <v>6.5750000000000003E-2</v>
      </c>
      <c r="I355">
        <v>2125.3287686839199</v>
      </c>
      <c r="J355">
        <v>6698.0397866100602</v>
      </c>
    </row>
    <row r="356" spans="1:10">
      <c r="A356">
        <v>43</v>
      </c>
      <c r="B356">
        <v>7</v>
      </c>
      <c r="C356" t="s">
        <v>51</v>
      </c>
      <c r="D356">
        <v>-33.9257344109906</v>
      </c>
      <c r="E356">
        <v>18.893133675166801</v>
      </c>
      <c r="F356">
        <v>4.3799999999999999E-2</v>
      </c>
      <c r="G356">
        <v>0.1096</v>
      </c>
      <c r="H356">
        <v>6.5750000000000003E-2</v>
      </c>
      <c r="I356">
        <v>2324.7351357779398</v>
      </c>
      <c r="J356">
        <v>7081.23298470999</v>
      </c>
    </row>
    <row r="357" spans="1:10">
      <c r="A357">
        <v>44</v>
      </c>
      <c r="B357">
        <v>7</v>
      </c>
      <c r="C357" t="s">
        <v>51</v>
      </c>
      <c r="D357">
        <v>-33.923652805582201</v>
      </c>
      <c r="E357">
        <v>18.879674885708098</v>
      </c>
      <c r="F357">
        <v>4.3799999999999999E-2</v>
      </c>
      <c r="G357">
        <v>0.1096</v>
      </c>
      <c r="H357">
        <v>6.5750000000000003E-2</v>
      </c>
      <c r="I357">
        <v>1408.3188346089901</v>
      </c>
      <c r="J357">
        <v>6017.4592752545204</v>
      </c>
    </row>
    <row r="358" spans="1:10">
      <c r="A358">
        <v>45</v>
      </c>
      <c r="B358">
        <v>7</v>
      </c>
      <c r="C358" t="s">
        <v>51</v>
      </c>
      <c r="D358">
        <v>-33.922913337068998</v>
      </c>
      <c r="E358">
        <v>18.877138234610999</v>
      </c>
      <c r="F358">
        <v>4.3799999999999999E-2</v>
      </c>
      <c r="G358">
        <v>0.1096</v>
      </c>
      <c r="H358">
        <v>6.5750000000000003E-2</v>
      </c>
      <c r="I358">
        <v>1335.96200920776</v>
      </c>
      <c r="J358">
        <v>5843.6140786135702</v>
      </c>
    </row>
    <row r="359" spans="1:10">
      <c r="A359">
        <v>46</v>
      </c>
      <c r="B359">
        <v>7</v>
      </c>
      <c r="C359" t="s">
        <v>51</v>
      </c>
      <c r="D359">
        <v>-33.925656196991703</v>
      </c>
      <c r="E359">
        <v>18.885314329210999</v>
      </c>
      <c r="F359">
        <v>4.3799999999999999E-2</v>
      </c>
      <c r="G359">
        <v>0.1096</v>
      </c>
      <c r="H359">
        <v>6.5750000000000003E-2</v>
      </c>
      <c r="I359">
        <v>1673.18624029176</v>
      </c>
      <c r="J359">
        <v>6406.7308618880197</v>
      </c>
    </row>
    <row r="360" spans="1:10">
      <c r="A360">
        <v>47</v>
      </c>
      <c r="B360">
        <v>7</v>
      </c>
      <c r="C360" t="s">
        <v>51</v>
      </c>
      <c r="D360">
        <v>-33.920126357851203</v>
      </c>
      <c r="E360">
        <v>18.877436178481101</v>
      </c>
      <c r="F360">
        <v>4.3799999999999999E-2</v>
      </c>
      <c r="G360">
        <v>0.1096</v>
      </c>
      <c r="H360">
        <v>6.5750000000000003E-2</v>
      </c>
      <c r="I360">
        <v>1620.83260159408</v>
      </c>
      <c r="J360">
        <v>6015.5662068944002</v>
      </c>
    </row>
    <row r="361" spans="1:10">
      <c r="A361">
        <v>48</v>
      </c>
      <c r="B361">
        <v>7</v>
      </c>
      <c r="C361" t="s">
        <v>51</v>
      </c>
      <c r="D361">
        <v>-33.9232598814338</v>
      </c>
      <c r="E361">
        <v>18.876255921566202</v>
      </c>
      <c r="F361">
        <v>4.3799999999999999E-2</v>
      </c>
      <c r="G361">
        <v>0.1096</v>
      </c>
      <c r="H361">
        <v>6.5750000000000003E-2</v>
      </c>
      <c r="I361">
        <v>1261.7811102935</v>
      </c>
      <c r="J361">
        <v>5753.3902061203298</v>
      </c>
    </row>
    <row r="362" spans="1:10">
      <c r="A362">
        <v>49</v>
      </c>
      <c r="B362">
        <v>7</v>
      </c>
      <c r="C362" t="s">
        <v>51</v>
      </c>
      <c r="D362">
        <v>-33.919238711242102</v>
      </c>
      <c r="E362">
        <v>18.8830744403236</v>
      </c>
      <c r="F362">
        <v>4.3799999999999999E-2</v>
      </c>
      <c r="G362">
        <v>0.1096</v>
      </c>
      <c r="H362">
        <v>6.5750000000000003E-2</v>
      </c>
      <c r="I362">
        <v>1986.3491268417599</v>
      </c>
      <c r="J362">
        <v>6519.8964506867496</v>
      </c>
    </row>
    <row r="363" spans="1:10">
      <c r="A363">
        <v>50</v>
      </c>
      <c r="B363">
        <v>7</v>
      </c>
      <c r="C363" t="s">
        <v>51</v>
      </c>
      <c r="D363">
        <v>-33.921015990468298</v>
      </c>
      <c r="E363">
        <v>18.887035291637801</v>
      </c>
      <c r="F363">
        <v>4.3799999999999999E-2</v>
      </c>
      <c r="G363">
        <v>0.1096</v>
      </c>
      <c r="H363">
        <v>6.5750000000000003E-2</v>
      </c>
      <c r="I363">
        <v>2101.4561063040001</v>
      </c>
      <c r="J363">
        <v>6758.4950388389898</v>
      </c>
    </row>
    <row r="364" spans="1:10">
      <c r="A364">
        <v>51</v>
      </c>
      <c r="B364">
        <v>7</v>
      </c>
      <c r="C364" t="s">
        <v>51</v>
      </c>
      <c r="D364">
        <v>-33.918051219529701</v>
      </c>
      <c r="E364">
        <v>18.887151887117401</v>
      </c>
      <c r="F364">
        <v>4.3799999999999999E-2</v>
      </c>
      <c r="G364">
        <v>0.1096</v>
      </c>
      <c r="H364">
        <v>6.5750000000000003E-2</v>
      </c>
      <c r="I364">
        <v>2334.7127604524098</v>
      </c>
      <c r="J364">
        <v>6915.0923111663496</v>
      </c>
    </row>
    <row r="365" spans="1:10">
      <c r="A365">
        <v>52</v>
      </c>
      <c r="B365">
        <v>7</v>
      </c>
      <c r="C365" t="s">
        <v>51</v>
      </c>
      <c r="D365">
        <v>-33.920131071826297</v>
      </c>
      <c r="E365">
        <v>18.871540440737899</v>
      </c>
      <c r="F365">
        <v>4.3799999999999999E-2</v>
      </c>
      <c r="G365">
        <v>0.1096</v>
      </c>
      <c r="H365">
        <v>6.5750000000000003E-2</v>
      </c>
      <c r="I365">
        <v>1462.5720205804801</v>
      </c>
      <c r="J365">
        <v>5548.0872779653801</v>
      </c>
    </row>
    <row r="366" spans="1:10">
      <c r="A366">
        <v>53</v>
      </c>
      <c r="B366">
        <v>7</v>
      </c>
      <c r="C366" t="s">
        <v>51</v>
      </c>
      <c r="D366">
        <v>-33.919187404643303</v>
      </c>
      <c r="E366">
        <v>18.874530882050301</v>
      </c>
      <c r="F366">
        <v>4.3799999999999999E-2</v>
      </c>
      <c r="G366">
        <v>0.1096</v>
      </c>
      <c r="H366">
        <v>6.5750000000000003E-2</v>
      </c>
      <c r="I366">
        <v>1620.7273590903501</v>
      </c>
      <c r="J366">
        <v>5838.1194887232396</v>
      </c>
    </row>
    <row r="367" spans="1:10">
      <c r="A367">
        <v>54</v>
      </c>
      <c r="B367">
        <v>7</v>
      </c>
      <c r="C367" t="s">
        <v>51</v>
      </c>
      <c r="D367">
        <v>-33.921508932686301</v>
      </c>
      <c r="E367">
        <v>18.883248713585498</v>
      </c>
      <c r="F367">
        <v>4.3799999999999999E-2</v>
      </c>
      <c r="G367">
        <v>0.1096</v>
      </c>
      <c r="H367">
        <v>6.5750000000000003E-2</v>
      </c>
      <c r="I367">
        <v>1807.5452779034499</v>
      </c>
      <c r="J367">
        <v>6418.9768204723096</v>
      </c>
    </row>
    <row r="368" spans="1:10">
      <c r="A368">
        <v>55</v>
      </c>
      <c r="B368">
        <v>7</v>
      </c>
      <c r="C368" t="s">
        <v>51</v>
      </c>
      <c r="D368">
        <v>-33.925477194639903</v>
      </c>
      <c r="E368">
        <v>18.893627661507999</v>
      </c>
      <c r="F368">
        <v>4.3799999999999999E-2</v>
      </c>
      <c r="G368">
        <v>0.1096</v>
      </c>
      <c r="H368">
        <v>6.5750000000000003E-2</v>
      </c>
      <c r="I368">
        <v>2377.66691503938</v>
      </c>
      <c r="J368">
        <v>7133.8772052821396</v>
      </c>
    </row>
    <row r="369" spans="1:10">
      <c r="A369">
        <v>56</v>
      </c>
      <c r="B369">
        <v>7</v>
      </c>
      <c r="C369" t="s">
        <v>51</v>
      </c>
      <c r="D369">
        <v>-33.925565810808102</v>
      </c>
      <c r="E369">
        <v>18.872075926652801</v>
      </c>
      <c r="F369">
        <v>4.3799999999999999E-2</v>
      </c>
      <c r="G369">
        <v>0.1096</v>
      </c>
      <c r="H369">
        <v>6.5750000000000003E-2</v>
      </c>
      <c r="I369">
        <v>1884.0160000000001</v>
      </c>
      <c r="J369">
        <v>5912.4930000000004</v>
      </c>
    </row>
    <row r="370" spans="1:10">
      <c r="A370">
        <v>57</v>
      </c>
      <c r="B370">
        <v>7</v>
      </c>
      <c r="C370" t="s">
        <v>51</v>
      </c>
      <c r="D370">
        <v>-33.917849626517501</v>
      </c>
      <c r="E370">
        <v>18.879152909708701</v>
      </c>
      <c r="F370">
        <v>4.3799999999999999E-2</v>
      </c>
      <c r="G370">
        <v>0.1096</v>
      </c>
      <c r="H370">
        <v>6.5750000000000003E-2</v>
      </c>
      <c r="I370">
        <v>3134.2779999999998</v>
      </c>
      <c r="J370">
        <v>7834.24</v>
      </c>
    </row>
    <row r="371" spans="1:10">
      <c r="A371">
        <v>58</v>
      </c>
      <c r="B371">
        <v>7</v>
      </c>
      <c r="C371" t="s">
        <v>51</v>
      </c>
      <c r="D371">
        <v>-33.919377146328102</v>
      </c>
      <c r="E371">
        <v>18.873218424416599</v>
      </c>
      <c r="F371">
        <v>4.3799999999999999E-2</v>
      </c>
      <c r="G371">
        <v>0.1096</v>
      </c>
      <c r="H371">
        <v>6.5750000000000003E-2</v>
      </c>
      <c r="I371">
        <v>4039.7649999999999</v>
      </c>
      <c r="J371">
        <v>7265.9650000000001</v>
      </c>
    </row>
    <row r="372" spans="1:10">
      <c r="A372">
        <v>59</v>
      </c>
      <c r="B372">
        <v>7</v>
      </c>
      <c r="C372" t="s">
        <v>51</v>
      </c>
      <c r="D372">
        <v>-33.922990694568199</v>
      </c>
      <c r="E372">
        <v>18.873392671234701</v>
      </c>
      <c r="F372">
        <v>4.3799999999999999E-2</v>
      </c>
      <c r="G372">
        <v>0.1096</v>
      </c>
      <c r="H372">
        <v>6.5750000000000003E-2</v>
      </c>
      <c r="I372">
        <v>1919.2819999999999</v>
      </c>
      <c r="J372">
        <v>6316.2290000000003</v>
      </c>
    </row>
    <row r="373" spans="1:10">
      <c r="A373">
        <v>60</v>
      </c>
      <c r="B373">
        <v>7</v>
      </c>
      <c r="C373" t="s">
        <v>51</v>
      </c>
      <c r="D373">
        <v>-33.918058984262998</v>
      </c>
      <c r="E373">
        <v>18.871487569248799</v>
      </c>
      <c r="F373">
        <v>4.3799999999999999E-2</v>
      </c>
      <c r="G373">
        <v>0.1096</v>
      </c>
      <c r="H373">
        <v>6.5750000000000003E-2</v>
      </c>
      <c r="I373">
        <v>3423.6410000000001</v>
      </c>
      <c r="J373">
        <v>6649.8419999999996</v>
      </c>
    </row>
    <row r="374" spans="1:10">
      <c r="A374">
        <v>61</v>
      </c>
      <c r="B374">
        <v>7</v>
      </c>
      <c r="C374" t="s">
        <v>51</v>
      </c>
      <c r="D374">
        <v>-33.918116250607</v>
      </c>
      <c r="E374">
        <v>18.8730634864867</v>
      </c>
      <c r="F374">
        <v>4.3799999999999999E-2</v>
      </c>
      <c r="G374">
        <v>0.1096</v>
      </c>
      <c r="H374">
        <v>6.5750000000000003E-2</v>
      </c>
      <c r="I374">
        <v>3657.2779999999998</v>
      </c>
      <c r="J374">
        <v>6883.4780000000001</v>
      </c>
    </row>
    <row r="375" spans="1:10">
      <c r="A375">
        <v>62</v>
      </c>
      <c r="B375">
        <v>7</v>
      </c>
      <c r="C375" t="s">
        <v>51</v>
      </c>
      <c r="D375">
        <v>-33.924430783319004</v>
      </c>
      <c r="E375">
        <v>18.890654931745502</v>
      </c>
      <c r="F375">
        <v>4.3799999999999999E-2</v>
      </c>
      <c r="G375">
        <v>0.1096</v>
      </c>
      <c r="H375">
        <v>6.5750000000000003E-2</v>
      </c>
      <c r="I375">
        <v>2634.799</v>
      </c>
      <c r="J375">
        <v>7693.2129999999997</v>
      </c>
    </row>
    <row r="376" spans="1:10">
      <c r="A376">
        <v>63</v>
      </c>
      <c r="B376">
        <v>7</v>
      </c>
      <c r="C376" t="s">
        <v>51</v>
      </c>
      <c r="D376">
        <v>-33.9200536048331</v>
      </c>
      <c r="E376">
        <v>18.8898943880106</v>
      </c>
      <c r="F376">
        <v>4.3799999999999999E-2</v>
      </c>
      <c r="G376">
        <v>0.1096</v>
      </c>
      <c r="H376">
        <v>6.5750000000000003E-2</v>
      </c>
      <c r="I376">
        <v>2905.174</v>
      </c>
      <c r="J376">
        <v>7963.5889999999999</v>
      </c>
    </row>
    <row r="377" spans="1:10">
      <c r="A377">
        <v>64</v>
      </c>
      <c r="B377">
        <v>7</v>
      </c>
      <c r="C377" t="s">
        <v>51</v>
      </c>
      <c r="D377">
        <v>-33.921850160470797</v>
      </c>
      <c r="E377">
        <v>18.888495189529699</v>
      </c>
      <c r="F377">
        <v>4.3799999999999999E-2</v>
      </c>
      <c r="G377">
        <v>0.1096</v>
      </c>
      <c r="H377">
        <v>6.5750000000000003E-2</v>
      </c>
      <c r="I377">
        <v>2598.8580000000002</v>
      </c>
      <c r="J377">
        <v>7657.2730000000001</v>
      </c>
    </row>
    <row r="378" spans="1:10">
      <c r="A378">
        <v>65</v>
      </c>
      <c r="B378">
        <v>7</v>
      </c>
      <c r="C378" t="s">
        <v>51</v>
      </c>
      <c r="D378">
        <v>-33.923094231643503</v>
      </c>
      <c r="E378">
        <v>18.891807141837699</v>
      </c>
      <c r="F378">
        <v>4.3799999999999999E-2</v>
      </c>
      <c r="G378">
        <v>0.1096</v>
      </c>
      <c r="H378">
        <v>6.5750000000000003E-2</v>
      </c>
      <c r="I378">
        <v>2916.32</v>
      </c>
      <c r="J378">
        <v>7974.7349999999997</v>
      </c>
    </row>
    <row r="379" spans="1:10">
      <c r="A379">
        <v>66</v>
      </c>
      <c r="B379">
        <v>7</v>
      </c>
      <c r="C379" t="s">
        <v>51</v>
      </c>
      <c r="D379">
        <v>-33.925678845800803</v>
      </c>
      <c r="E379">
        <v>18.876282496190601</v>
      </c>
      <c r="F379">
        <v>4.3799999999999999E-2</v>
      </c>
      <c r="G379">
        <v>0.1096</v>
      </c>
      <c r="H379">
        <v>6.5750000000000003E-2</v>
      </c>
      <c r="I379">
        <v>1520.0029999999999</v>
      </c>
      <c r="J379">
        <v>6336.3670000000002</v>
      </c>
    </row>
    <row r="380" spans="1:10">
      <c r="A380">
        <v>67</v>
      </c>
      <c r="B380">
        <v>7</v>
      </c>
      <c r="C380" t="s">
        <v>51</v>
      </c>
      <c r="D380">
        <v>-33.923748732083098</v>
      </c>
      <c r="E380">
        <v>18.891884873734</v>
      </c>
      <c r="F380">
        <v>4.3799999999999999E-2</v>
      </c>
      <c r="G380">
        <v>0.1096</v>
      </c>
      <c r="H380">
        <v>6.5750000000000003E-2</v>
      </c>
      <c r="I380">
        <v>2308.7982818718501</v>
      </c>
      <c r="J380">
        <v>7050.16900064533</v>
      </c>
    </row>
    <row r="381" spans="1:10">
      <c r="A381">
        <v>68</v>
      </c>
      <c r="B381">
        <v>7</v>
      </c>
      <c r="C381" t="s">
        <v>51</v>
      </c>
      <c r="D381">
        <v>-33.9247078782982</v>
      </c>
      <c r="E381">
        <v>18.879089836366699</v>
      </c>
      <c r="F381">
        <v>4.3799999999999999E-2</v>
      </c>
      <c r="G381">
        <v>0.1096</v>
      </c>
      <c r="H381">
        <v>6.5750000000000003E-2</v>
      </c>
      <c r="I381">
        <v>1284.9460848936001</v>
      </c>
      <c r="J381">
        <v>5918.6687222107103</v>
      </c>
    </row>
    <row r="382" spans="1:10">
      <c r="A382">
        <v>69</v>
      </c>
      <c r="B382">
        <v>7</v>
      </c>
      <c r="C382" t="s">
        <v>51</v>
      </c>
      <c r="D382">
        <v>-33.919353955623997</v>
      </c>
      <c r="E382">
        <v>18.887662966804498</v>
      </c>
      <c r="F382">
        <v>4.3799999999999999E-2</v>
      </c>
      <c r="G382">
        <v>0.1096</v>
      </c>
      <c r="H382">
        <v>6.5750000000000003E-2</v>
      </c>
      <c r="I382">
        <v>2267.1804299953601</v>
      </c>
      <c r="J382">
        <v>6891.32796109026</v>
      </c>
    </row>
    <row r="383" spans="1:10">
      <c r="A383">
        <v>70</v>
      </c>
      <c r="B383">
        <v>7</v>
      </c>
      <c r="C383" t="s">
        <v>51</v>
      </c>
      <c r="D383">
        <v>-33.925588817043703</v>
      </c>
      <c r="E383">
        <v>18.8822346224349</v>
      </c>
      <c r="F383">
        <v>4.3799999999999999E-2</v>
      </c>
      <c r="G383">
        <v>0.1096</v>
      </c>
      <c r="H383">
        <v>6.5750000000000003E-2</v>
      </c>
      <c r="I383">
        <v>1438.0779685058901</v>
      </c>
      <c r="J383">
        <v>6145.7197740218198</v>
      </c>
    </row>
    <row r="384" spans="1:10">
      <c r="A384">
        <v>71</v>
      </c>
      <c r="B384">
        <v>7</v>
      </c>
      <c r="C384" t="s">
        <v>51</v>
      </c>
      <c r="D384">
        <v>-33.922350933024497</v>
      </c>
      <c r="E384">
        <v>18.8822698620225</v>
      </c>
      <c r="F384">
        <v>4.3799999999999999E-2</v>
      </c>
      <c r="G384">
        <v>0.1096</v>
      </c>
      <c r="H384">
        <v>6.5750000000000003E-2</v>
      </c>
      <c r="I384">
        <v>2045.4090000000001</v>
      </c>
      <c r="J384">
        <v>7103.8230000000003</v>
      </c>
    </row>
    <row r="385" spans="1:10">
      <c r="A385">
        <v>72</v>
      </c>
      <c r="B385">
        <v>7</v>
      </c>
      <c r="C385" t="s">
        <v>51</v>
      </c>
      <c r="D385">
        <v>-33.918511495944799</v>
      </c>
      <c r="E385">
        <v>18.891382549698001</v>
      </c>
      <c r="F385">
        <v>4.3799999999999999E-2</v>
      </c>
      <c r="G385">
        <v>0.1096</v>
      </c>
      <c r="H385">
        <v>6.5750000000000003E-2</v>
      </c>
      <c r="I385">
        <v>3173.16</v>
      </c>
      <c r="J385">
        <v>8231.5750000000007</v>
      </c>
    </row>
    <row r="386" spans="1:10">
      <c r="A386">
        <v>73</v>
      </c>
      <c r="B386">
        <v>7</v>
      </c>
      <c r="C386" t="s">
        <v>51</v>
      </c>
      <c r="D386">
        <v>-33.925171023675198</v>
      </c>
      <c r="E386">
        <v>18.892039156453801</v>
      </c>
      <c r="F386">
        <v>4.3799999999999999E-2</v>
      </c>
      <c r="G386">
        <v>0.1096</v>
      </c>
      <c r="H386">
        <v>6.5750000000000003E-2</v>
      </c>
      <c r="I386">
        <v>2935.6480000000001</v>
      </c>
      <c r="J386">
        <v>7994.0619999999999</v>
      </c>
    </row>
    <row r="387" spans="1:10">
      <c r="A387">
        <v>74</v>
      </c>
      <c r="B387">
        <v>7</v>
      </c>
      <c r="C387" t="s">
        <v>51</v>
      </c>
      <c r="D387">
        <v>-33.920462600931003</v>
      </c>
      <c r="E387">
        <v>18.8831404692544</v>
      </c>
      <c r="F387">
        <v>4.3799999999999999E-2</v>
      </c>
      <c r="G387">
        <v>0.1096</v>
      </c>
      <c r="H387">
        <v>6.5750000000000003E-2</v>
      </c>
      <c r="I387">
        <v>2190.81</v>
      </c>
      <c r="J387">
        <v>7249.2250000000004</v>
      </c>
    </row>
    <row r="388" spans="1:10">
      <c r="A388">
        <v>75</v>
      </c>
      <c r="B388">
        <v>7</v>
      </c>
      <c r="C388" t="s">
        <v>51</v>
      </c>
      <c r="D388">
        <v>-33.922986428076797</v>
      </c>
      <c r="E388">
        <v>18.874933130215801</v>
      </c>
      <c r="F388">
        <v>4.3799999999999999E-2</v>
      </c>
      <c r="G388">
        <v>0.1096</v>
      </c>
      <c r="H388">
        <v>6.5750000000000003E-2</v>
      </c>
      <c r="I388">
        <v>2045.675</v>
      </c>
      <c r="J388">
        <v>6442.6220000000003</v>
      </c>
    </row>
    <row r="389" spans="1:10">
      <c r="A389">
        <v>76</v>
      </c>
      <c r="B389">
        <v>7</v>
      </c>
      <c r="C389" t="s">
        <v>51</v>
      </c>
      <c r="D389">
        <v>-33.918668094980298</v>
      </c>
      <c r="E389">
        <v>18.880637791720599</v>
      </c>
      <c r="F389">
        <v>4.3799999999999999E-2</v>
      </c>
      <c r="G389">
        <v>0.1096</v>
      </c>
      <c r="H389">
        <v>6.5750000000000003E-2</v>
      </c>
      <c r="I389">
        <v>2498.9749999999999</v>
      </c>
      <c r="J389">
        <v>7198.9359999999997</v>
      </c>
    </row>
    <row r="390" spans="1:10">
      <c r="A390">
        <v>77</v>
      </c>
      <c r="B390">
        <v>7</v>
      </c>
      <c r="C390" t="s">
        <v>51</v>
      </c>
      <c r="D390">
        <v>-33.924899969703503</v>
      </c>
      <c r="E390">
        <v>18.8766865900329</v>
      </c>
      <c r="F390">
        <v>4.3799999999999999E-2</v>
      </c>
      <c r="G390">
        <v>0.1096</v>
      </c>
      <c r="H390">
        <v>6.5750000000000003E-2</v>
      </c>
      <c r="I390">
        <v>1468.7470000000001</v>
      </c>
      <c r="J390">
        <v>6327.7629999999999</v>
      </c>
    </row>
    <row r="391" spans="1:10">
      <c r="A391">
        <v>78</v>
      </c>
      <c r="B391">
        <v>7</v>
      </c>
      <c r="C391" t="s">
        <v>51</v>
      </c>
      <c r="D391">
        <v>-33.9185412693015</v>
      </c>
      <c r="E391">
        <v>18.8714896790433</v>
      </c>
      <c r="F391">
        <v>4.3799999999999999E-2</v>
      </c>
      <c r="G391">
        <v>0.1096</v>
      </c>
      <c r="H391">
        <v>6.5750000000000003E-2</v>
      </c>
      <c r="I391">
        <v>3464.0169999999998</v>
      </c>
      <c r="J391">
        <v>6690.2169999999996</v>
      </c>
    </row>
    <row r="392" spans="1:10">
      <c r="A392">
        <v>79</v>
      </c>
      <c r="B392">
        <v>7</v>
      </c>
      <c r="C392" t="s">
        <v>51</v>
      </c>
      <c r="D392">
        <v>-33.9255927974801</v>
      </c>
      <c r="E392">
        <v>18.889173667336198</v>
      </c>
      <c r="F392">
        <v>4.3799999999999999E-2</v>
      </c>
      <c r="G392">
        <v>0.1096</v>
      </c>
      <c r="H392">
        <v>6.5750000000000003E-2</v>
      </c>
      <c r="I392">
        <v>2499.2220000000002</v>
      </c>
      <c r="J392">
        <v>7557.6369999999997</v>
      </c>
    </row>
    <row r="393" spans="1:10">
      <c r="A393">
        <v>80</v>
      </c>
      <c r="B393">
        <v>7</v>
      </c>
      <c r="C393" t="s">
        <v>51</v>
      </c>
      <c r="D393">
        <v>-33.923101946886597</v>
      </c>
      <c r="E393">
        <v>18.885854045188101</v>
      </c>
      <c r="F393">
        <v>4.3799999999999999E-2</v>
      </c>
      <c r="G393">
        <v>0.1096</v>
      </c>
      <c r="H393">
        <v>6.5750000000000003E-2</v>
      </c>
      <c r="I393">
        <v>2293.4050000000002</v>
      </c>
      <c r="J393">
        <v>7351.82</v>
      </c>
    </row>
    <row r="394" spans="1:10">
      <c r="A394">
        <v>81</v>
      </c>
      <c r="B394">
        <v>7</v>
      </c>
      <c r="C394" t="s">
        <v>51</v>
      </c>
      <c r="D394">
        <v>-33.920692411503097</v>
      </c>
      <c r="E394">
        <v>18.872443957528699</v>
      </c>
      <c r="F394">
        <v>4.3799999999999999E-2</v>
      </c>
      <c r="G394">
        <v>0.1096</v>
      </c>
      <c r="H394">
        <v>6.5750000000000003E-2</v>
      </c>
      <c r="I394">
        <v>4283.6670000000004</v>
      </c>
      <c r="J394">
        <v>7509.8680000000004</v>
      </c>
    </row>
    <row r="395" spans="1:10">
      <c r="A395">
        <v>82</v>
      </c>
      <c r="B395">
        <v>7</v>
      </c>
      <c r="C395" t="s">
        <v>51</v>
      </c>
      <c r="D395">
        <v>-33.921676118385399</v>
      </c>
      <c r="E395">
        <v>18.892538118866799</v>
      </c>
      <c r="F395">
        <v>4.3799999999999999E-2</v>
      </c>
      <c r="G395">
        <v>0.1096</v>
      </c>
      <c r="H395">
        <v>6.5750000000000003E-2</v>
      </c>
      <c r="I395">
        <v>3066.0349999999999</v>
      </c>
      <c r="J395">
        <v>8124.45</v>
      </c>
    </row>
    <row r="396" spans="1:10">
      <c r="A396">
        <v>83</v>
      </c>
      <c r="B396">
        <v>7</v>
      </c>
      <c r="C396" t="s">
        <v>51</v>
      </c>
      <c r="D396">
        <v>-33.924792162908098</v>
      </c>
      <c r="E396">
        <v>18.874768133227501</v>
      </c>
      <c r="F396">
        <v>4.3799999999999999E-2</v>
      </c>
      <c r="G396">
        <v>0.1096</v>
      </c>
      <c r="H396">
        <v>6.5750000000000003E-2</v>
      </c>
      <c r="I396">
        <v>1645.77</v>
      </c>
      <c r="J396">
        <v>6150.74</v>
      </c>
    </row>
    <row r="397" spans="1:10">
      <c r="A397">
        <v>84</v>
      </c>
      <c r="B397">
        <v>7</v>
      </c>
      <c r="C397" t="s">
        <v>51</v>
      </c>
      <c r="D397">
        <v>-33.919879034370197</v>
      </c>
      <c r="E397">
        <v>18.890304082536499</v>
      </c>
      <c r="F397">
        <v>4.3799999999999999E-2</v>
      </c>
      <c r="G397">
        <v>0.1096</v>
      </c>
      <c r="H397">
        <v>6.5750000000000003E-2</v>
      </c>
      <c r="I397">
        <v>2962.8270000000002</v>
      </c>
      <c r="J397">
        <v>8021.2420000000002</v>
      </c>
    </row>
    <row r="398" spans="1:10">
      <c r="A398">
        <v>85</v>
      </c>
      <c r="B398">
        <v>7</v>
      </c>
      <c r="C398" t="s">
        <v>51</v>
      </c>
      <c r="D398">
        <v>-33.922697134998401</v>
      </c>
      <c r="E398">
        <v>18.881901927846499</v>
      </c>
      <c r="F398">
        <v>4.3799999999999999E-2</v>
      </c>
      <c r="G398">
        <v>0.1096</v>
      </c>
      <c r="H398">
        <v>6.5750000000000003E-2</v>
      </c>
      <c r="I398">
        <v>1943.1</v>
      </c>
      <c r="J398">
        <v>7001.5150000000003</v>
      </c>
    </row>
    <row r="399" spans="1:10">
      <c r="A399">
        <v>86</v>
      </c>
      <c r="B399">
        <v>7</v>
      </c>
      <c r="C399" t="s">
        <v>51</v>
      </c>
      <c r="D399">
        <v>-33.9185535338775</v>
      </c>
      <c r="E399">
        <v>18.887992050222302</v>
      </c>
      <c r="F399">
        <v>4.3799999999999999E-2</v>
      </c>
      <c r="G399">
        <v>0.1096</v>
      </c>
      <c r="H399">
        <v>6.5750000000000003E-2</v>
      </c>
      <c r="I399">
        <v>2678.3069999999998</v>
      </c>
      <c r="J399">
        <v>7736.7209999999995</v>
      </c>
    </row>
    <row r="400" spans="1:10">
      <c r="A400">
        <v>87</v>
      </c>
      <c r="B400">
        <v>7</v>
      </c>
      <c r="C400" t="s">
        <v>51</v>
      </c>
      <c r="D400">
        <v>-33.917865050233502</v>
      </c>
      <c r="E400">
        <v>18.888621111171901</v>
      </c>
      <c r="F400">
        <v>4.3799999999999999E-2</v>
      </c>
      <c r="G400">
        <v>0.1096</v>
      </c>
      <c r="H400">
        <v>6.5750000000000003E-2</v>
      </c>
      <c r="I400">
        <v>3224.5189999999998</v>
      </c>
      <c r="J400">
        <v>8282.9339999999993</v>
      </c>
    </row>
    <row r="401" spans="1:10">
      <c r="A401">
        <v>88</v>
      </c>
      <c r="B401">
        <v>7</v>
      </c>
      <c r="C401" t="s">
        <v>51</v>
      </c>
      <c r="D401">
        <v>-33.921654134790401</v>
      </c>
      <c r="E401">
        <v>18.8771973982176</v>
      </c>
      <c r="F401">
        <v>4.3799999999999999E-2</v>
      </c>
      <c r="G401">
        <v>0.1096</v>
      </c>
      <c r="H401">
        <v>6.5750000000000003E-2</v>
      </c>
      <c r="I401">
        <v>2306.0680000000002</v>
      </c>
      <c r="J401">
        <v>7006.03</v>
      </c>
    </row>
    <row r="402" spans="1:10">
      <c r="A402">
        <v>89</v>
      </c>
      <c r="B402">
        <v>7</v>
      </c>
      <c r="C402" t="s">
        <v>51</v>
      </c>
      <c r="D402">
        <v>-33.925729613375999</v>
      </c>
      <c r="E402">
        <v>18.883173860910301</v>
      </c>
      <c r="F402">
        <v>4.3799999999999999E-2</v>
      </c>
      <c r="G402">
        <v>0.1096</v>
      </c>
      <c r="H402">
        <v>6.5750000000000003E-2</v>
      </c>
      <c r="I402">
        <v>1881.098</v>
      </c>
      <c r="J402">
        <v>6939.5129999999999</v>
      </c>
    </row>
    <row r="403" spans="1:10">
      <c r="A403">
        <v>90</v>
      </c>
      <c r="B403">
        <v>7</v>
      </c>
      <c r="C403" t="s">
        <v>51</v>
      </c>
      <c r="D403">
        <v>-33.9200111647135</v>
      </c>
      <c r="E403">
        <v>18.883408205014</v>
      </c>
      <c r="F403">
        <v>4.3799999999999999E-2</v>
      </c>
      <c r="G403">
        <v>0.1096</v>
      </c>
      <c r="H403">
        <v>6.5750000000000003E-2</v>
      </c>
      <c r="I403">
        <v>2246.6370000000002</v>
      </c>
      <c r="J403">
        <v>7305.0510000000004</v>
      </c>
    </row>
    <row r="404" spans="1:10">
      <c r="A404">
        <v>91</v>
      </c>
      <c r="B404">
        <v>7</v>
      </c>
      <c r="C404" t="s">
        <v>51</v>
      </c>
      <c r="D404">
        <v>-33.923187437540598</v>
      </c>
      <c r="E404">
        <v>18.892965652392999</v>
      </c>
      <c r="F404">
        <v>4.3799999999999999E-2</v>
      </c>
      <c r="G404">
        <v>0.1096</v>
      </c>
      <c r="H404">
        <v>6.5750000000000003E-2</v>
      </c>
      <c r="I404">
        <v>2933.5279999999998</v>
      </c>
      <c r="J404">
        <v>7991.9430000000002</v>
      </c>
    </row>
    <row r="405" spans="1:10">
      <c r="A405">
        <v>92</v>
      </c>
      <c r="B405">
        <v>7</v>
      </c>
      <c r="C405" t="s">
        <v>51</v>
      </c>
      <c r="D405">
        <v>-33.917877959397899</v>
      </c>
      <c r="E405">
        <v>18.8783773154031</v>
      </c>
      <c r="F405">
        <v>4.3799999999999999E-2</v>
      </c>
      <c r="G405">
        <v>0.1096</v>
      </c>
      <c r="H405">
        <v>6.5750000000000003E-2</v>
      </c>
      <c r="I405">
        <v>2544.0079999999998</v>
      </c>
      <c r="J405">
        <v>7243.9690000000001</v>
      </c>
    </row>
    <row r="406" spans="1:10">
      <c r="A406">
        <v>93</v>
      </c>
      <c r="B406">
        <v>7</v>
      </c>
      <c r="C406" t="s">
        <v>51</v>
      </c>
      <c r="D406">
        <v>-33.920398458180401</v>
      </c>
      <c r="E406">
        <v>18.889110562091901</v>
      </c>
      <c r="F406">
        <v>4.3799999999999999E-2</v>
      </c>
      <c r="G406">
        <v>0.1096</v>
      </c>
      <c r="H406">
        <v>6.5750000000000003E-2</v>
      </c>
      <c r="I406">
        <v>2774.415</v>
      </c>
      <c r="J406">
        <v>7832.83</v>
      </c>
    </row>
    <row r="407" spans="1:10">
      <c r="A407">
        <v>94</v>
      </c>
      <c r="B407">
        <v>7</v>
      </c>
      <c r="C407" t="s">
        <v>51</v>
      </c>
      <c r="D407">
        <v>-33.918657904704602</v>
      </c>
      <c r="E407">
        <v>18.889272289527302</v>
      </c>
      <c r="F407">
        <v>4.3799999999999999E-2</v>
      </c>
      <c r="G407">
        <v>0.1096</v>
      </c>
      <c r="H407">
        <v>6.5750000000000003E-2</v>
      </c>
      <c r="I407">
        <v>3165.0790000000002</v>
      </c>
      <c r="J407">
        <v>8223.4940000000006</v>
      </c>
    </row>
    <row r="408" spans="1:10">
      <c r="A408">
        <v>95</v>
      </c>
      <c r="B408">
        <v>7</v>
      </c>
      <c r="C408" t="s">
        <v>51</v>
      </c>
      <c r="D408">
        <v>-33.926243486627897</v>
      </c>
      <c r="E408">
        <v>18.876476616872001</v>
      </c>
      <c r="F408">
        <v>4.3799999999999999E-2</v>
      </c>
      <c r="G408">
        <v>0.1096</v>
      </c>
      <c r="H408">
        <v>6.5750000000000003E-2</v>
      </c>
      <c r="I408">
        <v>1220.6659999999999</v>
      </c>
      <c r="J408">
        <v>6266.29</v>
      </c>
    </row>
    <row r="409" spans="1:10">
      <c r="A409">
        <v>96</v>
      </c>
      <c r="B409">
        <v>7</v>
      </c>
      <c r="C409" t="s">
        <v>51</v>
      </c>
      <c r="D409">
        <v>-33.9236268526085</v>
      </c>
      <c r="E409">
        <v>18.8852902527093</v>
      </c>
      <c r="F409">
        <v>4.3799999999999999E-2</v>
      </c>
      <c r="G409">
        <v>0.1096</v>
      </c>
      <c r="H409">
        <v>6.5750000000000003E-2</v>
      </c>
      <c r="I409">
        <v>2194.991</v>
      </c>
      <c r="J409">
        <v>7253.4059999999999</v>
      </c>
    </row>
    <row r="410" spans="1:10">
      <c r="A410">
        <v>97</v>
      </c>
      <c r="B410">
        <v>7</v>
      </c>
      <c r="C410" t="s">
        <v>51</v>
      </c>
      <c r="D410">
        <v>-33.925601305169401</v>
      </c>
      <c r="E410">
        <v>18.883646579144699</v>
      </c>
      <c r="F410">
        <v>4.3799999999999999E-2</v>
      </c>
      <c r="G410">
        <v>0.1096</v>
      </c>
      <c r="H410">
        <v>6.5750000000000003E-2</v>
      </c>
      <c r="I410">
        <v>1922.452</v>
      </c>
      <c r="J410">
        <v>6980.8670000000002</v>
      </c>
    </row>
    <row r="411" spans="1:10">
      <c r="A411">
        <v>98</v>
      </c>
      <c r="B411">
        <v>7</v>
      </c>
      <c r="C411" t="s">
        <v>51</v>
      </c>
      <c r="D411">
        <v>-33.9254851836547</v>
      </c>
      <c r="E411">
        <v>18.8842683992216</v>
      </c>
      <c r="F411">
        <v>4.3799999999999999E-2</v>
      </c>
      <c r="G411">
        <v>0.1096</v>
      </c>
      <c r="H411">
        <v>6.5750000000000003E-2</v>
      </c>
      <c r="I411">
        <v>2025.55</v>
      </c>
      <c r="J411">
        <v>7083.9650000000001</v>
      </c>
    </row>
    <row r="412" spans="1:10">
      <c r="A412">
        <v>99</v>
      </c>
      <c r="B412">
        <v>7</v>
      </c>
      <c r="C412" t="s">
        <v>51</v>
      </c>
      <c r="D412">
        <v>-33.9233514571592</v>
      </c>
      <c r="E412">
        <v>18.8822343017973</v>
      </c>
      <c r="F412">
        <v>4.3799999999999999E-2</v>
      </c>
      <c r="G412">
        <v>0.1096</v>
      </c>
      <c r="H412">
        <v>6.5750000000000003E-2</v>
      </c>
      <c r="I412">
        <v>2025.799</v>
      </c>
      <c r="J412">
        <v>7084.2139999999999</v>
      </c>
    </row>
    <row r="413" spans="1:10">
      <c r="A413">
        <v>100</v>
      </c>
      <c r="B413">
        <v>7</v>
      </c>
      <c r="C413" t="s">
        <v>51</v>
      </c>
      <c r="D413">
        <v>-33.920017549557301</v>
      </c>
      <c r="E413">
        <v>18.871864668125198</v>
      </c>
      <c r="F413">
        <v>4.3799999999999999E-2</v>
      </c>
      <c r="G413">
        <v>0.1096</v>
      </c>
      <c r="H413">
        <v>6.5750000000000003E-2</v>
      </c>
      <c r="I413">
        <v>3597.0430000000001</v>
      </c>
      <c r="J413">
        <v>6823.2439999999997</v>
      </c>
    </row>
    <row r="414" spans="1:10">
      <c r="A414">
        <v>101</v>
      </c>
      <c r="B414">
        <v>7</v>
      </c>
      <c r="C414" t="s">
        <v>51</v>
      </c>
      <c r="D414">
        <v>-33.924602633173301</v>
      </c>
      <c r="E414">
        <v>18.884915542174099</v>
      </c>
      <c r="F414">
        <v>4.3799999999999999E-2</v>
      </c>
      <c r="G414">
        <v>0.1096</v>
      </c>
      <c r="H414">
        <v>6.5750000000000003E-2</v>
      </c>
      <c r="I414">
        <v>2112.3879999999999</v>
      </c>
      <c r="J414">
        <v>7170.8019999999997</v>
      </c>
    </row>
    <row r="415" spans="1:10">
      <c r="A415">
        <v>102</v>
      </c>
      <c r="B415">
        <v>7</v>
      </c>
      <c r="C415" t="s">
        <v>51</v>
      </c>
      <c r="D415">
        <v>-33.922057066595201</v>
      </c>
      <c r="E415">
        <v>18.8926268547931</v>
      </c>
      <c r="F415">
        <v>4.3799999999999999E-2</v>
      </c>
      <c r="G415">
        <v>0.1096</v>
      </c>
      <c r="H415">
        <v>6.5750000000000003E-2</v>
      </c>
      <c r="I415">
        <v>3016.8119999999999</v>
      </c>
      <c r="J415">
        <v>8075.2269999999999</v>
      </c>
    </row>
    <row r="416" spans="1:10">
      <c r="A416">
        <v>103</v>
      </c>
      <c r="B416">
        <v>7</v>
      </c>
      <c r="C416" t="s">
        <v>51</v>
      </c>
      <c r="D416">
        <v>-33.919140305735603</v>
      </c>
      <c r="E416">
        <v>18.8831008684548</v>
      </c>
      <c r="F416">
        <v>4.3799999999999999E-2</v>
      </c>
      <c r="G416">
        <v>0.1096</v>
      </c>
      <c r="H416">
        <v>6.5750000000000003E-2</v>
      </c>
      <c r="I416">
        <v>2241.3809999999999</v>
      </c>
      <c r="J416">
        <v>7299.7960000000003</v>
      </c>
    </row>
    <row r="417" spans="1:10">
      <c r="A417">
        <v>104</v>
      </c>
      <c r="B417">
        <v>7</v>
      </c>
      <c r="C417" t="s">
        <v>51</v>
      </c>
      <c r="D417">
        <v>-33.926144492389199</v>
      </c>
      <c r="E417">
        <v>18.893637161898599</v>
      </c>
      <c r="F417">
        <v>4.3799999999999999E-2</v>
      </c>
      <c r="G417">
        <v>0.1096</v>
      </c>
      <c r="H417">
        <v>6.5750000000000003E-2</v>
      </c>
      <c r="I417">
        <v>2881.134</v>
      </c>
      <c r="J417">
        <v>7939.5479999999998</v>
      </c>
    </row>
    <row r="418" spans="1:10">
      <c r="A418">
        <v>105</v>
      </c>
      <c r="B418">
        <v>7</v>
      </c>
      <c r="C418" t="s">
        <v>51</v>
      </c>
      <c r="D418">
        <v>-33.918456016802999</v>
      </c>
      <c r="E418">
        <v>18.885497048947201</v>
      </c>
      <c r="F418">
        <v>4.3799999999999999E-2</v>
      </c>
      <c r="G418">
        <v>0.1096</v>
      </c>
      <c r="H418">
        <v>6.5750000000000003E-2</v>
      </c>
      <c r="I418">
        <v>2462.2759999999998</v>
      </c>
      <c r="J418">
        <v>7520.6909999999998</v>
      </c>
    </row>
    <row r="419" spans="1:10">
      <c r="A419">
        <v>106</v>
      </c>
      <c r="B419">
        <v>7</v>
      </c>
      <c r="C419" t="s">
        <v>51</v>
      </c>
      <c r="D419">
        <v>-33.924591661463701</v>
      </c>
      <c r="E419">
        <v>18.8821379579115</v>
      </c>
      <c r="F419">
        <v>4.3799999999999999E-2</v>
      </c>
      <c r="G419">
        <v>0.1096</v>
      </c>
      <c r="H419">
        <v>6.5750000000000003E-2</v>
      </c>
      <c r="I419">
        <v>1820.46</v>
      </c>
      <c r="J419">
        <v>6878.875</v>
      </c>
    </row>
    <row r="420" spans="1:10">
      <c r="A420">
        <v>0</v>
      </c>
      <c r="B420">
        <v>8</v>
      </c>
      <c r="C420" t="s">
        <v>11</v>
      </c>
      <c r="D420">
        <v>-33.90845831483</v>
      </c>
      <c r="E420">
        <v>18.8521130056046</v>
      </c>
      <c r="F420">
        <v>6.5750000000000003E-2</v>
      </c>
      <c r="G420">
        <v>0.1643</v>
      </c>
      <c r="H420">
        <v>9.8599999999999993E-2</v>
      </c>
      <c r="I420">
        <v>5052.2330000000002</v>
      </c>
      <c r="J420">
        <v>6969.7740000000003</v>
      </c>
    </row>
    <row r="421" spans="1:10">
      <c r="A421">
        <v>1</v>
      </c>
      <c r="B421">
        <v>8</v>
      </c>
      <c r="C421" t="s">
        <v>11</v>
      </c>
      <c r="D421">
        <v>-33.905068410556296</v>
      </c>
      <c r="E421">
        <v>18.8464069003305</v>
      </c>
      <c r="F421">
        <v>6.5750000000000003E-2</v>
      </c>
      <c r="G421">
        <v>0.1643</v>
      </c>
      <c r="H421">
        <v>9.8599999999999993E-2</v>
      </c>
      <c r="I421">
        <v>6153.0770000000002</v>
      </c>
      <c r="J421">
        <v>8070.6170000000002</v>
      </c>
    </row>
    <row r="422" spans="1:10">
      <c r="A422">
        <v>2</v>
      </c>
      <c r="B422">
        <v>8</v>
      </c>
      <c r="C422" t="s">
        <v>11</v>
      </c>
      <c r="D422">
        <v>-33.915726435300499</v>
      </c>
      <c r="E422">
        <v>18.852047076256198</v>
      </c>
      <c r="F422">
        <v>6.5750000000000003E-2</v>
      </c>
      <c r="G422">
        <v>0.1643</v>
      </c>
      <c r="H422">
        <v>9.8599999999999993E-2</v>
      </c>
      <c r="I422">
        <v>3824.848</v>
      </c>
      <c r="J422">
        <v>5742.3890000000001</v>
      </c>
    </row>
    <row r="423" spans="1:10">
      <c r="A423">
        <v>3</v>
      </c>
      <c r="B423">
        <v>8</v>
      </c>
      <c r="C423" t="s">
        <v>11</v>
      </c>
      <c r="D423">
        <v>-33.910545536628703</v>
      </c>
      <c r="E423">
        <v>18.8469285168946</v>
      </c>
      <c r="F423">
        <v>6.5750000000000003E-2</v>
      </c>
      <c r="G423">
        <v>0.1643</v>
      </c>
      <c r="H423">
        <v>9.8599999999999993E-2</v>
      </c>
      <c r="I423">
        <v>4552.2129999999997</v>
      </c>
      <c r="J423">
        <v>6469.7539999999999</v>
      </c>
    </row>
    <row r="424" spans="1:10">
      <c r="A424">
        <v>4</v>
      </c>
      <c r="B424">
        <v>8</v>
      </c>
      <c r="C424" t="s">
        <v>11</v>
      </c>
      <c r="D424">
        <v>-33.898688923937797</v>
      </c>
      <c r="E424">
        <v>18.8440857495473</v>
      </c>
      <c r="F424">
        <v>6.5750000000000003E-2</v>
      </c>
      <c r="G424">
        <v>0.1643</v>
      </c>
      <c r="H424">
        <v>9.8599999999999993E-2</v>
      </c>
      <c r="I424">
        <v>6392.2520000000004</v>
      </c>
      <c r="J424">
        <v>8309.7929999999997</v>
      </c>
    </row>
    <row r="425" spans="1:10">
      <c r="A425">
        <v>5</v>
      </c>
      <c r="B425">
        <v>8</v>
      </c>
      <c r="C425" t="s">
        <v>11</v>
      </c>
      <c r="D425">
        <v>-33.917119772361403</v>
      </c>
      <c r="E425">
        <v>18.8538243231412</v>
      </c>
      <c r="F425">
        <v>6.5750000000000003E-2</v>
      </c>
      <c r="G425">
        <v>0.1643</v>
      </c>
      <c r="H425">
        <v>9.8599999999999993E-2</v>
      </c>
      <c r="I425">
        <v>3885.0050000000001</v>
      </c>
      <c r="J425">
        <v>5802.5450000000001</v>
      </c>
    </row>
    <row r="426" spans="1:10">
      <c r="A426">
        <v>6</v>
      </c>
      <c r="B426">
        <v>8</v>
      </c>
      <c r="C426" t="s">
        <v>11</v>
      </c>
      <c r="D426">
        <v>-33.911021138859901</v>
      </c>
      <c r="E426">
        <v>18.850825337581401</v>
      </c>
      <c r="F426">
        <v>6.5750000000000003E-2</v>
      </c>
      <c r="G426">
        <v>0.1643</v>
      </c>
      <c r="H426">
        <v>9.8599999999999993E-2</v>
      </c>
      <c r="I426">
        <v>5077.7280000000001</v>
      </c>
      <c r="J426">
        <v>6995.2690000000002</v>
      </c>
    </row>
    <row r="427" spans="1:10">
      <c r="A427">
        <v>7</v>
      </c>
      <c r="B427">
        <v>8</v>
      </c>
      <c r="C427" t="s">
        <v>11</v>
      </c>
      <c r="D427">
        <v>-33.907922019346401</v>
      </c>
      <c r="E427">
        <v>18.8593188387797</v>
      </c>
      <c r="F427">
        <v>6.5750000000000003E-2</v>
      </c>
      <c r="G427">
        <v>0.1643</v>
      </c>
      <c r="H427">
        <v>9.8599999999999993E-2</v>
      </c>
      <c r="I427">
        <v>4758.5820000000003</v>
      </c>
      <c r="J427">
        <v>6676.1229999999996</v>
      </c>
    </row>
    <row r="428" spans="1:10">
      <c r="A428">
        <v>8</v>
      </c>
      <c r="B428">
        <v>8</v>
      </c>
      <c r="C428" t="s">
        <v>11</v>
      </c>
      <c r="D428">
        <v>-33.9078376675687</v>
      </c>
      <c r="E428">
        <v>18.851270941766501</v>
      </c>
      <c r="F428">
        <v>6.5750000000000003E-2</v>
      </c>
      <c r="G428">
        <v>0.1643</v>
      </c>
      <c r="H428">
        <v>9.8599999999999993E-2</v>
      </c>
      <c r="I428">
        <v>5136.9279999999999</v>
      </c>
      <c r="J428">
        <v>7054.4690000000001</v>
      </c>
    </row>
    <row r="429" spans="1:10">
      <c r="A429">
        <v>9</v>
      </c>
      <c r="B429">
        <v>8</v>
      </c>
      <c r="C429" t="s">
        <v>11</v>
      </c>
      <c r="D429">
        <v>-33.9028196056395</v>
      </c>
      <c r="E429">
        <v>18.858739008196899</v>
      </c>
      <c r="F429">
        <v>6.5750000000000003E-2</v>
      </c>
      <c r="G429">
        <v>0.1643</v>
      </c>
      <c r="H429">
        <v>9.8599999999999993E-2</v>
      </c>
      <c r="I429">
        <v>5930.9290000000001</v>
      </c>
      <c r="J429">
        <v>7848.47</v>
      </c>
    </row>
    <row r="430" spans="1:10">
      <c r="A430">
        <v>10</v>
      </c>
      <c r="B430">
        <v>8</v>
      </c>
      <c r="C430" t="s">
        <v>11</v>
      </c>
      <c r="D430">
        <v>-33.906849370459703</v>
      </c>
      <c r="E430">
        <v>18.852286062134699</v>
      </c>
      <c r="F430">
        <v>6.5750000000000003E-2</v>
      </c>
      <c r="G430">
        <v>0.1643</v>
      </c>
      <c r="H430">
        <v>9.8599999999999993E-2</v>
      </c>
      <c r="I430">
        <v>5059.3890000000001</v>
      </c>
      <c r="J430">
        <v>6976.93</v>
      </c>
    </row>
    <row r="431" spans="1:10">
      <c r="A431">
        <v>11</v>
      </c>
      <c r="B431">
        <v>8</v>
      </c>
      <c r="C431" t="s">
        <v>11</v>
      </c>
      <c r="D431">
        <v>-33.903257975498597</v>
      </c>
      <c r="E431">
        <v>18.8467229059513</v>
      </c>
      <c r="F431">
        <v>6.5750000000000003E-2</v>
      </c>
      <c r="G431">
        <v>0.1643</v>
      </c>
      <c r="H431">
        <v>9.8599999999999993E-2</v>
      </c>
      <c r="I431">
        <v>5702.5190000000002</v>
      </c>
      <c r="J431">
        <v>7620.06</v>
      </c>
    </row>
    <row r="432" spans="1:10">
      <c r="A432">
        <v>12</v>
      </c>
      <c r="B432">
        <v>8</v>
      </c>
      <c r="C432" t="s">
        <v>11</v>
      </c>
      <c r="D432">
        <v>-33.914602314213198</v>
      </c>
      <c r="E432">
        <v>18.859067067201899</v>
      </c>
      <c r="F432">
        <v>6.5750000000000003E-2</v>
      </c>
      <c r="G432">
        <v>0.1643</v>
      </c>
      <c r="H432">
        <v>9.8599999999999993E-2</v>
      </c>
      <c r="I432">
        <v>4052.0569999999998</v>
      </c>
      <c r="J432">
        <v>5969.5969999999998</v>
      </c>
    </row>
    <row r="433" spans="1:10">
      <c r="A433">
        <v>13</v>
      </c>
      <c r="B433">
        <v>8</v>
      </c>
      <c r="C433" t="s">
        <v>11</v>
      </c>
      <c r="D433">
        <v>-33.916084280175397</v>
      </c>
      <c r="E433">
        <v>18.853586796745201</v>
      </c>
      <c r="F433">
        <v>6.5750000000000003E-2</v>
      </c>
      <c r="G433">
        <v>0.1643</v>
      </c>
      <c r="H433">
        <v>9.8599999999999993E-2</v>
      </c>
      <c r="I433">
        <v>3962.904</v>
      </c>
      <c r="J433">
        <v>5880.4449999999997</v>
      </c>
    </row>
    <row r="434" spans="1:10">
      <c r="A434">
        <v>14</v>
      </c>
      <c r="B434">
        <v>8</v>
      </c>
      <c r="C434" t="s">
        <v>11</v>
      </c>
      <c r="D434">
        <v>-33.915010255049502</v>
      </c>
      <c r="E434">
        <v>18.8574378254667</v>
      </c>
      <c r="F434">
        <v>6.5750000000000003E-2</v>
      </c>
      <c r="G434">
        <v>0.1643</v>
      </c>
      <c r="H434">
        <v>9.8599999999999993E-2</v>
      </c>
      <c r="I434">
        <v>4024.6869999999999</v>
      </c>
      <c r="J434">
        <v>5942.2280000000001</v>
      </c>
    </row>
    <row r="435" spans="1:10">
      <c r="A435">
        <v>15</v>
      </c>
      <c r="B435">
        <v>8</v>
      </c>
      <c r="C435" t="s">
        <v>11</v>
      </c>
      <c r="D435">
        <v>-33.907793796460602</v>
      </c>
      <c r="E435">
        <v>18.859130478603699</v>
      </c>
      <c r="F435">
        <v>6.5750000000000003E-2</v>
      </c>
      <c r="G435">
        <v>0.1643</v>
      </c>
      <c r="H435">
        <v>9.8599999999999993E-2</v>
      </c>
      <c r="I435">
        <v>4774.0929999999998</v>
      </c>
      <c r="J435">
        <v>6691.634</v>
      </c>
    </row>
    <row r="436" spans="1:10">
      <c r="A436">
        <v>16</v>
      </c>
      <c r="B436">
        <v>8</v>
      </c>
      <c r="C436" t="s">
        <v>11</v>
      </c>
      <c r="D436">
        <v>-33.900266841726904</v>
      </c>
      <c r="E436">
        <v>18.845439054670301</v>
      </c>
      <c r="F436">
        <v>6.5750000000000003E-2</v>
      </c>
      <c r="G436">
        <v>0.1643</v>
      </c>
      <c r="H436">
        <v>9.8599999999999993E-2</v>
      </c>
      <c r="I436">
        <v>6363.2839999999997</v>
      </c>
      <c r="J436">
        <v>8280.8250000000007</v>
      </c>
    </row>
    <row r="437" spans="1:10">
      <c r="A437">
        <v>17</v>
      </c>
      <c r="B437">
        <v>8</v>
      </c>
      <c r="C437" t="s">
        <v>11</v>
      </c>
      <c r="D437">
        <v>-33.917600576766702</v>
      </c>
      <c r="E437">
        <v>18.8532640823755</v>
      </c>
      <c r="F437">
        <v>6.5750000000000003E-2</v>
      </c>
      <c r="G437">
        <v>0.1643</v>
      </c>
      <c r="H437">
        <v>9.8599999999999993E-2</v>
      </c>
      <c r="I437">
        <v>3890.8510000000001</v>
      </c>
      <c r="J437">
        <v>5808.3909999999996</v>
      </c>
    </row>
    <row r="438" spans="1:10">
      <c r="A438">
        <v>18</v>
      </c>
      <c r="B438">
        <v>8</v>
      </c>
      <c r="C438" t="s">
        <v>11</v>
      </c>
      <c r="D438">
        <v>-33.918240195232201</v>
      </c>
      <c r="E438">
        <v>18.844652177982699</v>
      </c>
      <c r="F438">
        <v>6.5750000000000003E-2</v>
      </c>
      <c r="G438">
        <v>0.1643</v>
      </c>
      <c r="H438">
        <v>9.8599999999999993E-2</v>
      </c>
      <c r="I438">
        <v>4592.4690000000001</v>
      </c>
      <c r="J438">
        <v>6510.01</v>
      </c>
    </row>
    <row r="439" spans="1:10">
      <c r="A439">
        <v>19</v>
      </c>
      <c r="B439">
        <v>8</v>
      </c>
      <c r="C439" t="s">
        <v>11</v>
      </c>
      <c r="D439">
        <v>-33.905532254418901</v>
      </c>
      <c r="E439">
        <v>18.856950754276799</v>
      </c>
      <c r="F439">
        <v>6.5750000000000003E-2</v>
      </c>
      <c r="G439">
        <v>0.1643</v>
      </c>
      <c r="H439">
        <v>9.8599999999999993E-2</v>
      </c>
      <c r="I439">
        <v>5418.2259999999997</v>
      </c>
      <c r="J439">
        <v>7335.7659999999996</v>
      </c>
    </row>
    <row r="440" spans="1:10">
      <c r="A440">
        <v>20</v>
      </c>
      <c r="B440">
        <v>8</v>
      </c>
      <c r="C440" t="s">
        <v>11</v>
      </c>
      <c r="D440">
        <v>-33.912997036292502</v>
      </c>
      <c r="E440">
        <v>18.8573757511537</v>
      </c>
      <c r="F440">
        <v>6.5750000000000003E-2</v>
      </c>
      <c r="G440">
        <v>0.1643</v>
      </c>
      <c r="H440">
        <v>9.8599999999999993E-2</v>
      </c>
      <c r="I440">
        <v>4304.7889999999998</v>
      </c>
      <c r="J440">
        <v>6222.33</v>
      </c>
    </row>
    <row r="441" spans="1:10">
      <c r="A441">
        <v>21</v>
      </c>
      <c r="B441">
        <v>8</v>
      </c>
      <c r="C441" t="s">
        <v>11</v>
      </c>
      <c r="D441">
        <v>-33.910993406331897</v>
      </c>
      <c r="E441">
        <v>18.847779898257201</v>
      </c>
      <c r="F441">
        <v>6.5750000000000003E-2</v>
      </c>
      <c r="G441">
        <v>0.1643</v>
      </c>
      <c r="H441">
        <v>9.8599999999999993E-2</v>
      </c>
      <c r="I441">
        <v>4479.2460000000001</v>
      </c>
      <c r="J441">
        <v>6396.7870000000003</v>
      </c>
    </row>
    <row r="442" spans="1:10">
      <c r="A442">
        <v>22</v>
      </c>
      <c r="B442">
        <v>8</v>
      </c>
      <c r="C442" t="s">
        <v>11</v>
      </c>
      <c r="D442">
        <v>-33.918942019618903</v>
      </c>
      <c r="E442">
        <v>18.850735751802901</v>
      </c>
      <c r="F442">
        <v>6.5750000000000003E-2</v>
      </c>
      <c r="G442">
        <v>0.1643</v>
      </c>
      <c r="H442">
        <v>9.8599999999999993E-2</v>
      </c>
      <c r="I442">
        <v>3958.8380000000002</v>
      </c>
      <c r="J442">
        <v>5876.3789999999999</v>
      </c>
    </row>
    <row r="443" spans="1:10">
      <c r="A443">
        <v>23</v>
      </c>
      <c r="B443">
        <v>8</v>
      </c>
      <c r="C443" t="s">
        <v>11</v>
      </c>
      <c r="D443">
        <v>-33.918492401200403</v>
      </c>
      <c r="E443">
        <v>18.855589901480901</v>
      </c>
      <c r="F443">
        <v>6.5750000000000003E-2</v>
      </c>
      <c r="G443">
        <v>0.1643</v>
      </c>
      <c r="H443">
        <v>9.8599999999999993E-2</v>
      </c>
      <c r="I443">
        <v>3647.7280000000001</v>
      </c>
      <c r="J443">
        <v>5565.2690000000002</v>
      </c>
    </row>
    <row r="444" spans="1:10">
      <c r="A444">
        <v>24</v>
      </c>
      <c r="B444">
        <v>8</v>
      </c>
      <c r="C444" t="s">
        <v>11</v>
      </c>
      <c r="D444">
        <v>-33.918506442264203</v>
      </c>
      <c r="E444">
        <v>18.852775286261501</v>
      </c>
      <c r="F444">
        <v>6.5750000000000003E-2</v>
      </c>
      <c r="G444">
        <v>0.1643</v>
      </c>
      <c r="H444">
        <v>9.8599999999999993E-2</v>
      </c>
      <c r="I444">
        <v>3931.4769999999999</v>
      </c>
      <c r="J444">
        <v>5849.018</v>
      </c>
    </row>
    <row r="445" spans="1:10">
      <c r="A445">
        <v>25</v>
      </c>
      <c r="B445">
        <v>8</v>
      </c>
      <c r="C445" t="s">
        <v>11</v>
      </c>
      <c r="D445">
        <v>-33.898273131995701</v>
      </c>
      <c r="E445">
        <v>18.847386522655501</v>
      </c>
      <c r="F445">
        <v>6.5750000000000003E-2</v>
      </c>
      <c r="G445">
        <v>0.1643</v>
      </c>
      <c r="H445">
        <v>9.8599999999999993E-2</v>
      </c>
      <c r="I445">
        <v>6512.87</v>
      </c>
      <c r="J445">
        <v>8430.4110000000001</v>
      </c>
    </row>
    <row r="446" spans="1:10">
      <c r="A446">
        <v>26</v>
      </c>
      <c r="B446">
        <v>8</v>
      </c>
      <c r="C446" t="s">
        <v>11</v>
      </c>
      <c r="D446">
        <v>-33.9119049873268</v>
      </c>
      <c r="E446">
        <v>18.853108512346999</v>
      </c>
      <c r="F446">
        <v>6.5750000000000003E-2</v>
      </c>
      <c r="G446">
        <v>0.1643</v>
      </c>
      <c r="H446">
        <v>9.8599999999999993E-2</v>
      </c>
      <c r="I446">
        <v>4779.0259999999998</v>
      </c>
      <c r="J446">
        <v>6696.5659999999998</v>
      </c>
    </row>
    <row r="447" spans="1:10">
      <c r="A447">
        <v>27</v>
      </c>
      <c r="B447">
        <v>8</v>
      </c>
      <c r="C447" t="s">
        <v>11</v>
      </c>
      <c r="D447">
        <v>-33.909193562498402</v>
      </c>
      <c r="E447">
        <v>18.8493313628409</v>
      </c>
      <c r="F447">
        <v>6.5750000000000003E-2</v>
      </c>
      <c r="G447">
        <v>0.1643</v>
      </c>
      <c r="H447">
        <v>9.8599999999999993E-2</v>
      </c>
      <c r="I447">
        <v>5366.2309999999998</v>
      </c>
      <c r="J447">
        <v>7283.7719999999999</v>
      </c>
    </row>
    <row r="448" spans="1:10">
      <c r="A448">
        <v>28</v>
      </c>
      <c r="B448">
        <v>8</v>
      </c>
      <c r="C448" t="s">
        <v>11</v>
      </c>
      <c r="D448">
        <v>-33.903805668419501</v>
      </c>
      <c r="E448">
        <v>18.854824832894501</v>
      </c>
      <c r="F448">
        <v>6.5750000000000003E-2</v>
      </c>
      <c r="G448">
        <v>0.1643</v>
      </c>
      <c r="H448">
        <v>9.8599999999999993E-2</v>
      </c>
      <c r="I448">
        <v>5943.0339999999997</v>
      </c>
      <c r="J448">
        <v>7860.5739999999996</v>
      </c>
    </row>
    <row r="449" spans="1:10">
      <c r="A449">
        <v>29</v>
      </c>
      <c r="B449">
        <v>8</v>
      </c>
      <c r="C449" t="s">
        <v>11</v>
      </c>
      <c r="D449">
        <v>-33.905869488265601</v>
      </c>
      <c r="E449">
        <v>18.853690102841</v>
      </c>
      <c r="F449">
        <v>6.5750000000000003E-2</v>
      </c>
      <c r="G449">
        <v>0.1643</v>
      </c>
      <c r="H449">
        <v>9.8599999999999993E-2</v>
      </c>
      <c r="I449">
        <v>5415.3010000000004</v>
      </c>
      <c r="J449">
        <v>7332.8419999999996</v>
      </c>
    </row>
    <row r="450" spans="1:10">
      <c r="A450">
        <v>30</v>
      </c>
      <c r="B450">
        <v>8</v>
      </c>
      <c r="C450" t="s">
        <v>11</v>
      </c>
      <c r="D450">
        <v>-33.912652640949403</v>
      </c>
      <c r="E450">
        <v>18.8574416531068</v>
      </c>
      <c r="F450">
        <v>6.5750000000000003E-2</v>
      </c>
      <c r="G450">
        <v>0.1643</v>
      </c>
      <c r="H450">
        <v>9.8599999999999993E-2</v>
      </c>
      <c r="I450">
        <v>4340.1850000000004</v>
      </c>
      <c r="J450">
        <v>6257.7259999999997</v>
      </c>
    </row>
    <row r="451" spans="1:10">
      <c r="A451">
        <v>31</v>
      </c>
      <c r="B451">
        <v>8</v>
      </c>
      <c r="C451" t="s">
        <v>11</v>
      </c>
      <c r="D451">
        <v>-33.9152804358786</v>
      </c>
      <c r="E451">
        <v>18.855444425511099</v>
      </c>
      <c r="F451">
        <v>6.5750000000000003E-2</v>
      </c>
      <c r="G451">
        <v>0.1643</v>
      </c>
      <c r="H451">
        <v>9.8599999999999993E-2</v>
      </c>
      <c r="I451">
        <v>4224.2969999999996</v>
      </c>
      <c r="J451">
        <v>6141.8370000000004</v>
      </c>
    </row>
    <row r="452" spans="1:10">
      <c r="A452">
        <v>32</v>
      </c>
      <c r="B452">
        <v>8</v>
      </c>
      <c r="C452" t="s">
        <v>11</v>
      </c>
      <c r="D452">
        <v>-33.910926040101103</v>
      </c>
      <c r="E452">
        <v>18.855951262810301</v>
      </c>
      <c r="F452">
        <v>6.5750000000000003E-2</v>
      </c>
      <c r="G452">
        <v>0.1643</v>
      </c>
      <c r="H452">
        <v>9.8599999999999993E-2</v>
      </c>
      <c r="I452">
        <v>4497.6689999999999</v>
      </c>
      <c r="J452">
        <v>6415.21</v>
      </c>
    </row>
    <row r="453" spans="1:10">
      <c r="A453">
        <v>33</v>
      </c>
      <c r="B453">
        <v>8</v>
      </c>
      <c r="C453" t="s">
        <v>11</v>
      </c>
      <c r="D453">
        <v>-33.901747107108797</v>
      </c>
      <c r="E453">
        <v>18.843954801530501</v>
      </c>
      <c r="F453">
        <v>6.5750000000000003E-2</v>
      </c>
      <c r="G453">
        <v>0.1643</v>
      </c>
      <c r="H453">
        <v>9.8599999999999993E-2</v>
      </c>
      <c r="I453">
        <v>6124.268</v>
      </c>
      <c r="J453">
        <v>8041.8090000000002</v>
      </c>
    </row>
    <row r="454" spans="1:10">
      <c r="A454">
        <v>34</v>
      </c>
      <c r="B454">
        <v>8</v>
      </c>
      <c r="C454" t="s">
        <v>11</v>
      </c>
      <c r="D454">
        <v>-33.909781512103301</v>
      </c>
      <c r="E454">
        <v>18.8498296349069</v>
      </c>
      <c r="F454">
        <v>6.5750000000000003E-2</v>
      </c>
      <c r="G454">
        <v>0.1643</v>
      </c>
      <c r="H454">
        <v>9.8599999999999993E-2</v>
      </c>
      <c r="I454">
        <v>5276.0860000000002</v>
      </c>
      <c r="J454">
        <v>7193.6260000000002</v>
      </c>
    </row>
    <row r="455" spans="1:10">
      <c r="A455">
        <v>35</v>
      </c>
      <c r="B455">
        <v>8</v>
      </c>
      <c r="C455" t="s">
        <v>11</v>
      </c>
      <c r="D455">
        <v>-33.901708290245601</v>
      </c>
      <c r="E455">
        <v>18.848594565362401</v>
      </c>
      <c r="F455">
        <v>6.5750000000000003E-2</v>
      </c>
      <c r="G455">
        <v>0.1643</v>
      </c>
      <c r="H455">
        <v>9.8599999999999993E-2</v>
      </c>
      <c r="I455">
        <v>5910.9530000000004</v>
      </c>
      <c r="J455">
        <v>7828.4939999999997</v>
      </c>
    </row>
    <row r="456" spans="1:10">
      <c r="A456">
        <v>36</v>
      </c>
      <c r="B456">
        <v>8</v>
      </c>
      <c r="C456" t="s">
        <v>11</v>
      </c>
      <c r="D456">
        <v>-33.916848605626598</v>
      </c>
      <c r="E456">
        <v>18.843982196735499</v>
      </c>
      <c r="F456">
        <v>6.5750000000000003E-2</v>
      </c>
      <c r="G456">
        <v>0.1643</v>
      </c>
      <c r="H456">
        <v>9.8599999999999993E-2</v>
      </c>
      <c r="I456">
        <v>4903.7560000000003</v>
      </c>
      <c r="J456">
        <v>6821.2969999999996</v>
      </c>
    </row>
    <row r="457" spans="1:10">
      <c r="A457">
        <v>37</v>
      </c>
      <c r="B457">
        <v>8</v>
      </c>
      <c r="C457" t="s">
        <v>11</v>
      </c>
      <c r="D457">
        <v>-33.902777642546901</v>
      </c>
      <c r="E457">
        <v>18.855813957469099</v>
      </c>
      <c r="F457">
        <v>6.5750000000000003E-2</v>
      </c>
      <c r="G457">
        <v>0.1643</v>
      </c>
      <c r="H457">
        <v>9.8599999999999993E-2</v>
      </c>
      <c r="I457">
        <v>5951.0709999999999</v>
      </c>
      <c r="J457">
        <v>7868.6120000000001</v>
      </c>
    </row>
    <row r="458" spans="1:10">
      <c r="A458">
        <v>38</v>
      </c>
      <c r="B458">
        <v>8</v>
      </c>
      <c r="C458" t="s">
        <v>11</v>
      </c>
      <c r="D458">
        <v>-33.896861677944301</v>
      </c>
      <c r="E458">
        <v>18.8592798723706</v>
      </c>
      <c r="F458">
        <v>6.5750000000000003E-2</v>
      </c>
      <c r="G458">
        <v>0.1643</v>
      </c>
      <c r="H458">
        <v>9.8599999999999993E-2</v>
      </c>
      <c r="I458">
        <v>5989.8779999999997</v>
      </c>
      <c r="J458">
        <v>7907.4189999999999</v>
      </c>
    </row>
    <row r="459" spans="1:10">
      <c r="A459">
        <v>39</v>
      </c>
      <c r="B459">
        <v>8</v>
      </c>
      <c r="C459" t="s">
        <v>11</v>
      </c>
      <c r="D459">
        <v>-33.916871268374898</v>
      </c>
      <c r="E459">
        <v>18.847196055605501</v>
      </c>
      <c r="F459">
        <v>6.5750000000000003E-2</v>
      </c>
      <c r="G459">
        <v>0.1643</v>
      </c>
      <c r="H459">
        <v>9.8599999999999993E-2</v>
      </c>
      <c r="I459">
        <v>4119.29</v>
      </c>
      <c r="J459">
        <v>6036.83</v>
      </c>
    </row>
    <row r="460" spans="1:10">
      <c r="A460">
        <v>40</v>
      </c>
      <c r="B460">
        <v>8</v>
      </c>
      <c r="C460" t="s">
        <v>11</v>
      </c>
      <c r="D460">
        <v>-33.906681494650897</v>
      </c>
      <c r="E460">
        <v>18.847446947724901</v>
      </c>
      <c r="F460">
        <v>6.5750000000000003E-2</v>
      </c>
      <c r="G460">
        <v>0.1643</v>
      </c>
      <c r="H460">
        <v>9.8599999999999993E-2</v>
      </c>
      <c r="I460">
        <v>5674.4290000000001</v>
      </c>
      <c r="J460">
        <v>7591.9690000000001</v>
      </c>
    </row>
    <row r="461" spans="1:10">
      <c r="A461">
        <v>41</v>
      </c>
      <c r="B461">
        <v>8</v>
      </c>
      <c r="C461" t="s">
        <v>11</v>
      </c>
      <c r="D461">
        <v>-33.901391498227397</v>
      </c>
      <c r="E461">
        <v>18.8473197727957</v>
      </c>
      <c r="F461">
        <v>6.5750000000000003E-2</v>
      </c>
      <c r="G461">
        <v>0.1643</v>
      </c>
      <c r="H461">
        <v>9.8599999999999993E-2</v>
      </c>
      <c r="I461">
        <v>5984.9579999999996</v>
      </c>
      <c r="J461">
        <v>7902.4989999999998</v>
      </c>
    </row>
    <row r="462" spans="1:10">
      <c r="A462">
        <v>42</v>
      </c>
      <c r="B462">
        <v>8</v>
      </c>
      <c r="C462" t="s">
        <v>11</v>
      </c>
      <c r="D462">
        <v>-33.900130170260297</v>
      </c>
      <c r="E462">
        <v>18.853022560384002</v>
      </c>
      <c r="F462">
        <v>6.5750000000000003E-2</v>
      </c>
      <c r="G462">
        <v>0.1643</v>
      </c>
      <c r="H462">
        <v>9.8599999999999993E-2</v>
      </c>
      <c r="I462">
        <v>7004.4279999999999</v>
      </c>
      <c r="J462">
        <v>8921.9680000000008</v>
      </c>
    </row>
    <row r="463" spans="1:10">
      <c r="A463">
        <v>43</v>
      </c>
      <c r="B463">
        <v>8</v>
      </c>
      <c r="C463" t="s">
        <v>11</v>
      </c>
      <c r="D463">
        <v>-33.918422787696301</v>
      </c>
      <c r="E463">
        <v>18.858352349657999</v>
      </c>
      <c r="F463">
        <v>6.5750000000000003E-2</v>
      </c>
      <c r="G463">
        <v>0.1643</v>
      </c>
      <c r="H463">
        <v>9.8599999999999993E-2</v>
      </c>
      <c r="I463">
        <v>4013.9769999999999</v>
      </c>
      <c r="J463">
        <v>6311.7340000000004</v>
      </c>
    </row>
    <row r="464" spans="1:10">
      <c r="A464">
        <v>44</v>
      </c>
      <c r="B464">
        <v>8</v>
      </c>
      <c r="C464" t="s">
        <v>11</v>
      </c>
      <c r="D464">
        <v>-33.9127126279433</v>
      </c>
      <c r="E464">
        <v>18.849375860722301</v>
      </c>
      <c r="F464">
        <v>6.5750000000000003E-2</v>
      </c>
      <c r="G464">
        <v>0.1643</v>
      </c>
      <c r="H464">
        <v>9.8599999999999993E-2</v>
      </c>
      <c r="I464">
        <v>4305.6450000000004</v>
      </c>
      <c r="J464">
        <v>6223.1859999999997</v>
      </c>
    </row>
    <row r="465" spans="1:10">
      <c r="A465">
        <v>45</v>
      </c>
      <c r="B465">
        <v>8</v>
      </c>
      <c r="C465" t="s">
        <v>11</v>
      </c>
      <c r="D465">
        <v>-33.910684153514097</v>
      </c>
      <c r="E465">
        <v>18.847684013132501</v>
      </c>
      <c r="F465">
        <v>6.5750000000000003E-2</v>
      </c>
      <c r="G465">
        <v>0.1643</v>
      </c>
      <c r="H465">
        <v>9.8599999999999993E-2</v>
      </c>
      <c r="I465">
        <v>4514.7160000000003</v>
      </c>
      <c r="J465">
        <v>6432.2569999999996</v>
      </c>
    </row>
    <row r="466" spans="1:10">
      <c r="A466">
        <v>46</v>
      </c>
      <c r="B466">
        <v>8</v>
      </c>
      <c r="C466" t="s">
        <v>11</v>
      </c>
      <c r="D466">
        <v>-33.918208234819602</v>
      </c>
      <c r="E466">
        <v>18.853137150128202</v>
      </c>
      <c r="F466">
        <v>6.5750000000000003E-2</v>
      </c>
      <c r="G466">
        <v>0.1643</v>
      </c>
      <c r="H466">
        <v>9.8599999999999993E-2</v>
      </c>
      <c r="I466">
        <v>3914.1840000000002</v>
      </c>
      <c r="J466">
        <v>5831.7250000000004</v>
      </c>
    </row>
    <row r="467" spans="1:10">
      <c r="A467">
        <v>47</v>
      </c>
      <c r="B467">
        <v>8</v>
      </c>
      <c r="C467" t="s">
        <v>11</v>
      </c>
      <c r="D467">
        <v>-33.903039046281997</v>
      </c>
      <c r="E467">
        <v>18.847882730102</v>
      </c>
      <c r="F467">
        <v>6.5750000000000003E-2</v>
      </c>
      <c r="G467">
        <v>0.1643</v>
      </c>
      <c r="H467">
        <v>9.8599999999999993E-2</v>
      </c>
      <c r="I467">
        <v>5726.6229999999996</v>
      </c>
      <c r="J467">
        <v>7644.1639999999998</v>
      </c>
    </row>
    <row r="468" spans="1:10">
      <c r="A468">
        <v>48</v>
      </c>
      <c r="B468">
        <v>8</v>
      </c>
      <c r="C468" t="s">
        <v>11</v>
      </c>
      <c r="D468">
        <v>-33.911634777333902</v>
      </c>
      <c r="E468">
        <v>18.8470955446593</v>
      </c>
      <c r="F468">
        <v>6.5750000000000003E-2</v>
      </c>
      <c r="G468">
        <v>0.1643</v>
      </c>
      <c r="H468">
        <v>9.8599999999999993E-2</v>
      </c>
      <c r="I468">
        <v>4535.9989999999998</v>
      </c>
      <c r="J468">
        <v>6453.54</v>
      </c>
    </row>
    <row r="469" spans="1:10">
      <c r="A469">
        <v>49</v>
      </c>
      <c r="B469">
        <v>8</v>
      </c>
      <c r="C469" t="s">
        <v>11</v>
      </c>
      <c r="D469">
        <v>-33.900604096833099</v>
      </c>
      <c r="E469">
        <v>18.851643231386401</v>
      </c>
      <c r="F469">
        <v>6.5750000000000003E-2</v>
      </c>
      <c r="G469">
        <v>0.1643</v>
      </c>
      <c r="H469">
        <v>9.8599999999999993E-2</v>
      </c>
      <c r="I469">
        <v>7004.4279999999999</v>
      </c>
      <c r="J469">
        <v>8921.9680000000008</v>
      </c>
    </row>
    <row r="470" spans="1:10">
      <c r="A470">
        <v>50</v>
      </c>
      <c r="B470">
        <v>8</v>
      </c>
      <c r="C470" t="s">
        <v>11</v>
      </c>
      <c r="D470">
        <v>-33.905479443652503</v>
      </c>
      <c r="E470">
        <v>18.854284965110399</v>
      </c>
      <c r="F470">
        <v>6.5750000000000003E-2</v>
      </c>
      <c r="G470">
        <v>0.1643</v>
      </c>
      <c r="H470">
        <v>9.8599999999999993E-2</v>
      </c>
      <c r="I470">
        <v>5385.0780000000004</v>
      </c>
      <c r="J470">
        <v>7302.6189999999997</v>
      </c>
    </row>
    <row r="471" spans="1:10">
      <c r="A471">
        <v>51</v>
      </c>
      <c r="B471">
        <v>8</v>
      </c>
      <c r="C471" t="s">
        <v>11</v>
      </c>
      <c r="D471">
        <v>-33.897346626730602</v>
      </c>
      <c r="E471">
        <v>18.854362729759</v>
      </c>
      <c r="F471">
        <v>6.5750000000000003E-2</v>
      </c>
      <c r="G471">
        <v>0.1643</v>
      </c>
      <c r="H471">
        <v>9.8599999999999993E-2</v>
      </c>
      <c r="I471">
        <v>6906.085</v>
      </c>
      <c r="J471">
        <v>8823.6260000000002</v>
      </c>
    </row>
    <row r="472" spans="1:10">
      <c r="A472">
        <v>52</v>
      </c>
      <c r="B472">
        <v>8</v>
      </c>
      <c r="C472" t="s">
        <v>11</v>
      </c>
      <c r="D472">
        <v>-33.903051977431801</v>
      </c>
      <c r="E472">
        <v>18.8439505024092</v>
      </c>
      <c r="F472">
        <v>6.5750000000000003E-2</v>
      </c>
      <c r="G472">
        <v>0.1643</v>
      </c>
      <c r="H472">
        <v>9.8599999999999993E-2</v>
      </c>
      <c r="I472">
        <v>6001.576</v>
      </c>
      <c r="J472">
        <v>7919.1170000000002</v>
      </c>
    </row>
    <row r="473" spans="1:10">
      <c r="A473">
        <v>53</v>
      </c>
      <c r="B473">
        <v>8</v>
      </c>
      <c r="C473" t="s">
        <v>11</v>
      </c>
      <c r="D473">
        <v>-33.900463355041097</v>
      </c>
      <c r="E473">
        <v>18.845945010417299</v>
      </c>
      <c r="F473">
        <v>6.5750000000000003E-2</v>
      </c>
      <c r="G473">
        <v>0.1643</v>
      </c>
      <c r="H473">
        <v>9.8599999999999993E-2</v>
      </c>
      <c r="I473">
        <v>6019.4250000000002</v>
      </c>
      <c r="J473">
        <v>7936.9650000000001</v>
      </c>
    </row>
    <row r="474" spans="1:10">
      <c r="A474">
        <v>54</v>
      </c>
      <c r="B474">
        <v>8</v>
      </c>
      <c r="C474" t="s">
        <v>11</v>
      </c>
      <c r="D474">
        <v>-33.906831659015999</v>
      </c>
      <c r="E474">
        <v>18.851759464871702</v>
      </c>
      <c r="F474">
        <v>6.5750000000000003E-2</v>
      </c>
      <c r="G474">
        <v>0.1643</v>
      </c>
      <c r="H474">
        <v>9.8599999999999993E-2</v>
      </c>
      <c r="I474">
        <v>5093.4229999999998</v>
      </c>
      <c r="J474">
        <v>7010.9639999999999</v>
      </c>
    </row>
    <row r="475" spans="1:10">
      <c r="A475">
        <v>55</v>
      </c>
      <c r="B475">
        <v>8</v>
      </c>
      <c r="C475" t="s">
        <v>11</v>
      </c>
      <c r="D475">
        <v>-33.917717204184903</v>
      </c>
      <c r="E475">
        <v>18.8586818193283</v>
      </c>
      <c r="F475">
        <v>6.5750000000000003E-2</v>
      </c>
      <c r="G475">
        <v>0.1643</v>
      </c>
      <c r="H475">
        <v>9.8599999999999993E-2</v>
      </c>
      <c r="I475">
        <v>4095.788</v>
      </c>
      <c r="J475">
        <v>6848.8609999999999</v>
      </c>
    </row>
    <row r="476" spans="1:10">
      <c r="A476">
        <v>56</v>
      </c>
      <c r="B476">
        <v>8</v>
      </c>
      <c r="C476" t="s">
        <v>11</v>
      </c>
      <c r="D476">
        <v>-33.917960291791601</v>
      </c>
      <c r="E476">
        <v>18.844307650680701</v>
      </c>
      <c r="F476">
        <v>6.5750000000000003E-2</v>
      </c>
      <c r="G476">
        <v>0.1643</v>
      </c>
      <c r="H476">
        <v>9.8599999999999993E-2</v>
      </c>
      <c r="I476">
        <v>4662.3869999999997</v>
      </c>
      <c r="J476">
        <v>6579.9279999999999</v>
      </c>
    </row>
    <row r="477" spans="1:10">
      <c r="A477">
        <v>57</v>
      </c>
      <c r="B477">
        <v>8</v>
      </c>
      <c r="C477" t="s">
        <v>11</v>
      </c>
      <c r="D477">
        <v>-33.8967936264836</v>
      </c>
      <c r="E477">
        <v>18.849027723038901</v>
      </c>
      <c r="F477">
        <v>6.5750000000000003E-2</v>
      </c>
      <c r="G477">
        <v>0.1643</v>
      </c>
      <c r="H477">
        <v>9.8599999999999993E-2</v>
      </c>
      <c r="I477">
        <v>6851.3580000000002</v>
      </c>
      <c r="J477">
        <v>8768.8989999999994</v>
      </c>
    </row>
    <row r="478" spans="1:10">
      <c r="A478">
        <v>58</v>
      </c>
      <c r="B478">
        <v>8</v>
      </c>
      <c r="C478" t="s">
        <v>11</v>
      </c>
      <c r="D478">
        <v>-33.900983845297198</v>
      </c>
      <c r="E478">
        <v>18.8450696522386</v>
      </c>
      <c r="F478">
        <v>6.5750000000000003E-2</v>
      </c>
      <c r="G478">
        <v>0.1643</v>
      </c>
      <c r="H478">
        <v>9.8599999999999993E-2</v>
      </c>
      <c r="I478">
        <v>6055.6210000000001</v>
      </c>
      <c r="J478">
        <v>7973.1620000000003</v>
      </c>
    </row>
    <row r="479" spans="1:10">
      <c r="A479">
        <v>59</v>
      </c>
      <c r="B479">
        <v>8</v>
      </c>
      <c r="C479" t="s">
        <v>11</v>
      </c>
      <c r="D479">
        <v>-33.910896356881999</v>
      </c>
      <c r="E479">
        <v>18.845185868087</v>
      </c>
      <c r="F479">
        <v>6.5750000000000003E-2</v>
      </c>
      <c r="G479">
        <v>0.1643</v>
      </c>
      <c r="H479">
        <v>9.8599999999999993E-2</v>
      </c>
      <c r="I479">
        <v>4727.7879999999996</v>
      </c>
      <c r="J479">
        <v>6645.3289999999997</v>
      </c>
    </row>
    <row r="480" spans="1:10">
      <c r="A480">
        <v>60</v>
      </c>
      <c r="B480">
        <v>8</v>
      </c>
      <c r="C480" t="s">
        <v>11</v>
      </c>
      <c r="D480">
        <v>-33.897367926573303</v>
      </c>
      <c r="E480">
        <v>18.843915239183101</v>
      </c>
      <c r="F480">
        <v>6.5750000000000003E-2</v>
      </c>
      <c r="G480">
        <v>0.1643</v>
      </c>
      <c r="H480">
        <v>9.8599999999999993E-2</v>
      </c>
      <c r="I480">
        <v>6522.08</v>
      </c>
      <c r="J480">
        <v>8439.6200000000008</v>
      </c>
    </row>
    <row r="481" spans="1:10">
      <c r="A481">
        <v>61</v>
      </c>
      <c r="B481">
        <v>8</v>
      </c>
      <c r="C481" t="s">
        <v>11</v>
      </c>
      <c r="D481">
        <v>-33.897525016851397</v>
      </c>
      <c r="E481">
        <v>18.844966314667499</v>
      </c>
      <c r="F481">
        <v>6.5750000000000003E-2</v>
      </c>
      <c r="G481">
        <v>0.1643</v>
      </c>
      <c r="H481">
        <v>9.8599999999999993E-2</v>
      </c>
      <c r="I481">
        <v>6648.8180000000002</v>
      </c>
      <c r="J481">
        <v>8566.3580000000002</v>
      </c>
    </row>
    <row r="482" spans="1:10">
      <c r="A482">
        <v>62</v>
      </c>
      <c r="B482">
        <v>8</v>
      </c>
      <c r="C482" t="s">
        <v>11</v>
      </c>
      <c r="D482">
        <v>-33.914846739021002</v>
      </c>
      <c r="E482">
        <v>18.856699124235099</v>
      </c>
      <c r="F482">
        <v>6.5750000000000003E-2</v>
      </c>
      <c r="G482">
        <v>0.1643</v>
      </c>
      <c r="H482">
        <v>9.8599999999999993E-2</v>
      </c>
      <c r="I482">
        <v>4127.4080000000004</v>
      </c>
      <c r="J482">
        <v>6044.9489999999996</v>
      </c>
    </row>
    <row r="483" spans="1:10">
      <c r="A483">
        <v>63</v>
      </c>
      <c r="B483">
        <v>8</v>
      </c>
      <c r="C483" t="s">
        <v>11</v>
      </c>
      <c r="D483">
        <v>-33.9028394737051</v>
      </c>
      <c r="E483">
        <v>18.8561918711539</v>
      </c>
      <c r="F483">
        <v>6.5750000000000003E-2</v>
      </c>
      <c r="G483">
        <v>0.1643</v>
      </c>
      <c r="H483">
        <v>9.8599999999999993E-2</v>
      </c>
      <c r="I483">
        <v>5858</v>
      </c>
      <c r="J483">
        <v>7775.5410000000002</v>
      </c>
    </row>
    <row r="484" spans="1:10">
      <c r="A484">
        <v>64</v>
      </c>
      <c r="B484">
        <v>8</v>
      </c>
      <c r="C484" t="s">
        <v>11</v>
      </c>
      <c r="D484">
        <v>-33.907767698648698</v>
      </c>
      <c r="E484">
        <v>18.8552586602049</v>
      </c>
      <c r="F484">
        <v>6.5750000000000003E-2</v>
      </c>
      <c r="G484">
        <v>0.1643</v>
      </c>
      <c r="H484">
        <v>9.8599999999999993E-2</v>
      </c>
      <c r="I484">
        <v>4999.0469999999996</v>
      </c>
      <c r="J484">
        <v>6916.5879999999997</v>
      </c>
    </row>
    <row r="485" spans="1:10">
      <c r="A485">
        <v>65</v>
      </c>
      <c r="B485">
        <v>8</v>
      </c>
      <c r="C485" t="s">
        <v>11</v>
      </c>
      <c r="D485">
        <v>-33.911180374803102</v>
      </c>
      <c r="E485">
        <v>18.857467603538201</v>
      </c>
      <c r="F485">
        <v>6.5750000000000003E-2</v>
      </c>
      <c r="G485">
        <v>0.1643</v>
      </c>
      <c r="H485">
        <v>9.8599999999999993E-2</v>
      </c>
      <c r="I485">
        <v>4519.3649999999998</v>
      </c>
      <c r="J485">
        <v>6436.9059999999999</v>
      </c>
    </row>
    <row r="486" spans="1:10">
      <c r="A486">
        <v>66</v>
      </c>
      <c r="B486">
        <v>8</v>
      </c>
      <c r="C486" t="s">
        <v>11</v>
      </c>
      <c r="D486">
        <v>-33.918270363942398</v>
      </c>
      <c r="E486">
        <v>18.8471132688998</v>
      </c>
      <c r="F486">
        <v>6.5750000000000003E-2</v>
      </c>
      <c r="G486">
        <v>0.1643</v>
      </c>
      <c r="H486">
        <v>9.8599999999999993E-2</v>
      </c>
      <c r="I486">
        <v>4194.335</v>
      </c>
      <c r="J486">
        <v>6111.875</v>
      </c>
    </row>
    <row r="487" spans="1:10">
      <c r="A487">
        <v>67</v>
      </c>
      <c r="B487">
        <v>8</v>
      </c>
      <c r="C487" t="s">
        <v>11</v>
      </c>
      <c r="D487">
        <v>-33.912975768902903</v>
      </c>
      <c r="E487">
        <v>18.857519447688698</v>
      </c>
      <c r="F487">
        <v>6.5750000000000003E-2</v>
      </c>
      <c r="G487">
        <v>0.1643</v>
      </c>
      <c r="H487">
        <v>9.8599999999999993E-2</v>
      </c>
      <c r="I487">
        <v>4303.6239999999998</v>
      </c>
      <c r="J487">
        <v>6221.165</v>
      </c>
    </row>
    <row r="488" spans="1:10">
      <c r="A488">
        <v>68</v>
      </c>
      <c r="B488">
        <v>8</v>
      </c>
      <c r="C488" t="s">
        <v>11</v>
      </c>
      <c r="D488">
        <v>-33.915606852629097</v>
      </c>
      <c r="E488">
        <v>18.848985655573799</v>
      </c>
      <c r="F488">
        <v>6.5750000000000003E-2</v>
      </c>
      <c r="G488">
        <v>0.1643</v>
      </c>
      <c r="H488">
        <v>9.8599999999999993E-2</v>
      </c>
      <c r="I488">
        <v>4119.0209999999997</v>
      </c>
      <c r="J488">
        <v>6036.5619999999999</v>
      </c>
    </row>
    <row r="489" spans="1:10">
      <c r="A489">
        <v>69</v>
      </c>
      <c r="B489">
        <v>8</v>
      </c>
      <c r="C489" t="s">
        <v>11</v>
      </c>
      <c r="D489">
        <v>-33.900920229673801</v>
      </c>
      <c r="E489">
        <v>18.854703600025999</v>
      </c>
      <c r="F489">
        <v>6.5750000000000003E-2</v>
      </c>
      <c r="G489">
        <v>0.1643</v>
      </c>
      <c r="H489">
        <v>9.8599999999999993E-2</v>
      </c>
      <c r="I489">
        <v>6048.7039999999997</v>
      </c>
      <c r="J489">
        <v>7966.2439999999997</v>
      </c>
    </row>
    <row r="490" spans="1:10">
      <c r="A490">
        <v>70</v>
      </c>
      <c r="B490">
        <v>8</v>
      </c>
      <c r="C490" t="s">
        <v>11</v>
      </c>
      <c r="D490">
        <v>-33.918023401389704</v>
      </c>
      <c r="E490">
        <v>18.8510831055289</v>
      </c>
      <c r="F490">
        <v>6.5750000000000003E-2</v>
      </c>
      <c r="G490">
        <v>0.1643</v>
      </c>
      <c r="H490">
        <v>9.8599999999999993E-2</v>
      </c>
      <c r="I490">
        <v>3729.14</v>
      </c>
      <c r="J490">
        <v>5646.6809999999996</v>
      </c>
    </row>
    <row r="491" spans="1:10">
      <c r="A491">
        <v>71</v>
      </c>
      <c r="B491">
        <v>8</v>
      </c>
      <c r="C491" t="s">
        <v>11</v>
      </c>
      <c r="D491">
        <v>-33.909141393811801</v>
      </c>
      <c r="E491">
        <v>18.851106608962802</v>
      </c>
      <c r="F491">
        <v>6.5750000000000003E-2</v>
      </c>
      <c r="G491">
        <v>0.1643</v>
      </c>
      <c r="H491">
        <v>9.8599999999999993E-2</v>
      </c>
      <c r="I491">
        <v>5162.2510000000002</v>
      </c>
      <c r="J491">
        <v>7079.7920000000004</v>
      </c>
    </row>
    <row r="492" spans="1:10">
      <c r="A492">
        <v>72</v>
      </c>
      <c r="B492">
        <v>8</v>
      </c>
      <c r="C492" t="s">
        <v>11</v>
      </c>
      <c r="D492">
        <v>-33.898609234835803</v>
      </c>
      <c r="E492">
        <v>18.857184417100399</v>
      </c>
      <c r="F492">
        <v>6.5750000000000003E-2</v>
      </c>
      <c r="G492">
        <v>0.1643</v>
      </c>
      <c r="H492">
        <v>9.8599999999999993E-2</v>
      </c>
      <c r="I492">
        <v>6139.9669999999996</v>
      </c>
      <c r="J492">
        <v>8057.5079999999998</v>
      </c>
    </row>
    <row r="493" spans="1:10">
      <c r="A493">
        <v>73</v>
      </c>
      <c r="B493">
        <v>8</v>
      </c>
      <c r="C493" t="s">
        <v>11</v>
      </c>
      <c r="D493">
        <v>-33.916877330732603</v>
      </c>
      <c r="E493">
        <v>18.8576223482603</v>
      </c>
      <c r="F493">
        <v>6.5750000000000003E-2</v>
      </c>
      <c r="G493">
        <v>0.1643</v>
      </c>
      <c r="H493">
        <v>9.8599999999999993E-2</v>
      </c>
      <c r="I493">
        <v>3955.7829999999999</v>
      </c>
      <c r="J493">
        <v>5873.3239999999996</v>
      </c>
    </row>
    <row r="494" spans="1:10">
      <c r="A494">
        <v>74</v>
      </c>
      <c r="B494">
        <v>8</v>
      </c>
      <c r="C494" t="s">
        <v>11</v>
      </c>
      <c r="D494">
        <v>-33.903961412112601</v>
      </c>
      <c r="E494">
        <v>18.851687270114301</v>
      </c>
      <c r="F494">
        <v>6.5750000000000003E-2</v>
      </c>
      <c r="G494">
        <v>0.1643</v>
      </c>
      <c r="H494">
        <v>9.8599999999999993E-2</v>
      </c>
      <c r="I494">
        <v>5946.741</v>
      </c>
      <c r="J494">
        <v>7864.2820000000002</v>
      </c>
    </row>
    <row r="495" spans="1:10">
      <c r="A495">
        <v>75</v>
      </c>
      <c r="B495">
        <v>8</v>
      </c>
      <c r="C495" t="s">
        <v>11</v>
      </c>
      <c r="D495">
        <v>-33.910884653248303</v>
      </c>
      <c r="E495">
        <v>18.846213294293602</v>
      </c>
      <c r="F495">
        <v>6.5750000000000003E-2</v>
      </c>
      <c r="G495">
        <v>0.1643</v>
      </c>
      <c r="H495">
        <v>9.8599999999999993E-2</v>
      </c>
      <c r="I495">
        <v>4634.9989999999998</v>
      </c>
      <c r="J495">
        <v>6552.54</v>
      </c>
    </row>
    <row r="496" spans="1:10">
      <c r="A496">
        <v>76</v>
      </c>
      <c r="B496">
        <v>8</v>
      </c>
      <c r="C496" t="s">
        <v>11</v>
      </c>
      <c r="D496">
        <v>-33.899038809771803</v>
      </c>
      <c r="E496">
        <v>18.850018081569399</v>
      </c>
      <c r="F496">
        <v>6.5750000000000003E-2</v>
      </c>
      <c r="G496">
        <v>0.1643</v>
      </c>
      <c r="H496">
        <v>9.8599999999999993E-2</v>
      </c>
      <c r="I496">
        <v>6749.2839999999997</v>
      </c>
      <c r="J496">
        <v>8666.8250000000007</v>
      </c>
    </row>
    <row r="497" spans="1:10">
      <c r="A497">
        <v>77</v>
      </c>
      <c r="B497">
        <v>8</v>
      </c>
      <c r="C497" t="s">
        <v>11</v>
      </c>
      <c r="D497">
        <v>-33.9161337885254</v>
      </c>
      <c r="E497">
        <v>18.847382783770801</v>
      </c>
      <c r="F497">
        <v>6.5750000000000003E-2</v>
      </c>
      <c r="G497">
        <v>0.1643</v>
      </c>
      <c r="H497">
        <v>9.8599999999999993E-2</v>
      </c>
      <c r="I497">
        <v>4177.9690000000001</v>
      </c>
      <c r="J497">
        <v>6095.51</v>
      </c>
    </row>
    <row r="498" spans="1:10">
      <c r="A498">
        <v>78</v>
      </c>
      <c r="B498">
        <v>8</v>
      </c>
      <c r="C498" t="s">
        <v>11</v>
      </c>
      <c r="D498">
        <v>-33.898690907674798</v>
      </c>
      <c r="E498">
        <v>18.843916646333899</v>
      </c>
      <c r="F498">
        <v>6.5750000000000003E-2</v>
      </c>
      <c r="G498">
        <v>0.1643</v>
      </c>
      <c r="H498">
        <v>9.8599999999999993E-2</v>
      </c>
      <c r="I498">
        <v>6400.5860000000002</v>
      </c>
      <c r="J498">
        <v>8318.1270000000004</v>
      </c>
    </row>
    <row r="499" spans="1:10">
      <c r="A499">
        <v>79</v>
      </c>
      <c r="B499">
        <v>8</v>
      </c>
      <c r="C499" t="s">
        <v>11</v>
      </c>
      <c r="D499">
        <v>-33.918034320331202</v>
      </c>
      <c r="E499">
        <v>18.855711178504698</v>
      </c>
      <c r="F499">
        <v>6.5750000000000003E-2</v>
      </c>
      <c r="G499">
        <v>0.1643</v>
      </c>
      <c r="H499">
        <v>9.8599999999999993E-2</v>
      </c>
      <c r="I499">
        <v>3898.7449999999999</v>
      </c>
      <c r="J499">
        <v>5816.2860000000001</v>
      </c>
    </row>
    <row r="500" spans="1:10">
      <c r="A500">
        <v>80</v>
      </c>
      <c r="B500">
        <v>8</v>
      </c>
      <c r="C500" t="s">
        <v>11</v>
      </c>
      <c r="D500">
        <v>-33.911201538886502</v>
      </c>
      <c r="E500">
        <v>18.853497119686601</v>
      </c>
      <c r="F500">
        <v>6.5750000000000003E-2</v>
      </c>
      <c r="G500">
        <v>0.1643</v>
      </c>
      <c r="H500">
        <v>9.8599999999999993E-2</v>
      </c>
      <c r="I500">
        <v>4786.9269999999997</v>
      </c>
      <c r="J500">
        <v>6704.4679999999998</v>
      </c>
    </row>
    <row r="501" spans="1:10">
      <c r="A501">
        <v>81</v>
      </c>
      <c r="B501">
        <v>8</v>
      </c>
      <c r="C501" t="s">
        <v>11</v>
      </c>
      <c r="D501">
        <v>-33.9045918174115</v>
      </c>
      <c r="E501">
        <v>18.844553112956099</v>
      </c>
      <c r="F501">
        <v>6.5750000000000003E-2</v>
      </c>
      <c r="G501">
        <v>0.1643</v>
      </c>
      <c r="H501">
        <v>9.8599999999999993E-2</v>
      </c>
      <c r="I501">
        <v>6070.5360000000001</v>
      </c>
      <c r="J501">
        <v>7988.076</v>
      </c>
    </row>
    <row r="502" spans="1:10">
      <c r="A502">
        <v>82</v>
      </c>
      <c r="B502">
        <v>8</v>
      </c>
      <c r="C502" t="s">
        <v>11</v>
      </c>
      <c r="D502">
        <v>-33.9072902747779</v>
      </c>
      <c r="E502">
        <v>18.857955136776901</v>
      </c>
      <c r="F502">
        <v>6.5750000000000003E-2</v>
      </c>
      <c r="G502">
        <v>0.1643</v>
      </c>
      <c r="H502">
        <v>9.8599999999999993E-2</v>
      </c>
      <c r="I502">
        <v>5103.5029999999997</v>
      </c>
      <c r="J502">
        <v>7021.0439999999999</v>
      </c>
    </row>
    <row r="503" spans="1:10">
      <c r="A503">
        <v>83</v>
      </c>
      <c r="B503">
        <v>8</v>
      </c>
      <c r="C503" t="s">
        <v>11</v>
      </c>
      <c r="D503">
        <v>-33.9158380581137</v>
      </c>
      <c r="E503">
        <v>18.846103247721899</v>
      </c>
      <c r="F503">
        <v>6.5750000000000003E-2</v>
      </c>
      <c r="G503">
        <v>0.1643</v>
      </c>
      <c r="H503">
        <v>9.8599999999999993E-2</v>
      </c>
      <c r="I503">
        <v>4279.1260000000002</v>
      </c>
      <c r="J503">
        <v>6196.6670000000004</v>
      </c>
    </row>
    <row r="504" spans="1:10">
      <c r="A504">
        <v>84</v>
      </c>
      <c r="B504">
        <v>8</v>
      </c>
      <c r="C504" t="s">
        <v>11</v>
      </c>
      <c r="D504">
        <v>-33.902360600414603</v>
      </c>
      <c r="E504">
        <v>18.8564651214629</v>
      </c>
      <c r="F504">
        <v>6.5750000000000003E-2</v>
      </c>
      <c r="G504">
        <v>0.1643</v>
      </c>
      <c r="H504">
        <v>9.8599999999999993E-2</v>
      </c>
      <c r="I504">
        <v>5654.5709999999999</v>
      </c>
      <c r="J504">
        <v>7572.1109999999999</v>
      </c>
    </row>
    <row r="505" spans="1:10">
      <c r="A505">
        <v>85</v>
      </c>
      <c r="B505">
        <v>8</v>
      </c>
      <c r="C505" t="s">
        <v>11</v>
      </c>
      <c r="D505">
        <v>-33.9100910784014</v>
      </c>
      <c r="E505">
        <v>18.850861211182401</v>
      </c>
      <c r="F505">
        <v>6.5750000000000003E-2</v>
      </c>
      <c r="G505">
        <v>0.1643</v>
      </c>
      <c r="H505">
        <v>9.8599999999999993E-2</v>
      </c>
      <c r="I505">
        <v>5136.6880000000001</v>
      </c>
      <c r="J505">
        <v>7054.2290000000003</v>
      </c>
    </row>
    <row r="506" spans="1:10">
      <c r="A506">
        <v>86</v>
      </c>
      <c r="B506">
        <v>8</v>
      </c>
      <c r="C506" t="s">
        <v>11</v>
      </c>
      <c r="D506">
        <v>-33.898724551269297</v>
      </c>
      <c r="E506">
        <v>18.8549230858623</v>
      </c>
      <c r="F506">
        <v>6.5750000000000003E-2</v>
      </c>
      <c r="G506">
        <v>0.1643</v>
      </c>
      <c r="H506">
        <v>9.8599999999999993E-2</v>
      </c>
      <c r="I506">
        <v>6358</v>
      </c>
      <c r="J506">
        <v>8275.5400000000009</v>
      </c>
    </row>
    <row r="507" spans="1:10">
      <c r="A507">
        <v>87</v>
      </c>
      <c r="B507">
        <v>8</v>
      </c>
      <c r="C507" t="s">
        <v>11</v>
      </c>
      <c r="D507">
        <v>-33.8968359360791</v>
      </c>
      <c r="E507">
        <v>18.855342645041102</v>
      </c>
      <c r="F507">
        <v>6.5750000000000003E-2</v>
      </c>
      <c r="G507">
        <v>0.1643</v>
      </c>
      <c r="H507">
        <v>9.8599999999999993E-2</v>
      </c>
      <c r="I507">
        <v>6765.8280000000004</v>
      </c>
      <c r="J507">
        <v>8683.3690000000006</v>
      </c>
    </row>
    <row r="508" spans="1:10">
      <c r="A508">
        <v>88</v>
      </c>
      <c r="B508">
        <v>8</v>
      </c>
      <c r="C508" t="s">
        <v>11</v>
      </c>
      <c r="D508">
        <v>-33.907229970438401</v>
      </c>
      <c r="E508">
        <v>18.8477234729563</v>
      </c>
      <c r="F508">
        <v>6.5750000000000003E-2</v>
      </c>
      <c r="G508">
        <v>0.1643</v>
      </c>
      <c r="H508">
        <v>9.8599999999999993E-2</v>
      </c>
      <c r="I508">
        <v>5381.3829999999998</v>
      </c>
      <c r="J508">
        <v>7298.9229999999998</v>
      </c>
    </row>
    <row r="509" spans="1:10">
      <c r="A509">
        <v>89</v>
      </c>
      <c r="B509">
        <v>8</v>
      </c>
      <c r="C509" t="s">
        <v>11</v>
      </c>
      <c r="D509">
        <v>-33.918409627110698</v>
      </c>
      <c r="E509">
        <v>18.851709541049601</v>
      </c>
      <c r="F509">
        <v>6.5750000000000003E-2</v>
      </c>
      <c r="G509">
        <v>0.1643</v>
      </c>
      <c r="H509">
        <v>9.8599999999999993E-2</v>
      </c>
      <c r="I509">
        <v>3620.8910000000001</v>
      </c>
      <c r="J509">
        <v>5538.4319999999998</v>
      </c>
    </row>
    <row r="510" spans="1:10">
      <c r="A510">
        <v>90</v>
      </c>
      <c r="B510">
        <v>8</v>
      </c>
      <c r="C510" t="s">
        <v>11</v>
      </c>
      <c r="D510">
        <v>-33.902723054011901</v>
      </c>
      <c r="E510">
        <v>18.8518658394493</v>
      </c>
      <c r="F510">
        <v>6.5750000000000003E-2</v>
      </c>
      <c r="G510">
        <v>0.1643</v>
      </c>
      <c r="H510">
        <v>9.8599999999999993E-2</v>
      </c>
      <c r="I510">
        <v>5966.7460000000001</v>
      </c>
      <c r="J510">
        <v>7884.2870000000003</v>
      </c>
    </row>
    <row r="511" spans="1:10">
      <c r="A511">
        <v>91</v>
      </c>
      <c r="B511">
        <v>8</v>
      </c>
      <c r="C511" t="s">
        <v>11</v>
      </c>
      <c r="D511">
        <v>-33.911436052733102</v>
      </c>
      <c r="E511">
        <v>18.858240285005099</v>
      </c>
      <c r="F511">
        <v>6.5750000000000003E-2</v>
      </c>
      <c r="G511">
        <v>0.1643</v>
      </c>
      <c r="H511">
        <v>9.8599999999999993E-2</v>
      </c>
      <c r="I511">
        <v>4424.6350000000002</v>
      </c>
      <c r="J511">
        <v>6342.1750000000002</v>
      </c>
    </row>
    <row r="512" spans="1:10">
      <c r="A512">
        <v>92</v>
      </c>
      <c r="B512">
        <v>8</v>
      </c>
      <c r="C512" t="s">
        <v>11</v>
      </c>
      <c r="D512">
        <v>-33.8968713478775</v>
      </c>
      <c r="E512">
        <v>18.848510431812699</v>
      </c>
      <c r="F512">
        <v>6.5750000000000003E-2</v>
      </c>
      <c r="G512">
        <v>0.1643</v>
      </c>
      <c r="H512">
        <v>9.8599999999999993E-2</v>
      </c>
      <c r="I512">
        <v>6851.3580000000002</v>
      </c>
      <c r="J512">
        <v>8768.8989999999994</v>
      </c>
    </row>
    <row r="513" spans="1:10">
      <c r="A513">
        <v>93</v>
      </c>
      <c r="B513">
        <v>8</v>
      </c>
      <c r="C513" t="s">
        <v>11</v>
      </c>
      <c r="D513">
        <v>-33.903785458806901</v>
      </c>
      <c r="E513">
        <v>18.855669089761999</v>
      </c>
      <c r="F513">
        <v>6.5750000000000003E-2</v>
      </c>
      <c r="G513">
        <v>0.1643</v>
      </c>
      <c r="H513">
        <v>9.8599999999999993E-2</v>
      </c>
      <c r="I513">
        <v>5902.442</v>
      </c>
      <c r="J513">
        <v>7819.982</v>
      </c>
    </row>
    <row r="514" spans="1:10">
      <c r="A514">
        <v>94</v>
      </c>
      <c r="B514">
        <v>8</v>
      </c>
      <c r="C514" t="s">
        <v>11</v>
      </c>
      <c r="D514">
        <v>-33.899010856298197</v>
      </c>
      <c r="E514">
        <v>18.8557769556691</v>
      </c>
      <c r="F514">
        <v>6.5750000000000003E-2</v>
      </c>
      <c r="G514">
        <v>0.1643</v>
      </c>
      <c r="H514">
        <v>9.8599999999999993E-2</v>
      </c>
      <c r="I514">
        <v>6330.259</v>
      </c>
      <c r="J514">
        <v>8247.7999999999993</v>
      </c>
    </row>
    <row r="515" spans="1:10">
      <c r="A515">
        <v>95</v>
      </c>
      <c r="B515">
        <v>8</v>
      </c>
      <c r="C515" t="s">
        <v>11</v>
      </c>
      <c r="D515">
        <v>-33.9198192594787</v>
      </c>
      <c r="E515">
        <v>18.8472427398418</v>
      </c>
      <c r="F515">
        <v>6.5750000000000003E-2</v>
      </c>
      <c r="G515">
        <v>0.1643</v>
      </c>
      <c r="H515">
        <v>9.8599999999999993E-2</v>
      </c>
      <c r="I515">
        <v>4145.0280000000002</v>
      </c>
      <c r="J515">
        <v>6062.5690000000004</v>
      </c>
    </row>
    <row r="516" spans="1:10">
      <c r="A516">
        <v>96</v>
      </c>
      <c r="B516">
        <v>8</v>
      </c>
      <c r="C516" t="s">
        <v>11</v>
      </c>
      <c r="D516">
        <v>-33.912641434995002</v>
      </c>
      <c r="E516">
        <v>18.8531210920383</v>
      </c>
      <c r="F516">
        <v>6.5750000000000003E-2</v>
      </c>
      <c r="G516">
        <v>0.1643</v>
      </c>
      <c r="H516">
        <v>9.8599999999999993E-2</v>
      </c>
      <c r="I516">
        <v>4721.6620000000003</v>
      </c>
      <c r="J516">
        <v>6639.2030000000004</v>
      </c>
    </row>
    <row r="517" spans="1:10">
      <c r="A517">
        <v>97</v>
      </c>
      <c r="B517">
        <v>8</v>
      </c>
      <c r="C517" t="s">
        <v>11</v>
      </c>
      <c r="D517">
        <v>-33.918057658214998</v>
      </c>
      <c r="E517">
        <v>18.8520248257202</v>
      </c>
      <c r="F517">
        <v>6.5750000000000003E-2</v>
      </c>
      <c r="G517">
        <v>0.1643</v>
      </c>
      <c r="H517">
        <v>9.8599999999999993E-2</v>
      </c>
      <c r="I517">
        <v>3595.8069999999998</v>
      </c>
      <c r="J517">
        <v>5513.348</v>
      </c>
    </row>
    <row r="518" spans="1:10">
      <c r="A518">
        <v>98</v>
      </c>
      <c r="B518">
        <v>8</v>
      </c>
      <c r="C518" t="s">
        <v>11</v>
      </c>
      <c r="D518">
        <v>-33.917739119265498</v>
      </c>
      <c r="E518">
        <v>18.8524395555187</v>
      </c>
      <c r="F518">
        <v>6.5750000000000003E-2</v>
      </c>
      <c r="G518">
        <v>0.1643</v>
      </c>
      <c r="H518">
        <v>9.8599999999999993E-2</v>
      </c>
      <c r="I518">
        <v>3610.9380000000001</v>
      </c>
      <c r="J518">
        <v>5528.4790000000003</v>
      </c>
    </row>
    <row r="519" spans="1:10">
      <c r="A519">
        <v>99</v>
      </c>
      <c r="B519">
        <v>8</v>
      </c>
      <c r="C519" t="s">
        <v>11</v>
      </c>
      <c r="D519">
        <v>-33.911885983455598</v>
      </c>
      <c r="E519">
        <v>18.8510828916761</v>
      </c>
      <c r="F519">
        <v>6.5750000000000003E-2</v>
      </c>
      <c r="G519">
        <v>0.1643</v>
      </c>
      <c r="H519">
        <v>9.8599999999999993E-2</v>
      </c>
      <c r="I519">
        <v>5087.1310000000003</v>
      </c>
      <c r="J519">
        <v>7004.6719999999996</v>
      </c>
    </row>
    <row r="520" spans="1:10">
      <c r="A520">
        <v>100</v>
      </c>
      <c r="B520">
        <v>8</v>
      </c>
      <c r="C520" t="s">
        <v>11</v>
      </c>
      <c r="D520">
        <v>-33.902740568608202</v>
      </c>
      <c r="E520">
        <v>18.844166749462101</v>
      </c>
      <c r="F520">
        <v>6.5750000000000003E-2</v>
      </c>
      <c r="G520">
        <v>0.1643</v>
      </c>
      <c r="H520">
        <v>9.8599999999999993E-2</v>
      </c>
      <c r="I520">
        <v>6019.8109999999997</v>
      </c>
      <c r="J520">
        <v>7937.3519999999999</v>
      </c>
    </row>
    <row r="521" spans="1:10">
      <c r="A521">
        <v>101</v>
      </c>
      <c r="B521">
        <v>8</v>
      </c>
      <c r="C521" t="s">
        <v>11</v>
      </c>
      <c r="D521">
        <v>-33.915318149268799</v>
      </c>
      <c r="E521">
        <v>18.852871174690002</v>
      </c>
      <c r="F521">
        <v>6.5750000000000003E-2</v>
      </c>
      <c r="G521">
        <v>0.1643</v>
      </c>
      <c r="H521">
        <v>9.8599999999999993E-2</v>
      </c>
      <c r="I521">
        <v>4059.2539999999999</v>
      </c>
      <c r="J521">
        <v>5976.7950000000001</v>
      </c>
    </row>
    <row r="522" spans="1:10">
      <c r="A522">
        <v>102</v>
      </c>
      <c r="B522">
        <v>8</v>
      </c>
      <c r="C522" t="s">
        <v>11</v>
      </c>
      <c r="D522">
        <v>-33.908335273569001</v>
      </c>
      <c r="E522">
        <v>18.858014320187301</v>
      </c>
      <c r="F522">
        <v>6.5750000000000003E-2</v>
      </c>
      <c r="G522">
        <v>0.1643</v>
      </c>
      <c r="H522">
        <v>9.8599999999999993E-2</v>
      </c>
      <c r="I522">
        <v>4958.6350000000002</v>
      </c>
      <c r="J522">
        <v>6876.1760000000004</v>
      </c>
    </row>
    <row r="523" spans="1:10">
      <c r="A523">
        <v>103</v>
      </c>
      <c r="B523">
        <v>8</v>
      </c>
      <c r="C523" t="s">
        <v>11</v>
      </c>
      <c r="D523">
        <v>-33.900334155584801</v>
      </c>
      <c r="E523">
        <v>18.851660857921701</v>
      </c>
      <c r="F523">
        <v>6.5750000000000003E-2</v>
      </c>
      <c r="G523">
        <v>0.1643</v>
      </c>
      <c r="H523">
        <v>9.8599999999999993E-2</v>
      </c>
      <c r="I523">
        <v>7004.4279999999999</v>
      </c>
      <c r="J523">
        <v>8921.9680000000008</v>
      </c>
    </row>
    <row r="524" spans="1:10">
      <c r="A524">
        <v>104</v>
      </c>
      <c r="B524">
        <v>8</v>
      </c>
      <c r="C524" t="s">
        <v>11</v>
      </c>
      <c r="D524">
        <v>-33.919547703248597</v>
      </c>
      <c r="E524">
        <v>18.8586881557193</v>
      </c>
      <c r="F524">
        <v>6.5750000000000003E-2</v>
      </c>
      <c r="G524">
        <v>0.1643</v>
      </c>
      <c r="H524">
        <v>9.8599999999999993E-2</v>
      </c>
      <c r="I524">
        <v>3996.578</v>
      </c>
      <c r="J524">
        <v>6294.335</v>
      </c>
    </row>
    <row r="525" spans="1:10">
      <c r="A525">
        <v>105</v>
      </c>
      <c r="B525">
        <v>8</v>
      </c>
      <c r="C525" t="s">
        <v>11</v>
      </c>
      <c r="D525">
        <v>-33.898457047124801</v>
      </c>
      <c r="E525">
        <v>18.8532590170833</v>
      </c>
      <c r="F525">
        <v>6.5750000000000003E-2</v>
      </c>
      <c r="G525">
        <v>0.1643</v>
      </c>
      <c r="H525">
        <v>9.8599999999999993E-2</v>
      </c>
      <c r="I525">
        <v>6992.0929999999998</v>
      </c>
      <c r="J525">
        <v>8909.6329999999998</v>
      </c>
    </row>
    <row r="526" spans="1:10">
      <c r="A526">
        <v>106</v>
      </c>
      <c r="B526">
        <v>8</v>
      </c>
      <c r="C526" t="s">
        <v>11</v>
      </c>
      <c r="D526">
        <v>-33.915288052203103</v>
      </c>
      <c r="E526">
        <v>18.8510186340527</v>
      </c>
      <c r="F526">
        <v>6.5750000000000003E-2</v>
      </c>
      <c r="G526">
        <v>0.1643</v>
      </c>
      <c r="H526">
        <v>9.8599999999999993E-2</v>
      </c>
      <c r="I526">
        <v>3908.3719999999998</v>
      </c>
      <c r="J526">
        <v>5825.9129999999996</v>
      </c>
    </row>
    <row r="527" spans="1:10">
      <c r="A527">
        <v>107</v>
      </c>
      <c r="B527">
        <v>8</v>
      </c>
      <c r="C527" t="s">
        <v>11</v>
      </c>
      <c r="D527">
        <v>-33.918505236151503</v>
      </c>
      <c r="E527">
        <v>18.844938683826701</v>
      </c>
      <c r="F527">
        <v>6.5750000000000003E-2</v>
      </c>
      <c r="G527">
        <v>0.1643</v>
      </c>
      <c r="H527">
        <v>9.8599999999999993E-2</v>
      </c>
      <c r="I527">
        <v>4392.5079999999998</v>
      </c>
      <c r="J527">
        <v>6310.049</v>
      </c>
    </row>
    <row r="528" spans="1:10">
      <c r="A528">
        <v>108</v>
      </c>
      <c r="B528">
        <v>8</v>
      </c>
      <c r="C528" t="s">
        <v>11</v>
      </c>
      <c r="D528">
        <v>-33.899886745383597</v>
      </c>
      <c r="E528">
        <v>18.843482171036001</v>
      </c>
      <c r="F528">
        <v>6.5750000000000003E-2</v>
      </c>
      <c r="G528">
        <v>0.1643</v>
      </c>
      <c r="H528">
        <v>9.8599999999999993E-2</v>
      </c>
      <c r="I528">
        <v>6176.7020000000002</v>
      </c>
      <c r="J528">
        <v>8094.2430000000004</v>
      </c>
    </row>
    <row r="529" spans="1:10">
      <c r="A529">
        <v>109</v>
      </c>
      <c r="B529">
        <v>8</v>
      </c>
      <c r="C529" t="s">
        <v>11</v>
      </c>
      <c r="D529">
        <v>-33.896954612261901</v>
      </c>
      <c r="E529">
        <v>18.844178702453</v>
      </c>
      <c r="F529">
        <v>6.5750000000000003E-2</v>
      </c>
      <c r="G529">
        <v>0.1643</v>
      </c>
      <c r="H529">
        <v>9.8599999999999993E-2</v>
      </c>
      <c r="I529">
        <v>6684.1459999999997</v>
      </c>
      <c r="J529">
        <v>8601.6869999999999</v>
      </c>
    </row>
    <row r="530" spans="1:10">
      <c r="A530">
        <v>110</v>
      </c>
      <c r="B530">
        <v>8</v>
      </c>
      <c r="C530" t="s">
        <v>11</v>
      </c>
      <c r="D530">
        <v>-33.902682377502799</v>
      </c>
      <c r="E530">
        <v>18.846337368029399</v>
      </c>
      <c r="F530">
        <v>6.5750000000000003E-2</v>
      </c>
      <c r="G530">
        <v>0.1643</v>
      </c>
      <c r="H530">
        <v>9.8599999999999993E-2</v>
      </c>
      <c r="I530">
        <v>5791.5910000000003</v>
      </c>
      <c r="J530">
        <v>7709.1319999999996</v>
      </c>
    </row>
    <row r="531" spans="1:10">
      <c r="A531">
        <v>111</v>
      </c>
      <c r="B531">
        <v>8</v>
      </c>
      <c r="C531" t="s">
        <v>11</v>
      </c>
      <c r="D531">
        <v>-33.915295345593101</v>
      </c>
      <c r="E531">
        <v>18.847636305128201</v>
      </c>
      <c r="F531">
        <v>6.5750000000000003E-2</v>
      </c>
      <c r="G531">
        <v>0.1643</v>
      </c>
      <c r="H531">
        <v>9.8599999999999993E-2</v>
      </c>
      <c r="I531">
        <v>4222.8190000000004</v>
      </c>
      <c r="J531">
        <v>6140.36</v>
      </c>
    </row>
    <row r="532" spans="1:10">
      <c r="A532">
        <v>112</v>
      </c>
      <c r="B532">
        <v>8</v>
      </c>
      <c r="C532" t="s">
        <v>11</v>
      </c>
      <c r="D532">
        <v>-33.901815237447202</v>
      </c>
      <c r="E532">
        <v>18.846708309551499</v>
      </c>
      <c r="F532">
        <v>6.5750000000000003E-2</v>
      </c>
      <c r="G532">
        <v>0.1643</v>
      </c>
      <c r="H532">
        <v>9.8599999999999993E-2</v>
      </c>
      <c r="I532">
        <v>5918.6490000000003</v>
      </c>
      <c r="J532">
        <v>7836.1890000000003</v>
      </c>
    </row>
    <row r="533" spans="1:10">
      <c r="A533">
        <v>113</v>
      </c>
      <c r="B533">
        <v>8</v>
      </c>
      <c r="C533" t="s">
        <v>11</v>
      </c>
      <c r="D533">
        <v>-33.907556804346903</v>
      </c>
      <c r="E533">
        <v>18.854593583918501</v>
      </c>
      <c r="F533">
        <v>6.5750000000000003E-2</v>
      </c>
      <c r="G533">
        <v>0.1643</v>
      </c>
      <c r="H533">
        <v>9.8599999999999993E-2</v>
      </c>
      <c r="I533">
        <v>5112.3270000000002</v>
      </c>
      <c r="J533">
        <v>7029.8680000000004</v>
      </c>
    </row>
    <row r="534" spans="1:10">
      <c r="A534">
        <v>114</v>
      </c>
      <c r="B534">
        <v>8</v>
      </c>
      <c r="C534" t="s">
        <v>11</v>
      </c>
      <c r="D534">
        <v>-33.9096030950151</v>
      </c>
      <c r="E534">
        <v>18.8496248128403</v>
      </c>
      <c r="F534">
        <v>6.5750000000000003E-2</v>
      </c>
      <c r="G534">
        <v>0.1643</v>
      </c>
      <c r="H534">
        <v>9.8599999999999993E-2</v>
      </c>
      <c r="I534">
        <v>5313.3090000000002</v>
      </c>
      <c r="J534">
        <v>7230.85</v>
      </c>
    </row>
    <row r="535" spans="1:10">
      <c r="A535">
        <v>115</v>
      </c>
      <c r="B535">
        <v>8</v>
      </c>
      <c r="C535" t="s">
        <v>11</v>
      </c>
      <c r="D535">
        <v>-33.918108494607701</v>
      </c>
      <c r="E535">
        <v>18.8576572806965</v>
      </c>
      <c r="F535">
        <v>6.5750000000000003E-2</v>
      </c>
      <c r="G535">
        <v>0.1643</v>
      </c>
      <c r="H535">
        <v>9.8599999999999993E-2</v>
      </c>
      <c r="I535">
        <v>3721.4369999999999</v>
      </c>
      <c r="J535">
        <v>5638.9780000000001</v>
      </c>
    </row>
    <row r="536" spans="1:10">
      <c r="A536">
        <v>116</v>
      </c>
      <c r="B536">
        <v>8</v>
      </c>
      <c r="C536" t="s">
        <v>11</v>
      </c>
      <c r="D536">
        <v>-33.900410398638897</v>
      </c>
      <c r="E536">
        <v>18.855995679660801</v>
      </c>
      <c r="F536">
        <v>6.5750000000000003E-2</v>
      </c>
      <c r="G536">
        <v>0.1643</v>
      </c>
      <c r="H536">
        <v>9.8599999999999993E-2</v>
      </c>
      <c r="I536">
        <v>6317.5879999999997</v>
      </c>
      <c r="J536">
        <v>8235.1290000000008</v>
      </c>
    </row>
    <row r="537" spans="1:10">
      <c r="A537">
        <v>117</v>
      </c>
      <c r="B537">
        <v>8</v>
      </c>
      <c r="C537" t="s">
        <v>11</v>
      </c>
      <c r="D537">
        <v>-33.905537440325901</v>
      </c>
      <c r="E537">
        <v>18.8560255752394</v>
      </c>
      <c r="F537">
        <v>6.5750000000000003E-2</v>
      </c>
      <c r="G537">
        <v>0.1643</v>
      </c>
      <c r="H537">
        <v>9.8599999999999993E-2</v>
      </c>
      <c r="I537">
        <v>5385.5370000000003</v>
      </c>
      <c r="J537">
        <v>7303.0780000000004</v>
      </c>
    </row>
    <row r="538" spans="1:10">
      <c r="A538">
        <v>118</v>
      </c>
      <c r="B538">
        <v>8</v>
      </c>
      <c r="C538" t="s">
        <v>11</v>
      </c>
      <c r="D538">
        <v>-33.902156564402297</v>
      </c>
      <c r="E538">
        <v>18.858596251931601</v>
      </c>
      <c r="F538">
        <v>6.5750000000000003E-2</v>
      </c>
      <c r="G538">
        <v>0.1643</v>
      </c>
      <c r="H538">
        <v>9.8599999999999993E-2</v>
      </c>
      <c r="I538">
        <v>5556.8069999999998</v>
      </c>
      <c r="J538">
        <v>7474.348</v>
      </c>
    </row>
    <row r="539" spans="1:10">
      <c r="A539">
        <v>119</v>
      </c>
      <c r="B539">
        <v>8</v>
      </c>
      <c r="C539" t="s">
        <v>11</v>
      </c>
      <c r="D539">
        <v>-33.901402916259698</v>
      </c>
      <c r="E539">
        <v>18.855457794814601</v>
      </c>
      <c r="F539">
        <v>6.5750000000000003E-2</v>
      </c>
      <c r="G539">
        <v>0.1643</v>
      </c>
      <c r="H539">
        <v>9.8599999999999993E-2</v>
      </c>
      <c r="I539">
        <v>6048.7039999999997</v>
      </c>
      <c r="J539">
        <v>7966.2439999999997</v>
      </c>
    </row>
    <row r="540" spans="1:10">
      <c r="A540">
        <v>120</v>
      </c>
      <c r="B540">
        <v>8</v>
      </c>
      <c r="C540" t="s">
        <v>11</v>
      </c>
      <c r="D540">
        <v>-33.896473509468898</v>
      </c>
      <c r="E540">
        <v>18.845973819257299</v>
      </c>
      <c r="F540">
        <v>6.5750000000000003E-2</v>
      </c>
      <c r="G540">
        <v>0.1643</v>
      </c>
      <c r="H540">
        <v>9.8599999999999993E-2</v>
      </c>
      <c r="I540">
        <v>9286.5249999999996</v>
      </c>
      <c r="J540">
        <v>11204.066000000001</v>
      </c>
    </row>
    <row r="541" spans="1:10">
      <c r="A541">
        <v>121</v>
      </c>
      <c r="B541">
        <v>8</v>
      </c>
      <c r="C541" t="s">
        <v>11</v>
      </c>
      <c r="D541">
        <v>-33.914579949784397</v>
      </c>
      <c r="E541">
        <v>18.8547612221493</v>
      </c>
      <c r="F541">
        <v>6.5750000000000003E-2</v>
      </c>
      <c r="G541">
        <v>0.1643</v>
      </c>
      <c r="H541">
        <v>9.8599999999999993E-2</v>
      </c>
      <c r="I541">
        <v>4157.01</v>
      </c>
      <c r="J541">
        <v>6074.5510000000004</v>
      </c>
    </row>
    <row r="542" spans="1:10">
      <c r="A542">
        <v>122</v>
      </c>
      <c r="B542">
        <v>8</v>
      </c>
      <c r="C542" t="s">
        <v>11</v>
      </c>
      <c r="D542">
        <v>-33.908493097572098</v>
      </c>
      <c r="E542">
        <v>18.855709682892599</v>
      </c>
      <c r="F542">
        <v>6.5750000000000003E-2</v>
      </c>
      <c r="G542">
        <v>0.1643</v>
      </c>
      <c r="H542">
        <v>9.8599999999999993E-2</v>
      </c>
      <c r="I542">
        <v>4863.3540000000003</v>
      </c>
      <c r="J542">
        <v>6780.8950000000004</v>
      </c>
    </row>
    <row r="543" spans="1:10">
      <c r="A543">
        <v>123</v>
      </c>
      <c r="B543">
        <v>8</v>
      </c>
      <c r="C543" t="s">
        <v>11</v>
      </c>
      <c r="D543">
        <v>-33.899345500614999</v>
      </c>
      <c r="E543">
        <v>18.854287426849201</v>
      </c>
      <c r="F543">
        <v>6.5750000000000003E-2</v>
      </c>
      <c r="G543">
        <v>0.1643</v>
      </c>
      <c r="H543">
        <v>9.8599999999999993E-2</v>
      </c>
      <c r="I543">
        <v>6358</v>
      </c>
      <c r="J543">
        <v>8275.5400000000009</v>
      </c>
    </row>
    <row r="544" spans="1:10">
      <c r="A544">
        <v>124</v>
      </c>
      <c r="B544">
        <v>8</v>
      </c>
      <c r="C544" t="s">
        <v>11</v>
      </c>
      <c r="D544">
        <v>-33.919307657707201</v>
      </c>
      <c r="E544">
        <v>18.852871924579102</v>
      </c>
      <c r="F544">
        <v>6.5750000000000003E-2</v>
      </c>
      <c r="G544">
        <v>0.1643</v>
      </c>
      <c r="H544">
        <v>9.8599999999999993E-2</v>
      </c>
      <c r="I544">
        <v>3434.5859999999998</v>
      </c>
      <c r="J544">
        <v>5352.1270000000004</v>
      </c>
    </row>
    <row r="545" spans="1:10">
      <c r="A545">
        <v>125</v>
      </c>
      <c r="B545">
        <v>8</v>
      </c>
      <c r="C545" t="s">
        <v>11</v>
      </c>
      <c r="D545">
        <v>-33.907905738456897</v>
      </c>
      <c r="E545">
        <v>18.846609797047002</v>
      </c>
      <c r="F545">
        <v>6.5750000000000003E-2</v>
      </c>
      <c r="G545">
        <v>0.1643</v>
      </c>
      <c r="H545">
        <v>9.8599999999999993E-2</v>
      </c>
      <c r="I545">
        <v>5206.9949999999999</v>
      </c>
      <c r="J545">
        <v>7124.5360000000001</v>
      </c>
    </row>
    <row r="546" spans="1:10">
      <c r="A546">
        <v>126</v>
      </c>
      <c r="B546">
        <v>8</v>
      </c>
      <c r="C546" t="s">
        <v>11</v>
      </c>
      <c r="D546">
        <v>-33.898315249561001</v>
      </c>
      <c r="E546">
        <v>18.847737180410299</v>
      </c>
      <c r="F546">
        <v>6.5750000000000003E-2</v>
      </c>
      <c r="G546">
        <v>0.1643</v>
      </c>
      <c r="H546">
        <v>9.8599999999999993E-2</v>
      </c>
      <c r="I546">
        <v>6522.165</v>
      </c>
      <c r="J546">
        <v>8439.7060000000001</v>
      </c>
    </row>
    <row r="547" spans="1:10">
      <c r="A547">
        <v>127</v>
      </c>
      <c r="B547">
        <v>8</v>
      </c>
      <c r="C547" t="s">
        <v>11</v>
      </c>
      <c r="D547">
        <v>-33.919795329588801</v>
      </c>
      <c r="E547">
        <v>18.848660194809501</v>
      </c>
      <c r="F547">
        <v>6.5750000000000003E-2</v>
      </c>
      <c r="G547">
        <v>0.1643</v>
      </c>
      <c r="H547">
        <v>9.8599999999999993E-2</v>
      </c>
      <c r="I547">
        <v>3995.82</v>
      </c>
      <c r="J547">
        <v>5913.3609999999999</v>
      </c>
    </row>
    <row r="548" spans="1:10">
      <c r="A548">
        <v>128</v>
      </c>
      <c r="B548">
        <v>8</v>
      </c>
      <c r="C548" t="s">
        <v>11</v>
      </c>
      <c r="D548">
        <v>-33.911601825940402</v>
      </c>
      <c r="E548">
        <v>18.846259974427301</v>
      </c>
      <c r="F548">
        <v>6.5750000000000003E-2</v>
      </c>
      <c r="G548">
        <v>0.1643</v>
      </c>
      <c r="H548">
        <v>9.8599999999999993E-2</v>
      </c>
      <c r="I548">
        <v>4631.2179999999998</v>
      </c>
      <c r="J548">
        <v>6548.759</v>
      </c>
    </row>
    <row r="549" spans="1:10">
      <c r="A549">
        <v>129</v>
      </c>
      <c r="B549">
        <v>8</v>
      </c>
      <c r="C549" t="s">
        <v>11</v>
      </c>
      <c r="D549">
        <v>-33.9116261461525</v>
      </c>
      <c r="E549">
        <v>18.848282913618</v>
      </c>
      <c r="F549">
        <v>6.5750000000000003E-2</v>
      </c>
      <c r="G549">
        <v>0.1643</v>
      </c>
      <c r="H549">
        <v>9.8599999999999993E-2</v>
      </c>
      <c r="I549">
        <v>4397.982</v>
      </c>
      <c r="J549">
        <v>6315.5219999999999</v>
      </c>
    </row>
    <row r="550" spans="1:10">
      <c r="A550">
        <v>130</v>
      </c>
      <c r="B550">
        <v>8</v>
      </c>
      <c r="C550" t="s">
        <v>11</v>
      </c>
      <c r="D550">
        <v>-33.897518964489201</v>
      </c>
      <c r="E550">
        <v>18.849155405601401</v>
      </c>
      <c r="F550">
        <v>6.5750000000000003E-2</v>
      </c>
      <c r="G550">
        <v>0.1643</v>
      </c>
      <c r="H550">
        <v>9.8599999999999993E-2</v>
      </c>
      <c r="I550">
        <v>6851.3580000000002</v>
      </c>
      <c r="J550">
        <v>8768.8989999999994</v>
      </c>
    </row>
    <row r="551" spans="1:10">
      <c r="A551">
        <v>131</v>
      </c>
      <c r="B551">
        <v>8</v>
      </c>
      <c r="C551" t="s">
        <v>11</v>
      </c>
      <c r="D551">
        <v>-33.910923313611697</v>
      </c>
      <c r="E551">
        <v>18.8592683634621</v>
      </c>
      <c r="F551">
        <v>6.5750000000000003E-2</v>
      </c>
      <c r="G551">
        <v>0.1643</v>
      </c>
      <c r="H551">
        <v>9.8599999999999993E-2</v>
      </c>
      <c r="I551">
        <v>4795.4960000000001</v>
      </c>
      <c r="J551">
        <v>6713.0370000000003</v>
      </c>
    </row>
    <row r="552" spans="1:10">
      <c r="A552">
        <v>132</v>
      </c>
      <c r="B552">
        <v>8</v>
      </c>
      <c r="C552" t="s">
        <v>11</v>
      </c>
      <c r="D552">
        <v>-33.915266336250703</v>
      </c>
      <c r="E552">
        <v>18.8498562482241</v>
      </c>
      <c r="F552">
        <v>6.5750000000000003E-2</v>
      </c>
      <c r="G552">
        <v>0.1643</v>
      </c>
      <c r="H552">
        <v>9.8599999999999993E-2</v>
      </c>
      <c r="I552">
        <v>3964.9229999999998</v>
      </c>
      <c r="J552">
        <v>5882.4639999999999</v>
      </c>
    </row>
    <row r="553" spans="1:10">
      <c r="A553">
        <v>133</v>
      </c>
      <c r="B553">
        <v>8</v>
      </c>
      <c r="C553" t="s">
        <v>11</v>
      </c>
      <c r="D553">
        <v>-33.915407011045801</v>
      </c>
      <c r="E553">
        <v>18.8547541567794</v>
      </c>
      <c r="F553">
        <v>6.5750000000000003E-2</v>
      </c>
      <c r="G553">
        <v>0.1643</v>
      </c>
      <c r="H553">
        <v>9.8599999999999993E-2</v>
      </c>
      <c r="I553">
        <v>4068.1350000000002</v>
      </c>
      <c r="J553">
        <v>5985.6760000000004</v>
      </c>
    </row>
    <row r="554" spans="1:10">
      <c r="A554">
        <v>134</v>
      </c>
      <c r="B554">
        <v>8</v>
      </c>
      <c r="C554" t="s">
        <v>11</v>
      </c>
      <c r="D554">
        <v>-33.919122564640297</v>
      </c>
      <c r="E554">
        <v>18.848997758533201</v>
      </c>
      <c r="F554">
        <v>6.5750000000000003E-2</v>
      </c>
      <c r="G554">
        <v>0.1643</v>
      </c>
      <c r="H554">
        <v>9.8599999999999993E-2</v>
      </c>
      <c r="I554">
        <v>4092.5830000000001</v>
      </c>
      <c r="J554">
        <v>6010.1239999999998</v>
      </c>
    </row>
    <row r="555" spans="1:10">
      <c r="A555">
        <v>135</v>
      </c>
      <c r="B555">
        <v>8</v>
      </c>
      <c r="C555" t="s">
        <v>11</v>
      </c>
      <c r="D555">
        <v>-33.912104932787003</v>
      </c>
      <c r="E555">
        <v>18.844412525389298</v>
      </c>
      <c r="F555">
        <v>6.5750000000000003E-2</v>
      </c>
      <c r="G555">
        <v>0.1643</v>
      </c>
      <c r="H555">
        <v>9.8599999999999993E-2</v>
      </c>
      <c r="I555">
        <v>4826.3869999999997</v>
      </c>
      <c r="J555">
        <v>6743.9279999999999</v>
      </c>
    </row>
    <row r="556" spans="1:10">
      <c r="A556">
        <v>136</v>
      </c>
      <c r="B556">
        <v>8</v>
      </c>
      <c r="C556" t="s">
        <v>11</v>
      </c>
      <c r="D556">
        <v>-33.900034647560197</v>
      </c>
      <c r="E556">
        <v>18.843619740624899</v>
      </c>
      <c r="F556">
        <v>6.5750000000000003E-2</v>
      </c>
      <c r="G556">
        <v>0.1643</v>
      </c>
      <c r="H556">
        <v>9.8599999999999993E-2</v>
      </c>
      <c r="I556">
        <v>6120.6880000000001</v>
      </c>
      <c r="J556">
        <v>8038.2290000000003</v>
      </c>
    </row>
    <row r="557" spans="1:10">
      <c r="A557">
        <v>137</v>
      </c>
      <c r="B557">
        <v>8</v>
      </c>
      <c r="C557" t="s">
        <v>11</v>
      </c>
      <c r="D557">
        <v>-33.913554834446899</v>
      </c>
      <c r="E557">
        <v>18.857383237518601</v>
      </c>
      <c r="F557">
        <v>6.5750000000000003E-2</v>
      </c>
      <c r="G557">
        <v>0.1643</v>
      </c>
      <c r="H557">
        <v>9.8599999999999993E-2</v>
      </c>
      <c r="I557">
        <v>4181.5609999999997</v>
      </c>
      <c r="J557">
        <v>6099.1019999999999</v>
      </c>
    </row>
    <row r="558" spans="1:10">
      <c r="A558">
        <v>138</v>
      </c>
      <c r="B558">
        <v>8</v>
      </c>
      <c r="C558" t="s">
        <v>11</v>
      </c>
      <c r="D558">
        <v>-33.913922602458499</v>
      </c>
      <c r="E558">
        <v>18.848381676885801</v>
      </c>
      <c r="F558">
        <v>6.5750000000000003E-2</v>
      </c>
      <c r="G558">
        <v>0.1643</v>
      </c>
      <c r="H558">
        <v>9.8599999999999993E-2</v>
      </c>
      <c r="I558">
        <v>4339.6059999999998</v>
      </c>
      <c r="J558">
        <v>6257.1459999999997</v>
      </c>
    </row>
    <row r="559" spans="1:10">
      <c r="A559">
        <v>139</v>
      </c>
      <c r="B559">
        <v>8</v>
      </c>
      <c r="C559" t="s">
        <v>11</v>
      </c>
      <c r="D559">
        <v>-33.898439072019997</v>
      </c>
      <c r="E559">
        <v>18.850587450383401</v>
      </c>
      <c r="F559">
        <v>6.5750000000000003E-2</v>
      </c>
      <c r="G559">
        <v>0.1643</v>
      </c>
      <c r="H559">
        <v>9.8599999999999993E-2</v>
      </c>
      <c r="I559">
        <v>6829.7460000000001</v>
      </c>
      <c r="J559">
        <v>8747.2860000000001</v>
      </c>
    </row>
    <row r="560" spans="1:10">
      <c r="A560">
        <v>140</v>
      </c>
      <c r="B560">
        <v>8</v>
      </c>
      <c r="C560" t="s">
        <v>11</v>
      </c>
      <c r="D560">
        <v>-33.916950500824797</v>
      </c>
      <c r="E560">
        <v>18.8514809666612</v>
      </c>
      <c r="F560">
        <v>6.5750000000000003E-2</v>
      </c>
      <c r="G560">
        <v>0.1643</v>
      </c>
      <c r="H560">
        <v>9.8599999999999993E-2</v>
      </c>
      <c r="I560">
        <v>3727.9160000000002</v>
      </c>
      <c r="J560">
        <v>5645.4570000000003</v>
      </c>
    </row>
    <row r="561" spans="1:10">
      <c r="A561">
        <v>141</v>
      </c>
      <c r="B561">
        <v>8</v>
      </c>
      <c r="C561" t="s">
        <v>11</v>
      </c>
      <c r="D561">
        <v>-33.897019545517999</v>
      </c>
      <c r="E561">
        <v>18.851448163053998</v>
      </c>
      <c r="F561">
        <v>6.5750000000000003E-2</v>
      </c>
      <c r="G561">
        <v>0.1643</v>
      </c>
      <c r="H561">
        <v>9.8599999999999993E-2</v>
      </c>
      <c r="I561">
        <v>7320.0479999999998</v>
      </c>
      <c r="J561">
        <v>9237.5879999999997</v>
      </c>
    </row>
    <row r="562" spans="1:10">
      <c r="A562">
        <v>142</v>
      </c>
      <c r="B562">
        <v>8</v>
      </c>
      <c r="C562" t="s">
        <v>11</v>
      </c>
      <c r="D562">
        <v>-33.896447553887</v>
      </c>
      <c r="E562">
        <v>18.849783578039599</v>
      </c>
      <c r="F562">
        <v>6.5750000000000003E-2</v>
      </c>
      <c r="G562">
        <v>0.1643</v>
      </c>
      <c r="H562">
        <v>9.8599999999999993E-2</v>
      </c>
      <c r="I562">
        <v>8634.2009999999991</v>
      </c>
      <c r="J562">
        <v>10551.742</v>
      </c>
    </row>
    <row r="563" spans="1:10">
      <c r="A563">
        <v>143</v>
      </c>
      <c r="B563">
        <v>8</v>
      </c>
      <c r="C563" t="s">
        <v>11</v>
      </c>
      <c r="D563">
        <v>-33.905275968128898</v>
      </c>
      <c r="E563">
        <v>18.8551572049486</v>
      </c>
      <c r="F563">
        <v>6.5750000000000003E-2</v>
      </c>
      <c r="G563">
        <v>0.1643</v>
      </c>
      <c r="H563">
        <v>9.8599999999999993E-2</v>
      </c>
      <c r="I563">
        <v>5375.6719999999996</v>
      </c>
      <c r="J563">
        <v>7293.2129999999997</v>
      </c>
    </row>
    <row r="564" spans="1:10">
      <c r="A564">
        <v>144</v>
      </c>
      <c r="B564">
        <v>8</v>
      </c>
      <c r="C564" t="s">
        <v>11</v>
      </c>
      <c r="D564">
        <v>-33.918555416535099</v>
      </c>
      <c r="E564">
        <v>18.857928664856999</v>
      </c>
      <c r="F564">
        <v>6.5750000000000003E-2</v>
      </c>
      <c r="G564">
        <v>0.1643</v>
      </c>
      <c r="H564">
        <v>9.8599999999999993E-2</v>
      </c>
      <c r="I564">
        <v>4032.1289999999999</v>
      </c>
      <c r="J564">
        <v>5949.67</v>
      </c>
    </row>
    <row r="565" spans="1:10">
      <c r="A565">
        <v>145</v>
      </c>
      <c r="B565">
        <v>8</v>
      </c>
      <c r="C565" t="s">
        <v>11</v>
      </c>
      <c r="D565">
        <v>-33.904016869678003</v>
      </c>
      <c r="E565">
        <v>18.8568709290541</v>
      </c>
      <c r="F565">
        <v>6.5750000000000003E-2</v>
      </c>
      <c r="G565">
        <v>0.1643</v>
      </c>
      <c r="H565">
        <v>9.8599999999999993E-2</v>
      </c>
      <c r="I565">
        <v>5824.2470000000003</v>
      </c>
      <c r="J565">
        <v>7741.7879999999996</v>
      </c>
    </row>
    <row r="566" spans="1:10">
      <c r="A566">
        <v>146</v>
      </c>
      <c r="B566">
        <v>8</v>
      </c>
      <c r="C566" t="s">
        <v>11</v>
      </c>
      <c r="D566">
        <v>-33.899166368561701</v>
      </c>
      <c r="E566">
        <v>18.8535609449413</v>
      </c>
      <c r="F566">
        <v>6.5750000000000003E-2</v>
      </c>
      <c r="G566">
        <v>0.1643</v>
      </c>
      <c r="H566">
        <v>9.8599999999999993E-2</v>
      </c>
      <c r="I566">
        <v>6992.0929999999998</v>
      </c>
      <c r="J566">
        <v>8909.6329999999998</v>
      </c>
    </row>
    <row r="567" spans="1:10">
      <c r="A567">
        <v>147</v>
      </c>
      <c r="B567">
        <v>8</v>
      </c>
      <c r="C567" t="s">
        <v>11</v>
      </c>
      <c r="D567">
        <v>-33.918173249856999</v>
      </c>
      <c r="E567">
        <v>18.848186039667102</v>
      </c>
      <c r="F567">
        <v>6.5750000000000003E-2</v>
      </c>
      <c r="G567">
        <v>0.1643</v>
      </c>
      <c r="H567">
        <v>9.8599999999999993E-2</v>
      </c>
      <c r="I567">
        <v>4204.3130000000001</v>
      </c>
      <c r="J567">
        <v>6121.8540000000003</v>
      </c>
    </row>
    <row r="568" spans="1:10">
      <c r="A568">
        <v>148</v>
      </c>
      <c r="B568">
        <v>8</v>
      </c>
      <c r="C568" t="s">
        <v>11</v>
      </c>
      <c r="D568">
        <v>-33.9039615457745</v>
      </c>
      <c r="E568">
        <v>18.8468068946543</v>
      </c>
      <c r="F568">
        <v>6.5750000000000003E-2</v>
      </c>
      <c r="G568">
        <v>0.1643</v>
      </c>
      <c r="H568">
        <v>9.8599999999999993E-2</v>
      </c>
      <c r="I568">
        <v>5685.8729999999996</v>
      </c>
      <c r="J568">
        <v>7603.4139999999998</v>
      </c>
    </row>
    <row r="569" spans="1:10">
      <c r="A569">
        <v>149</v>
      </c>
      <c r="B569">
        <v>8</v>
      </c>
      <c r="C569" t="s">
        <v>11</v>
      </c>
      <c r="D569">
        <v>-33.901897296953798</v>
      </c>
      <c r="E569">
        <v>18.849066229306299</v>
      </c>
      <c r="F569">
        <v>6.5750000000000003E-2</v>
      </c>
      <c r="G569">
        <v>0.1643</v>
      </c>
      <c r="H569">
        <v>9.8599999999999993E-2</v>
      </c>
      <c r="I569">
        <v>5889.9279999999999</v>
      </c>
      <c r="J569">
        <v>7807.4679999999998</v>
      </c>
    </row>
    <row r="570" spans="1:10">
      <c r="A570">
        <v>150</v>
      </c>
      <c r="B570">
        <v>8</v>
      </c>
      <c r="C570" t="s">
        <v>11</v>
      </c>
      <c r="D570">
        <v>-33.910522872044702</v>
      </c>
      <c r="E570">
        <v>18.853793058938798</v>
      </c>
      <c r="F570">
        <v>6.5750000000000003E-2</v>
      </c>
      <c r="G570">
        <v>0.1643</v>
      </c>
      <c r="H570">
        <v>9.8599999999999993E-2</v>
      </c>
      <c r="I570">
        <v>4842.0810000000001</v>
      </c>
      <c r="J570">
        <v>6759.6220000000003</v>
      </c>
    </row>
    <row r="571" spans="1:10">
      <c r="A571">
        <v>151</v>
      </c>
      <c r="B571">
        <v>8</v>
      </c>
      <c r="C571" t="s">
        <v>11</v>
      </c>
      <c r="D571">
        <v>-33.899257083447097</v>
      </c>
      <c r="E571">
        <v>18.844213548327001</v>
      </c>
      <c r="F571">
        <v>6.5750000000000003E-2</v>
      </c>
      <c r="G571">
        <v>0.1643</v>
      </c>
      <c r="H571">
        <v>9.8599999999999993E-2</v>
      </c>
      <c r="I571">
        <v>6309.1210000000001</v>
      </c>
      <c r="J571">
        <v>8226.6620000000003</v>
      </c>
    </row>
    <row r="572" spans="1:10">
      <c r="A572">
        <v>152</v>
      </c>
      <c r="B572">
        <v>8</v>
      </c>
      <c r="C572" t="s">
        <v>11</v>
      </c>
      <c r="D572">
        <v>-33.898162872514703</v>
      </c>
      <c r="E572">
        <v>18.859252026615199</v>
      </c>
      <c r="F572">
        <v>6.5750000000000003E-2</v>
      </c>
      <c r="G572">
        <v>0.1643</v>
      </c>
      <c r="H572">
        <v>9.8599999999999993E-2</v>
      </c>
      <c r="I572">
        <v>5845.7129999999997</v>
      </c>
      <c r="J572">
        <v>7763.2529999999997</v>
      </c>
    </row>
    <row r="573" spans="1:10">
      <c r="A573">
        <v>153</v>
      </c>
      <c r="B573">
        <v>8</v>
      </c>
      <c r="C573" t="s">
        <v>11</v>
      </c>
      <c r="D573">
        <v>-33.919106653306997</v>
      </c>
      <c r="E573">
        <v>18.845696687915598</v>
      </c>
      <c r="F573">
        <v>6.5750000000000003E-2</v>
      </c>
      <c r="G573">
        <v>0.1643</v>
      </c>
      <c r="H573">
        <v>9.8599999999999993E-2</v>
      </c>
      <c r="I573">
        <v>4308.3190000000004</v>
      </c>
      <c r="J573">
        <v>6225.86</v>
      </c>
    </row>
    <row r="574" spans="1:10">
      <c r="A574">
        <v>154</v>
      </c>
      <c r="B574">
        <v>8</v>
      </c>
      <c r="C574" t="s">
        <v>11</v>
      </c>
      <c r="D574">
        <v>-33.904499015997501</v>
      </c>
      <c r="E574">
        <v>18.857225874504898</v>
      </c>
      <c r="F574">
        <v>6.5750000000000003E-2</v>
      </c>
      <c r="G574">
        <v>0.1643</v>
      </c>
      <c r="H574">
        <v>9.8599999999999993E-2</v>
      </c>
      <c r="I574">
        <v>5892.732</v>
      </c>
      <c r="J574">
        <v>7810.2719999999999</v>
      </c>
    </row>
    <row r="575" spans="1:10">
      <c r="A575">
        <v>155</v>
      </c>
      <c r="B575">
        <v>8</v>
      </c>
      <c r="C575" t="s">
        <v>11</v>
      </c>
      <c r="D575">
        <v>-33.914087418963398</v>
      </c>
      <c r="E575">
        <v>18.847759595858399</v>
      </c>
      <c r="F575">
        <v>6.5750000000000003E-2</v>
      </c>
      <c r="G575">
        <v>0.1643</v>
      </c>
      <c r="H575">
        <v>9.8599999999999993E-2</v>
      </c>
      <c r="I575">
        <v>4328.2960000000003</v>
      </c>
      <c r="J575">
        <v>6245.8370000000004</v>
      </c>
    </row>
    <row r="576" spans="1:10">
      <c r="A576">
        <v>156</v>
      </c>
      <c r="B576">
        <v>8</v>
      </c>
      <c r="C576" t="s">
        <v>11</v>
      </c>
      <c r="D576">
        <v>-33.897221764117297</v>
      </c>
      <c r="E576">
        <v>18.856700127642601</v>
      </c>
      <c r="F576">
        <v>6.5750000000000003E-2</v>
      </c>
      <c r="G576">
        <v>0.1643</v>
      </c>
      <c r="H576">
        <v>9.8599999999999993E-2</v>
      </c>
      <c r="I576">
        <v>6788.1909999999998</v>
      </c>
      <c r="J576">
        <v>8705.7309999999998</v>
      </c>
    </row>
    <row r="577" spans="1:10">
      <c r="A577">
        <v>157</v>
      </c>
      <c r="B577">
        <v>8</v>
      </c>
      <c r="C577" t="s">
        <v>11</v>
      </c>
      <c r="D577">
        <v>-33.912657272976197</v>
      </c>
      <c r="E577">
        <v>18.8559801077717</v>
      </c>
      <c r="F577">
        <v>6.5750000000000003E-2</v>
      </c>
      <c r="G577">
        <v>0.1643</v>
      </c>
      <c r="H577">
        <v>9.8599999999999993E-2</v>
      </c>
      <c r="I577">
        <v>4396.2290000000003</v>
      </c>
      <c r="J577">
        <v>6313.77</v>
      </c>
    </row>
    <row r="578" spans="1:10">
      <c r="A578">
        <v>158</v>
      </c>
      <c r="B578">
        <v>8</v>
      </c>
      <c r="C578" t="s">
        <v>11</v>
      </c>
      <c r="D578">
        <v>-33.9018719825335</v>
      </c>
      <c r="E578">
        <v>18.853964539984901</v>
      </c>
      <c r="F578">
        <v>6.5750000000000003E-2</v>
      </c>
      <c r="G578">
        <v>0.1643</v>
      </c>
      <c r="H578">
        <v>9.8599999999999993E-2</v>
      </c>
      <c r="I578">
        <v>6048.7039999999997</v>
      </c>
      <c r="J578">
        <v>7966.2439999999997</v>
      </c>
    </row>
    <row r="579" spans="1:10">
      <c r="A579">
        <v>159</v>
      </c>
      <c r="B579">
        <v>8</v>
      </c>
      <c r="C579" t="s">
        <v>11</v>
      </c>
      <c r="D579">
        <v>-33.916248339322699</v>
      </c>
      <c r="E579">
        <v>18.8439155137788</v>
      </c>
      <c r="F579">
        <v>6.5750000000000003E-2</v>
      </c>
      <c r="G579">
        <v>0.1643</v>
      </c>
      <c r="H579">
        <v>9.8599999999999993E-2</v>
      </c>
      <c r="I579">
        <v>4810.3190000000004</v>
      </c>
      <c r="J579">
        <v>6727.86</v>
      </c>
    </row>
    <row r="580" spans="1:10">
      <c r="A580">
        <v>160</v>
      </c>
      <c r="B580">
        <v>8</v>
      </c>
      <c r="C580" t="s">
        <v>11</v>
      </c>
      <c r="D580">
        <v>-33.910967879493597</v>
      </c>
      <c r="E580">
        <v>18.856746242519801</v>
      </c>
      <c r="F580">
        <v>6.5750000000000003E-2</v>
      </c>
      <c r="G580">
        <v>0.1643</v>
      </c>
      <c r="H580">
        <v>9.8599999999999993E-2</v>
      </c>
      <c r="I580">
        <v>4505.25</v>
      </c>
      <c r="J580">
        <v>6422.7910000000002</v>
      </c>
    </row>
    <row r="581" spans="1:10">
      <c r="A581">
        <v>161</v>
      </c>
      <c r="B581">
        <v>8</v>
      </c>
      <c r="C581" t="s">
        <v>11</v>
      </c>
      <c r="D581">
        <v>-33.9096247712991</v>
      </c>
      <c r="E581">
        <v>18.8590472398927</v>
      </c>
      <c r="F581">
        <v>6.5750000000000003E-2</v>
      </c>
      <c r="G581">
        <v>0.1643</v>
      </c>
      <c r="H581">
        <v>9.8599999999999993E-2</v>
      </c>
      <c r="I581">
        <v>4626.1059999999998</v>
      </c>
      <c r="J581">
        <v>6543.6459999999997</v>
      </c>
    </row>
    <row r="582" spans="1:10">
      <c r="A582">
        <v>162</v>
      </c>
      <c r="B582">
        <v>8</v>
      </c>
      <c r="C582" t="s">
        <v>11</v>
      </c>
      <c r="D582">
        <v>-33.907594140789797</v>
      </c>
      <c r="E582">
        <v>18.858841063067999</v>
      </c>
      <c r="F582">
        <v>6.5750000000000003E-2</v>
      </c>
      <c r="G582">
        <v>0.1643</v>
      </c>
      <c r="H582">
        <v>9.8599999999999993E-2</v>
      </c>
      <c r="I582">
        <v>5053.6549999999997</v>
      </c>
      <c r="J582">
        <v>6971.1949999999997</v>
      </c>
    </row>
    <row r="583" spans="1:10">
      <c r="A583">
        <v>163</v>
      </c>
      <c r="B583">
        <v>8</v>
      </c>
      <c r="C583" t="s">
        <v>11</v>
      </c>
      <c r="D583">
        <v>-33.9196505086462</v>
      </c>
      <c r="E583">
        <v>18.8536640687005</v>
      </c>
      <c r="F583">
        <v>6.5750000000000003E-2</v>
      </c>
      <c r="G583">
        <v>0.1643</v>
      </c>
      <c r="H583">
        <v>9.8599999999999993E-2</v>
      </c>
      <c r="I583">
        <v>3822.7420000000002</v>
      </c>
      <c r="J583">
        <v>5740.2830000000004</v>
      </c>
    </row>
    <row r="584" spans="1:10">
      <c r="A584">
        <v>164</v>
      </c>
      <c r="B584">
        <v>8</v>
      </c>
      <c r="C584" t="s">
        <v>11</v>
      </c>
      <c r="D584">
        <v>-33.899770420833903</v>
      </c>
      <c r="E584">
        <v>18.858217067161998</v>
      </c>
      <c r="F584">
        <v>6.5750000000000003E-2</v>
      </c>
      <c r="G584">
        <v>0.1643</v>
      </c>
      <c r="H584">
        <v>9.8599999999999993E-2</v>
      </c>
      <c r="I584">
        <v>6321.1710000000003</v>
      </c>
      <c r="J584">
        <v>8238.7119999999995</v>
      </c>
    </row>
    <row r="585" spans="1:10">
      <c r="A585">
        <v>165</v>
      </c>
      <c r="B585">
        <v>8</v>
      </c>
      <c r="C585" t="s">
        <v>11</v>
      </c>
      <c r="D585">
        <v>-33.908089419619699</v>
      </c>
      <c r="E585">
        <v>18.850992574234901</v>
      </c>
      <c r="F585">
        <v>6.5750000000000003E-2</v>
      </c>
      <c r="G585">
        <v>0.1643</v>
      </c>
      <c r="H585">
        <v>9.8599999999999993E-2</v>
      </c>
      <c r="I585">
        <v>5293.13</v>
      </c>
      <c r="J585">
        <v>7210.6710000000003</v>
      </c>
    </row>
    <row r="586" spans="1:10">
      <c r="A586">
        <v>166</v>
      </c>
      <c r="B586">
        <v>8</v>
      </c>
      <c r="C586" t="s">
        <v>11</v>
      </c>
      <c r="D586">
        <v>-33.903800852686203</v>
      </c>
      <c r="E586">
        <v>18.856958619683901</v>
      </c>
      <c r="F586">
        <v>6.5750000000000003E-2</v>
      </c>
      <c r="G586">
        <v>0.1643</v>
      </c>
      <c r="H586">
        <v>9.8599999999999993E-2</v>
      </c>
      <c r="I586">
        <v>5802.4089999999997</v>
      </c>
      <c r="J586">
        <v>7719.95</v>
      </c>
    </row>
    <row r="587" spans="1:10">
      <c r="A587">
        <v>0</v>
      </c>
      <c r="B587">
        <v>9</v>
      </c>
      <c r="C587" t="s">
        <v>105</v>
      </c>
      <c r="D587">
        <v>-33.923294711851497</v>
      </c>
      <c r="E587">
        <v>18.840841092251001</v>
      </c>
      <c r="F587">
        <v>6.5750000000000003E-2</v>
      </c>
      <c r="G587">
        <v>0.1643</v>
      </c>
      <c r="H587">
        <v>9.8599999999999993E-2</v>
      </c>
      <c r="I587">
        <v>4515.2449999999999</v>
      </c>
      <c r="J587">
        <v>6074.1220000000003</v>
      </c>
    </row>
    <row r="588" spans="1:10">
      <c r="A588">
        <v>1</v>
      </c>
      <c r="B588">
        <v>9</v>
      </c>
      <c r="C588" t="s">
        <v>105</v>
      </c>
      <c r="D588">
        <v>-33.922172958619797</v>
      </c>
      <c r="E588">
        <v>18.837642046032499</v>
      </c>
      <c r="F588">
        <v>6.5750000000000003E-2</v>
      </c>
      <c r="G588">
        <v>0.1643</v>
      </c>
      <c r="H588">
        <v>9.8599999999999993E-2</v>
      </c>
      <c r="I588">
        <v>4984.7640000000001</v>
      </c>
      <c r="J588">
        <v>6543.6409999999996</v>
      </c>
    </row>
    <row r="589" spans="1:10">
      <c r="A589">
        <v>2</v>
      </c>
      <c r="B589">
        <v>9</v>
      </c>
      <c r="C589" t="s">
        <v>105</v>
      </c>
      <c r="D589">
        <v>-33.925699805614599</v>
      </c>
      <c r="E589">
        <v>18.840804129905901</v>
      </c>
      <c r="F589">
        <v>6.5750000000000003E-2</v>
      </c>
      <c r="G589">
        <v>0.1643</v>
      </c>
      <c r="H589">
        <v>9.8599999999999993E-2</v>
      </c>
      <c r="I589">
        <v>4711.5730000000003</v>
      </c>
      <c r="J589">
        <v>6270.45</v>
      </c>
    </row>
    <row r="590" spans="1:10">
      <c r="A590">
        <v>3</v>
      </c>
      <c r="B590">
        <v>9</v>
      </c>
      <c r="C590" t="s">
        <v>105</v>
      </c>
      <c r="D590">
        <v>-33.923985394422097</v>
      </c>
      <c r="E590">
        <v>18.8379344828904</v>
      </c>
      <c r="F590">
        <v>6.5750000000000003E-2</v>
      </c>
      <c r="G590">
        <v>0.1643</v>
      </c>
      <c r="H590">
        <v>9.8599999999999993E-2</v>
      </c>
      <c r="I590">
        <v>4923.28</v>
      </c>
      <c r="J590">
        <v>6482.1570000000002</v>
      </c>
    </row>
    <row r="591" spans="1:10">
      <c r="A591">
        <v>4</v>
      </c>
      <c r="B591">
        <v>9</v>
      </c>
      <c r="C591" t="s">
        <v>105</v>
      </c>
      <c r="D591">
        <v>-33.920061922686799</v>
      </c>
      <c r="E591">
        <v>18.836340726081598</v>
      </c>
      <c r="F591">
        <v>6.5750000000000003E-2</v>
      </c>
      <c r="G591">
        <v>0.1643</v>
      </c>
      <c r="H591">
        <v>9.8599999999999993E-2</v>
      </c>
      <c r="I591">
        <v>5043.3549999999996</v>
      </c>
      <c r="J591">
        <v>6602.232</v>
      </c>
    </row>
    <row r="592" spans="1:10">
      <c r="A592">
        <v>5</v>
      </c>
      <c r="B592">
        <v>9</v>
      </c>
      <c r="C592" t="s">
        <v>105</v>
      </c>
      <c r="D592">
        <v>-33.926160874784898</v>
      </c>
      <c r="E592">
        <v>18.841800517924302</v>
      </c>
      <c r="F592">
        <v>6.5750000000000003E-2</v>
      </c>
      <c r="G592">
        <v>0.1643</v>
      </c>
      <c r="H592">
        <v>9.8599999999999993E-2</v>
      </c>
      <c r="I592">
        <v>4194.348</v>
      </c>
      <c r="J592">
        <v>5753.2250000000004</v>
      </c>
    </row>
    <row r="593" spans="1:10">
      <c r="A593">
        <v>6</v>
      </c>
      <c r="B593">
        <v>9</v>
      </c>
      <c r="C593" t="s">
        <v>105</v>
      </c>
      <c r="D593">
        <v>-33.924142775957598</v>
      </c>
      <c r="E593">
        <v>18.840119179611399</v>
      </c>
      <c r="F593">
        <v>6.5750000000000003E-2</v>
      </c>
      <c r="G593">
        <v>0.1643</v>
      </c>
      <c r="H593">
        <v>9.8599999999999993E-2</v>
      </c>
      <c r="I593">
        <v>4593.5690000000004</v>
      </c>
      <c r="J593">
        <v>6152.4459999999999</v>
      </c>
    </row>
    <row r="594" spans="1:10">
      <c r="A594">
        <v>7</v>
      </c>
      <c r="B594">
        <v>9</v>
      </c>
      <c r="C594" t="s">
        <v>105</v>
      </c>
      <c r="D594">
        <v>-33.923117246311698</v>
      </c>
      <c r="E594">
        <v>18.8448809394432</v>
      </c>
      <c r="F594">
        <v>6.5750000000000003E-2</v>
      </c>
      <c r="G594">
        <v>0.1643</v>
      </c>
      <c r="H594">
        <v>9.8599999999999993E-2</v>
      </c>
      <c r="I594">
        <v>3913.4169999999999</v>
      </c>
      <c r="J594">
        <v>5472.2929999999997</v>
      </c>
    </row>
    <row r="595" spans="1:10">
      <c r="A595">
        <v>8</v>
      </c>
      <c r="B595">
        <v>9</v>
      </c>
      <c r="C595" t="s">
        <v>105</v>
      </c>
      <c r="D595">
        <v>-33.923089333464702</v>
      </c>
      <c r="E595">
        <v>18.8403690012174</v>
      </c>
      <c r="F595">
        <v>6.5750000000000003E-2</v>
      </c>
      <c r="G595">
        <v>0.1643</v>
      </c>
      <c r="H595">
        <v>9.8599999999999993E-2</v>
      </c>
      <c r="I595">
        <v>4596.2460000000001</v>
      </c>
      <c r="J595">
        <v>6155.1229999999996</v>
      </c>
    </row>
    <row r="596" spans="1:10">
      <c r="A596">
        <v>9</v>
      </c>
      <c r="B596">
        <v>9</v>
      </c>
      <c r="C596" t="s">
        <v>105</v>
      </c>
      <c r="D596">
        <v>-33.921428806579101</v>
      </c>
      <c r="E596">
        <v>18.844555865729401</v>
      </c>
      <c r="F596">
        <v>6.5750000000000003E-2</v>
      </c>
      <c r="G596">
        <v>0.1643</v>
      </c>
      <c r="H596">
        <v>9.8599999999999993E-2</v>
      </c>
      <c r="I596">
        <v>4555.4769999999999</v>
      </c>
      <c r="J596">
        <v>5883.4960000000001</v>
      </c>
    </row>
    <row r="597" spans="1:10">
      <c r="A597">
        <v>10</v>
      </c>
      <c r="B597">
        <v>9</v>
      </c>
      <c r="C597" t="s">
        <v>105</v>
      </c>
      <c r="D597">
        <v>-33.922762296065898</v>
      </c>
      <c r="E597">
        <v>18.8409381139167</v>
      </c>
      <c r="F597">
        <v>6.5750000000000003E-2</v>
      </c>
      <c r="G597">
        <v>0.1643</v>
      </c>
      <c r="H597">
        <v>9.8599999999999993E-2</v>
      </c>
      <c r="I597">
        <v>4550.3419999999996</v>
      </c>
      <c r="J597">
        <v>6109.2190000000001</v>
      </c>
    </row>
    <row r="598" spans="1:10">
      <c r="A598">
        <v>11</v>
      </c>
      <c r="B598">
        <v>9</v>
      </c>
      <c r="C598" t="s">
        <v>105</v>
      </c>
      <c r="D598">
        <v>-33.9215738675503</v>
      </c>
      <c r="E598">
        <v>18.837819210059099</v>
      </c>
      <c r="F598">
        <v>6.5750000000000003E-2</v>
      </c>
      <c r="G598">
        <v>0.1643</v>
      </c>
      <c r="H598">
        <v>9.8599999999999993E-2</v>
      </c>
      <c r="I598">
        <v>4767.1980000000003</v>
      </c>
      <c r="J598">
        <v>6326.0749999999998</v>
      </c>
    </row>
    <row r="599" spans="1:10">
      <c r="A599">
        <v>12</v>
      </c>
      <c r="B599">
        <v>9</v>
      </c>
      <c r="C599" t="s">
        <v>105</v>
      </c>
      <c r="D599">
        <v>-33.925327822702798</v>
      </c>
      <c r="E599">
        <v>18.844739787313099</v>
      </c>
      <c r="F599">
        <v>6.5750000000000003E-2</v>
      </c>
      <c r="G599">
        <v>0.1643</v>
      </c>
      <c r="H599">
        <v>9.8599999999999993E-2</v>
      </c>
      <c r="I599">
        <v>4025.1889999999999</v>
      </c>
      <c r="J599">
        <v>5584.0659999999998</v>
      </c>
    </row>
    <row r="600" spans="1:10">
      <c r="A600">
        <v>13</v>
      </c>
      <c r="B600">
        <v>9</v>
      </c>
      <c r="C600" t="s">
        <v>105</v>
      </c>
      <c r="D600">
        <v>-33.925818220063</v>
      </c>
      <c r="E600">
        <v>18.841667352151401</v>
      </c>
      <c r="F600">
        <v>6.5750000000000003E-2</v>
      </c>
      <c r="G600">
        <v>0.1643</v>
      </c>
      <c r="H600">
        <v>9.8599999999999993E-2</v>
      </c>
      <c r="I600">
        <v>4706.6750000000002</v>
      </c>
      <c r="J600">
        <v>6265.5519999999997</v>
      </c>
    </row>
    <row r="601" spans="1:10">
      <c r="A601">
        <v>14</v>
      </c>
      <c r="B601">
        <v>9</v>
      </c>
      <c r="C601" t="s">
        <v>105</v>
      </c>
      <c r="D601">
        <v>-33.925462814405897</v>
      </c>
      <c r="E601">
        <v>18.8438263762628</v>
      </c>
      <c r="F601">
        <v>6.5750000000000003E-2</v>
      </c>
      <c r="G601">
        <v>0.1643</v>
      </c>
      <c r="H601">
        <v>9.8599999999999993E-2</v>
      </c>
      <c r="I601">
        <v>4025.0010000000002</v>
      </c>
      <c r="J601">
        <v>5583.8779999999997</v>
      </c>
    </row>
    <row r="602" spans="1:10">
      <c r="A602">
        <v>15</v>
      </c>
      <c r="B602">
        <v>9</v>
      </c>
      <c r="C602" t="s">
        <v>105</v>
      </c>
      <c r="D602">
        <v>-33.923074816076202</v>
      </c>
      <c r="E602">
        <v>18.844775338007601</v>
      </c>
      <c r="F602">
        <v>6.5750000000000003E-2</v>
      </c>
      <c r="G602">
        <v>0.1643</v>
      </c>
      <c r="H602">
        <v>9.8599999999999993E-2</v>
      </c>
      <c r="I602">
        <v>3913.4169999999999</v>
      </c>
      <c r="J602">
        <v>5472.2929999999997</v>
      </c>
    </row>
    <row r="603" spans="1:10">
      <c r="A603">
        <v>16</v>
      </c>
      <c r="B603">
        <v>9</v>
      </c>
      <c r="C603" t="s">
        <v>105</v>
      </c>
      <c r="D603">
        <v>-33.920584071466401</v>
      </c>
      <c r="E603">
        <v>18.837099437221301</v>
      </c>
      <c r="F603">
        <v>6.5750000000000003E-2</v>
      </c>
      <c r="G603">
        <v>0.1643</v>
      </c>
      <c r="H603">
        <v>9.8599999999999993E-2</v>
      </c>
      <c r="I603">
        <v>4891.3959999999997</v>
      </c>
      <c r="J603">
        <v>6450.2730000000001</v>
      </c>
    </row>
    <row r="604" spans="1:10">
      <c r="A604">
        <v>17</v>
      </c>
      <c r="B604">
        <v>9</v>
      </c>
      <c r="C604" t="s">
        <v>105</v>
      </c>
      <c r="D604">
        <v>-33.926319977771897</v>
      </c>
      <c r="E604">
        <v>18.841486426960799</v>
      </c>
      <c r="F604">
        <v>6.5750000000000003E-2</v>
      </c>
      <c r="G604">
        <v>0.1643</v>
      </c>
      <c r="H604">
        <v>9.8599999999999993E-2</v>
      </c>
      <c r="I604">
        <v>4751.0280000000002</v>
      </c>
      <c r="J604">
        <v>6309.9049999999997</v>
      </c>
    </row>
    <row r="605" spans="1:10">
      <c r="A605">
        <v>18</v>
      </c>
      <c r="B605">
        <v>9</v>
      </c>
      <c r="C605" t="s">
        <v>105</v>
      </c>
      <c r="D605">
        <v>-33.9265316339199</v>
      </c>
      <c r="E605">
        <v>18.836658286073401</v>
      </c>
      <c r="F605">
        <v>6.5750000000000003E-2</v>
      </c>
      <c r="G605">
        <v>0.1643</v>
      </c>
      <c r="H605">
        <v>9.8599999999999993E-2</v>
      </c>
      <c r="I605">
        <v>6057.2120000000004</v>
      </c>
      <c r="J605">
        <v>3568.22</v>
      </c>
    </row>
    <row r="606" spans="1:10">
      <c r="A606">
        <v>19</v>
      </c>
      <c r="B606">
        <v>9</v>
      </c>
      <c r="C606" t="s">
        <v>105</v>
      </c>
      <c r="D606">
        <v>-33.922326449193498</v>
      </c>
      <c r="E606">
        <v>18.8435533067743</v>
      </c>
      <c r="F606">
        <v>6.5750000000000003E-2</v>
      </c>
      <c r="G606">
        <v>0.1643</v>
      </c>
      <c r="H606">
        <v>9.8599999999999993E-2</v>
      </c>
      <c r="I606">
        <v>4637.1490000000003</v>
      </c>
      <c r="J606">
        <v>5898.3209999999999</v>
      </c>
    </row>
    <row r="607" spans="1:10">
      <c r="A607">
        <v>20</v>
      </c>
      <c r="B607">
        <v>9</v>
      </c>
      <c r="C607" t="s">
        <v>105</v>
      </c>
      <c r="D607">
        <v>-33.924796620182001</v>
      </c>
      <c r="E607">
        <v>18.843791575188</v>
      </c>
      <c r="F607">
        <v>6.5750000000000003E-2</v>
      </c>
      <c r="G607">
        <v>0.1643</v>
      </c>
      <c r="H607">
        <v>9.8599999999999993E-2</v>
      </c>
      <c r="I607">
        <v>3968.4279999999999</v>
      </c>
      <c r="J607">
        <v>5527.3050000000003</v>
      </c>
    </row>
    <row r="608" spans="1:10">
      <c r="A608">
        <v>21</v>
      </c>
      <c r="B608">
        <v>9</v>
      </c>
      <c r="C608" t="s">
        <v>105</v>
      </c>
      <c r="D608">
        <v>-33.9241335989867</v>
      </c>
      <c r="E608">
        <v>18.8384117976608</v>
      </c>
      <c r="F608">
        <v>6.5750000000000003E-2</v>
      </c>
      <c r="G608">
        <v>0.1643</v>
      </c>
      <c r="H608">
        <v>9.8599999999999993E-2</v>
      </c>
      <c r="I608">
        <v>4800.01</v>
      </c>
      <c r="J608">
        <v>6358.8869999999997</v>
      </c>
    </row>
    <row r="609" spans="1:10">
      <c r="A609">
        <v>22</v>
      </c>
      <c r="B609">
        <v>9</v>
      </c>
      <c r="C609" t="s">
        <v>105</v>
      </c>
      <c r="D609">
        <v>-33.926763874629401</v>
      </c>
      <c r="E609">
        <v>18.840068954627501</v>
      </c>
      <c r="F609">
        <v>6.5750000000000003E-2</v>
      </c>
      <c r="G609">
        <v>0.1643</v>
      </c>
      <c r="H609">
        <v>9.8599999999999993E-2</v>
      </c>
      <c r="I609">
        <v>4753.134</v>
      </c>
      <c r="J609">
        <v>6312.01</v>
      </c>
    </row>
    <row r="610" spans="1:10">
      <c r="A610">
        <v>23</v>
      </c>
      <c r="B610">
        <v>9</v>
      </c>
      <c r="C610" t="s">
        <v>105</v>
      </c>
      <c r="D610">
        <v>-33.926615091397402</v>
      </c>
      <c r="E610">
        <v>18.842790364139798</v>
      </c>
      <c r="F610">
        <v>6.5750000000000003E-2</v>
      </c>
      <c r="G610">
        <v>0.1643</v>
      </c>
      <c r="H610">
        <v>9.8599999999999993E-2</v>
      </c>
      <c r="I610">
        <v>4205.4830000000002</v>
      </c>
      <c r="J610">
        <v>5764.36</v>
      </c>
    </row>
    <row r="611" spans="1:10">
      <c r="A611">
        <v>24</v>
      </c>
      <c r="B611">
        <v>9</v>
      </c>
      <c r="C611" t="s">
        <v>105</v>
      </c>
      <c r="D611">
        <v>-33.9266197377259</v>
      </c>
      <c r="E611">
        <v>18.841212390418399</v>
      </c>
      <c r="F611">
        <v>6.5750000000000003E-2</v>
      </c>
      <c r="G611">
        <v>0.1643</v>
      </c>
      <c r="H611">
        <v>9.8599999999999993E-2</v>
      </c>
      <c r="I611">
        <v>4791.3440000000001</v>
      </c>
      <c r="J611">
        <v>6350.2209999999995</v>
      </c>
    </row>
    <row r="612" spans="1:10">
      <c r="A612">
        <v>25</v>
      </c>
      <c r="B612">
        <v>9</v>
      </c>
      <c r="C612" t="s">
        <v>105</v>
      </c>
      <c r="D612">
        <v>-33.919924332974198</v>
      </c>
      <c r="E612">
        <v>18.838191257262199</v>
      </c>
      <c r="F612">
        <v>6.5750000000000003E-2</v>
      </c>
      <c r="G612">
        <v>0.1643</v>
      </c>
      <c r="H612">
        <v>9.8599999999999993E-2</v>
      </c>
      <c r="I612">
        <v>4892.3810000000003</v>
      </c>
      <c r="J612">
        <v>6451.2579999999998</v>
      </c>
    </row>
    <row r="613" spans="1:10">
      <c r="A613">
        <v>26</v>
      </c>
      <c r="B613">
        <v>9</v>
      </c>
      <c r="C613" t="s">
        <v>105</v>
      </c>
      <c r="D613">
        <v>-33.924435250256003</v>
      </c>
      <c r="E613">
        <v>18.8413992088519</v>
      </c>
      <c r="F613">
        <v>6.5750000000000003E-2</v>
      </c>
      <c r="G613">
        <v>0.1643</v>
      </c>
      <c r="H613">
        <v>9.8599999999999993E-2</v>
      </c>
      <c r="I613">
        <v>4566.7160000000003</v>
      </c>
      <c r="J613">
        <v>6125.5919999999996</v>
      </c>
    </row>
    <row r="614" spans="1:10">
      <c r="A614">
        <v>27</v>
      </c>
      <c r="B614">
        <v>9</v>
      </c>
      <c r="C614" t="s">
        <v>105</v>
      </c>
      <c r="D614">
        <v>-33.923538012659201</v>
      </c>
      <c r="E614">
        <v>18.839281604064801</v>
      </c>
      <c r="F614">
        <v>6.5750000000000003E-2</v>
      </c>
      <c r="G614">
        <v>0.1643</v>
      </c>
      <c r="H614">
        <v>9.8599999999999993E-2</v>
      </c>
      <c r="I614">
        <v>4803.3620000000001</v>
      </c>
      <c r="J614">
        <v>6362.2389999999996</v>
      </c>
    </row>
    <row r="615" spans="1:10">
      <c r="A615">
        <v>28</v>
      </c>
      <c r="B615">
        <v>9</v>
      </c>
      <c r="C615" t="s">
        <v>105</v>
      </c>
      <c r="D615">
        <v>-33.921755104616103</v>
      </c>
      <c r="E615">
        <v>18.8423614393915</v>
      </c>
      <c r="F615">
        <v>6.5750000000000003E-2</v>
      </c>
      <c r="G615">
        <v>0.1643</v>
      </c>
      <c r="H615">
        <v>9.8599999999999993E-2</v>
      </c>
      <c r="I615">
        <v>4347.4769999999999</v>
      </c>
      <c r="J615">
        <v>5906.3540000000003</v>
      </c>
    </row>
    <row r="616" spans="1:10">
      <c r="A616">
        <v>29</v>
      </c>
      <c r="B616">
        <v>9</v>
      </c>
      <c r="C616" t="s">
        <v>105</v>
      </c>
      <c r="D616">
        <v>-33.922438043246501</v>
      </c>
      <c r="E616">
        <v>18.8417252692348</v>
      </c>
      <c r="F616">
        <v>6.5750000000000003E-2</v>
      </c>
      <c r="G616">
        <v>0.1643</v>
      </c>
      <c r="H616">
        <v>9.8599999999999993E-2</v>
      </c>
      <c r="I616">
        <v>4405.9939999999997</v>
      </c>
      <c r="J616">
        <v>5964.87</v>
      </c>
    </row>
    <row r="617" spans="1:10">
      <c r="A617">
        <v>30</v>
      </c>
      <c r="B617">
        <v>9</v>
      </c>
      <c r="C617" t="s">
        <v>105</v>
      </c>
      <c r="D617">
        <v>-33.924682656318197</v>
      </c>
      <c r="E617">
        <v>18.843828522174402</v>
      </c>
      <c r="F617">
        <v>6.5750000000000003E-2</v>
      </c>
      <c r="G617">
        <v>0.1643</v>
      </c>
      <c r="H617">
        <v>9.8599999999999993E-2</v>
      </c>
      <c r="I617">
        <v>3955.9760000000001</v>
      </c>
      <c r="J617">
        <v>5514.8530000000001</v>
      </c>
    </row>
    <row r="618" spans="1:10">
      <c r="A618">
        <v>31</v>
      </c>
      <c r="B618">
        <v>9</v>
      </c>
      <c r="C618" t="s">
        <v>105</v>
      </c>
      <c r="D618">
        <v>-33.925552219944699</v>
      </c>
      <c r="E618">
        <v>18.842708805120299</v>
      </c>
      <c r="F618">
        <v>6.5750000000000003E-2</v>
      </c>
      <c r="G618">
        <v>0.1643</v>
      </c>
      <c r="H618">
        <v>9.8599999999999993E-2</v>
      </c>
      <c r="I618">
        <v>4136.7129999999997</v>
      </c>
      <c r="J618">
        <v>5695.59</v>
      </c>
    </row>
    <row r="619" spans="1:10">
      <c r="A619">
        <v>32</v>
      </c>
      <c r="B619">
        <v>9</v>
      </c>
      <c r="C619" t="s">
        <v>105</v>
      </c>
      <c r="D619">
        <v>-33.924111306827101</v>
      </c>
      <c r="E619">
        <v>18.842992956195001</v>
      </c>
      <c r="F619">
        <v>6.5750000000000003E-2</v>
      </c>
      <c r="G619">
        <v>0.1643</v>
      </c>
      <c r="H619">
        <v>9.8599999999999993E-2</v>
      </c>
      <c r="I619">
        <v>4090.931</v>
      </c>
      <c r="J619">
        <v>5649.8069999999998</v>
      </c>
    </row>
    <row r="620" spans="1:10">
      <c r="A620">
        <v>33</v>
      </c>
      <c r="B620">
        <v>9</v>
      </c>
      <c r="C620" t="s">
        <v>105</v>
      </c>
      <c r="D620">
        <v>-33.921073906087599</v>
      </c>
      <c r="E620">
        <v>18.836267311950898</v>
      </c>
      <c r="F620">
        <v>6.5750000000000003E-2</v>
      </c>
      <c r="G620">
        <v>0.1643</v>
      </c>
      <c r="H620">
        <v>9.8599999999999993E-2</v>
      </c>
      <c r="I620">
        <v>5079.8890000000001</v>
      </c>
      <c r="J620">
        <v>6638.7659999999996</v>
      </c>
    </row>
    <row r="621" spans="1:10">
      <c r="A621">
        <v>34</v>
      </c>
      <c r="B621">
        <v>9</v>
      </c>
      <c r="C621" t="s">
        <v>105</v>
      </c>
      <c r="D621">
        <v>-33.923732571064498</v>
      </c>
      <c r="E621">
        <v>18.839560953164</v>
      </c>
      <c r="F621">
        <v>6.5750000000000003E-2</v>
      </c>
      <c r="G621">
        <v>0.1643</v>
      </c>
      <c r="H621">
        <v>9.8599999999999993E-2</v>
      </c>
      <c r="I621">
        <v>4770.4849999999997</v>
      </c>
      <c r="J621">
        <v>6329.3620000000001</v>
      </c>
    </row>
    <row r="622" spans="1:10">
      <c r="A622">
        <v>35</v>
      </c>
      <c r="B622">
        <v>9</v>
      </c>
      <c r="C622" t="s">
        <v>105</v>
      </c>
      <c r="D622">
        <v>-33.921061061199303</v>
      </c>
      <c r="E622">
        <v>18.8388685291083</v>
      </c>
      <c r="F622">
        <v>6.5750000000000003E-2</v>
      </c>
      <c r="G622">
        <v>0.1643</v>
      </c>
      <c r="H622">
        <v>9.8599999999999993E-2</v>
      </c>
      <c r="I622">
        <v>4775.88</v>
      </c>
      <c r="J622">
        <v>6334.7569999999996</v>
      </c>
    </row>
    <row r="623" spans="1:10">
      <c r="A623">
        <v>36</v>
      </c>
      <c r="B623">
        <v>9</v>
      </c>
      <c r="C623" t="s">
        <v>105</v>
      </c>
      <c r="D623">
        <v>-33.926071143000001</v>
      </c>
      <c r="E623">
        <v>18.836282670680301</v>
      </c>
      <c r="F623">
        <v>6.5750000000000003E-2</v>
      </c>
      <c r="G623">
        <v>0.1643</v>
      </c>
      <c r="H623">
        <v>9.8599999999999993E-2</v>
      </c>
      <c r="I623">
        <v>6070.2039999999997</v>
      </c>
      <c r="J623">
        <v>3581.212</v>
      </c>
    </row>
    <row r="624" spans="1:10">
      <c r="A624">
        <v>37</v>
      </c>
      <c r="B624">
        <v>9</v>
      </c>
      <c r="C624" t="s">
        <v>105</v>
      </c>
      <c r="D624">
        <v>-33.921414920571998</v>
      </c>
      <c r="E624">
        <v>18.8429159779214</v>
      </c>
      <c r="F624">
        <v>6.5750000000000003E-2</v>
      </c>
      <c r="G624">
        <v>0.1643</v>
      </c>
      <c r="H624">
        <v>9.8599999999999993E-2</v>
      </c>
      <c r="I624">
        <v>4703.9780000000001</v>
      </c>
      <c r="J624">
        <v>5955.3419999999996</v>
      </c>
    </row>
    <row r="625" spans="1:10">
      <c r="A625">
        <v>38</v>
      </c>
      <c r="B625">
        <v>9</v>
      </c>
      <c r="C625" t="s">
        <v>105</v>
      </c>
      <c r="D625">
        <v>-33.919457268710502</v>
      </c>
      <c r="E625">
        <v>18.844859093483901</v>
      </c>
      <c r="F625">
        <v>6.5750000000000003E-2</v>
      </c>
      <c r="G625">
        <v>0.1643</v>
      </c>
      <c r="H625">
        <v>9.8599999999999993E-2</v>
      </c>
      <c r="I625">
        <v>4418.7169999999996</v>
      </c>
      <c r="J625">
        <v>6336.2579999999998</v>
      </c>
    </row>
    <row r="626" spans="1:10">
      <c r="A626">
        <v>39</v>
      </c>
      <c r="B626">
        <v>9</v>
      </c>
      <c r="C626" t="s">
        <v>105</v>
      </c>
      <c r="D626">
        <v>-33.926078642330097</v>
      </c>
      <c r="E626">
        <v>18.838084474637899</v>
      </c>
      <c r="F626">
        <v>6.5750000000000003E-2</v>
      </c>
      <c r="G626">
        <v>0.1643</v>
      </c>
      <c r="H626">
        <v>9.8599999999999993E-2</v>
      </c>
      <c r="I626">
        <v>4811.692</v>
      </c>
      <c r="J626">
        <v>6370.5690000000004</v>
      </c>
    </row>
    <row r="627" spans="1:10">
      <c r="A627">
        <v>40</v>
      </c>
      <c r="B627">
        <v>9</v>
      </c>
      <c r="C627" t="s">
        <v>105</v>
      </c>
      <c r="D627">
        <v>-33.922706744281498</v>
      </c>
      <c r="E627">
        <v>18.8382251337122</v>
      </c>
      <c r="F627">
        <v>6.5750000000000003E-2</v>
      </c>
      <c r="G627">
        <v>0.1643</v>
      </c>
      <c r="H627">
        <v>9.8599999999999993E-2</v>
      </c>
      <c r="I627">
        <v>4832.9679999999998</v>
      </c>
      <c r="J627">
        <v>6391.8450000000003</v>
      </c>
    </row>
    <row r="628" spans="1:10">
      <c r="A628">
        <v>41</v>
      </c>
      <c r="B628">
        <v>9</v>
      </c>
      <c r="C628" t="s">
        <v>105</v>
      </c>
      <c r="D628">
        <v>-33.920956231551799</v>
      </c>
      <c r="E628">
        <v>18.8381538349091</v>
      </c>
      <c r="F628">
        <v>6.5750000000000003E-2</v>
      </c>
      <c r="G628">
        <v>0.1643</v>
      </c>
      <c r="H628">
        <v>9.8599999999999993E-2</v>
      </c>
      <c r="I628">
        <v>4826.9160000000002</v>
      </c>
      <c r="J628">
        <v>6385.7929999999997</v>
      </c>
    </row>
    <row r="629" spans="1:10">
      <c r="A629">
        <v>42</v>
      </c>
      <c r="B629">
        <v>9</v>
      </c>
      <c r="C629" t="s">
        <v>105</v>
      </c>
      <c r="D629">
        <v>-33.920538845510997</v>
      </c>
      <c r="E629">
        <v>18.841351021114502</v>
      </c>
      <c r="F629">
        <v>6.5750000000000003E-2</v>
      </c>
      <c r="G629">
        <v>0.1643</v>
      </c>
      <c r="H629">
        <v>9.8599999999999993E-2</v>
      </c>
      <c r="I629">
        <v>4928.4049999999997</v>
      </c>
      <c r="J629">
        <v>6156.482</v>
      </c>
    </row>
    <row r="630" spans="1:10">
      <c r="A630">
        <v>43</v>
      </c>
      <c r="B630">
        <v>9</v>
      </c>
      <c r="C630" t="s">
        <v>105</v>
      </c>
      <c r="D630">
        <v>-33.9265920555926</v>
      </c>
      <c r="E630">
        <v>18.844339091155899</v>
      </c>
      <c r="F630">
        <v>6.5750000000000003E-2</v>
      </c>
      <c r="G630">
        <v>0.1643</v>
      </c>
      <c r="H630">
        <v>9.8599999999999993E-2</v>
      </c>
      <c r="I630">
        <v>4032.4749999999999</v>
      </c>
      <c r="J630">
        <v>5591.3509999999997</v>
      </c>
    </row>
    <row r="631" spans="1:10">
      <c r="A631">
        <v>44</v>
      </c>
      <c r="B631">
        <v>9</v>
      </c>
      <c r="C631" t="s">
        <v>105</v>
      </c>
      <c r="D631">
        <v>-33.924702506614501</v>
      </c>
      <c r="E631">
        <v>18.8393065511648</v>
      </c>
      <c r="F631">
        <v>6.5750000000000003E-2</v>
      </c>
      <c r="G631">
        <v>0.1643</v>
      </c>
      <c r="H631">
        <v>9.8599999999999993E-2</v>
      </c>
      <c r="I631">
        <v>4699.817</v>
      </c>
      <c r="J631">
        <v>6258.6940000000004</v>
      </c>
    </row>
    <row r="632" spans="1:10">
      <c r="A632">
        <v>45</v>
      </c>
      <c r="B632">
        <v>9</v>
      </c>
      <c r="C632" t="s">
        <v>105</v>
      </c>
      <c r="D632">
        <v>-33.924031264135998</v>
      </c>
      <c r="E632">
        <v>18.8383580410385</v>
      </c>
      <c r="F632">
        <v>6.5750000000000003E-2</v>
      </c>
      <c r="G632">
        <v>0.1643</v>
      </c>
      <c r="H632">
        <v>9.8599999999999993E-2</v>
      </c>
      <c r="I632">
        <v>4812.0479999999998</v>
      </c>
      <c r="J632">
        <v>6370.924</v>
      </c>
    </row>
    <row r="633" spans="1:10">
      <c r="A633">
        <v>46</v>
      </c>
      <c r="B633">
        <v>9</v>
      </c>
      <c r="C633" t="s">
        <v>105</v>
      </c>
      <c r="D633">
        <v>-33.926521057899699</v>
      </c>
      <c r="E633">
        <v>18.8414152642139</v>
      </c>
      <c r="F633">
        <v>6.5750000000000003E-2</v>
      </c>
      <c r="G633">
        <v>0.1643</v>
      </c>
      <c r="H633">
        <v>9.8599999999999993E-2</v>
      </c>
      <c r="I633">
        <v>4774.2309999999998</v>
      </c>
      <c r="J633">
        <v>6333.1080000000002</v>
      </c>
    </row>
    <row r="634" spans="1:10">
      <c r="A634">
        <v>47</v>
      </c>
      <c r="B634">
        <v>9</v>
      </c>
      <c r="C634" t="s">
        <v>105</v>
      </c>
      <c r="D634">
        <v>-33.921501421682699</v>
      </c>
      <c r="E634">
        <v>18.838469448862099</v>
      </c>
      <c r="F634">
        <v>6.5750000000000003E-2</v>
      </c>
      <c r="G634">
        <v>0.1643</v>
      </c>
      <c r="H634">
        <v>9.8599999999999993E-2</v>
      </c>
      <c r="I634">
        <v>4752.4319999999998</v>
      </c>
      <c r="J634">
        <v>6311.308</v>
      </c>
    </row>
    <row r="635" spans="1:10">
      <c r="A635">
        <v>48</v>
      </c>
      <c r="B635">
        <v>9</v>
      </c>
      <c r="C635" t="s">
        <v>105</v>
      </c>
      <c r="D635">
        <v>-33.924345835066603</v>
      </c>
      <c r="E635">
        <v>18.838028124615001</v>
      </c>
      <c r="F635">
        <v>6.5750000000000003E-2</v>
      </c>
      <c r="G635">
        <v>0.1643</v>
      </c>
      <c r="H635">
        <v>9.8599999999999993E-2</v>
      </c>
      <c r="I635">
        <v>4896.6329999999998</v>
      </c>
      <c r="J635">
        <v>6455.51</v>
      </c>
    </row>
    <row r="636" spans="1:10">
      <c r="A636">
        <v>49</v>
      </c>
      <c r="B636">
        <v>9</v>
      </c>
      <c r="C636" t="s">
        <v>105</v>
      </c>
      <c r="D636">
        <v>-33.920695672554402</v>
      </c>
      <c r="E636">
        <v>18.8405777200621</v>
      </c>
      <c r="F636">
        <v>6.5750000000000003E-2</v>
      </c>
      <c r="G636">
        <v>0.1643</v>
      </c>
      <c r="H636">
        <v>9.8599999999999993E-2</v>
      </c>
      <c r="I636">
        <v>4987.5479999999998</v>
      </c>
      <c r="J636">
        <v>6204.4750000000004</v>
      </c>
    </row>
    <row r="637" spans="1:10">
      <c r="A637">
        <v>50</v>
      </c>
      <c r="B637">
        <v>9</v>
      </c>
      <c r="C637" t="s">
        <v>105</v>
      </c>
      <c r="D637">
        <v>-33.922308973582702</v>
      </c>
      <c r="E637">
        <v>18.842058770248599</v>
      </c>
      <c r="F637">
        <v>6.5750000000000003E-2</v>
      </c>
      <c r="G637">
        <v>0.1643</v>
      </c>
      <c r="H637">
        <v>9.8599999999999993E-2</v>
      </c>
      <c r="I637">
        <v>4358.6989999999996</v>
      </c>
      <c r="J637">
        <v>5917.576</v>
      </c>
    </row>
    <row r="638" spans="1:10">
      <c r="A638">
        <v>51</v>
      </c>
      <c r="B638">
        <v>9</v>
      </c>
      <c r="C638" t="s">
        <v>105</v>
      </c>
      <c r="D638">
        <v>-33.9196177431146</v>
      </c>
      <c r="E638">
        <v>18.8421023678853</v>
      </c>
      <c r="F638">
        <v>6.5750000000000003E-2</v>
      </c>
      <c r="G638">
        <v>0.1643</v>
      </c>
      <c r="H638">
        <v>9.8599999999999993E-2</v>
      </c>
      <c r="I638">
        <v>4832.83</v>
      </c>
      <c r="J638">
        <v>6750.37</v>
      </c>
    </row>
    <row r="639" spans="1:10">
      <c r="A639">
        <v>52</v>
      </c>
      <c r="B639">
        <v>9</v>
      </c>
      <c r="C639" t="s">
        <v>105</v>
      </c>
      <c r="D639">
        <v>-33.921505700729497</v>
      </c>
      <c r="E639">
        <v>18.836264901710098</v>
      </c>
      <c r="F639">
        <v>6.5750000000000003E-2</v>
      </c>
      <c r="G639">
        <v>0.1643</v>
      </c>
      <c r="H639">
        <v>9.8599999999999993E-2</v>
      </c>
      <c r="I639">
        <v>5125.277</v>
      </c>
      <c r="J639">
        <v>6684.1540000000005</v>
      </c>
    </row>
    <row r="640" spans="1:10">
      <c r="A640">
        <v>53</v>
      </c>
      <c r="B640">
        <v>9</v>
      </c>
      <c r="C640" t="s">
        <v>105</v>
      </c>
      <c r="D640">
        <v>-33.920649099687701</v>
      </c>
      <c r="E640">
        <v>18.837383094066301</v>
      </c>
      <c r="F640">
        <v>6.5750000000000003E-2</v>
      </c>
      <c r="G640">
        <v>0.1643</v>
      </c>
      <c r="H640">
        <v>9.8599999999999993E-2</v>
      </c>
      <c r="I640">
        <v>4874.9579999999996</v>
      </c>
      <c r="J640">
        <v>6433.835</v>
      </c>
    </row>
    <row r="641" spans="1:10">
      <c r="A641">
        <v>54</v>
      </c>
      <c r="B641">
        <v>9</v>
      </c>
      <c r="C641" t="s">
        <v>105</v>
      </c>
      <c r="D641">
        <v>-33.922756435171998</v>
      </c>
      <c r="E641">
        <v>18.8406428847013</v>
      </c>
      <c r="F641">
        <v>6.5750000000000003E-2</v>
      </c>
      <c r="G641">
        <v>0.1643</v>
      </c>
      <c r="H641">
        <v>9.8599999999999993E-2</v>
      </c>
      <c r="I641">
        <v>4570.2330000000002</v>
      </c>
      <c r="J641">
        <v>6129.11</v>
      </c>
    </row>
    <row r="642" spans="1:10">
      <c r="A642">
        <v>55</v>
      </c>
      <c r="B642">
        <v>9</v>
      </c>
      <c r="C642" t="s">
        <v>105</v>
      </c>
      <c r="D642">
        <v>-33.926358570951102</v>
      </c>
      <c r="E642">
        <v>18.844523803609</v>
      </c>
      <c r="F642">
        <v>6.5750000000000003E-2</v>
      </c>
      <c r="G642">
        <v>0.1643</v>
      </c>
      <c r="H642">
        <v>9.8599999999999993E-2</v>
      </c>
      <c r="I642">
        <v>4027.1219999999998</v>
      </c>
      <c r="J642">
        <v>5585.9989999999998</v>
      </c>
    </row>
    <row r="643" spans="1:10">
      <c r="A643">
        <v>56</v>
      </c>
      <c r="B643">
        <v>9</v>
      </c>
      <c r="C643" t="s">
        <v>105</v>
      </c>
      <c r="D643">
        <v>-33.9264390110717</v>
      </c>
      <c r="E643">
        <v>18.836465131774698</v>
      </c>
      <c r="F643">
        <v>6.5750000000000003E-2</v>
      </c>
      <c r="G643">
        <v>0.1643</v>
      </c>
      <c r="H643">
        <v>9.8599999999999993E-2</v>
      </c>
      <c r="I643">
        <v>6076.7110000000002</v>
      </c>
      <c r="J643">
        <v>3587.7190000000001</v>
      </c>
    </row>
    <row r="644" spans="1:10">
      <c r="A644">
        <v>57</v>
      </c>
      <c r="B644">
        <v>9</v>
      </c>
      <c r="C644" t="s">
        <v>105</v>
      </c>
      <c r="D644">
        <v>-33.919434749801503</v>
      </c>
      <c r="E644">
        <v>18.8391113727575</v>
      </c>
      <c r="F644">
        <v>6.5750000000000003E-2</v>
      </c>
      <c r="G644">
        <v>0.1643</v>
      </c>
      <c r="H644">
        <v>9.8599999999999993E-2</v>
      </c>
      <c r="I644">
        <v>5113.0020000000004</v>
      </c>
      <c r="J644">
        <v>6469.9470000000001</v>
      </c>
    </row>
    <row r="645" spans="1:10">
      <c r="A645">
        <v>58</v>
      </c>
      <c r="B645">
        <v>9</v>
      </c>
      <c r="C645" t="s">
        <v>105</v>
      </c>
      <c r="D645">
        <v>-33.920821335119598</v>
      </c>
      <c r="E645">
        <v>18.836892337037298</v>
      </c>
      <c r="F645">
        <v>6.5750000000000003E-2</v>
      </c>
      <c r="G645">
        <v>0.1643</v>
      </c>
      <c r="H645">
        <v>9.8599999999999993E-2</v>
      </c>
      <c r="I645">
        <v>4887.7579999999998</v>
      </c>
      <c r="J645">
        <v>6446.6350000000002</v>
      </c>
    </row>
    <row r="646" spans="1:10">
      <c r="A646">
        <v>59</v>
      </c>
      <c r="B646">
        <v>9</v>
      </c>
      <c r="C646" t="s">
        <v>105</v>
      </c>
      <c r="D646">
        <v>-33.924101484353002</v>
      </c>
      <c r="E646">
        <v>18.836957491788699</v>
      </c>
      <c r="F646">
        <v>6.5750000000000003E-2</v>
      </c>
      <c r="G646">
        <v>0.1643</v>
      </c>
      <c r="H646">
        <v>9.8599999999999993E-2</v>
      </c>
      <c r="I646">
        <v>4987.0600000000004</v>
      </c>
      <c r="J646">
        <v>6545.9369999999999</v>
      </c>
    </row>
    <row r="647" spans="1:10">
      <c r="A647">
        <v>60</v>
      </c>
      <c r="B647">
        <v>9</v>
      </c>
      <c r="C647" t="s">
        <v>105</v>
      </c>
      <c r="D647">
        <v>-33.919624791445599</v>
      </c>
      <c r="E647">
        <v>18.836245131887299</v>
      </c>
      <c r="F647">
        <v>6.5750000000000003E-2</v>
      </c>
      <c r="G647">
        <v>0.1643</v>
      </c>
      <c r="H647">
        <v>9.8599999999999993E-2</v>
      </c>
      <c r="I647">
        <v>5400.2110000000002</v>
      </c>
      <c r="J647">
        <v>6631.4589999999998</v>
      </c>
    </row>
    <row r="648" spans="1:10">
      <c r="A648">
        <v>61</v>
      </c>
      <c r="B648">
        <v>9</v>
      </c>
      <c r="C648" t="s">
        <v>105</v>
      </c>
      <c r="D648">
        <v>-33.919676774189902</v>
      </c>
      <c r="E648">
        <v>18.836834402307701</v>
      </c>
      <c r="F648">
        <v>6.5750000000000003E-2</v>
      </c>
      <c r="G648">
        <v>0.1643</v>
      </c>
      <c r="H648">
        <v>9.8599999999999993E-2</v>
      </c>
      <c r="I648">
        <v>5008.8720000000003</v>
      </c>
      <c r="J648">
        <v>6567.7489999999998</v>
      </c>
    </row>
    <row r="649" spans="1:10">
      <c r="A649">
        <v>62</v>
      </c>
      <c r="B649">
        <v>9</v>
      </c>
      <c r="C649" t="s">
        <v>105</v>
      </c>
      <c r="D649">
        <v>-33.925408705316499</v>
      </c>
      <c r="E649">
        <v>18.8434122339944</v>
      </c>
      <c r="F649">
        <v>6.5750000000000003E-2</v>
      </c>
      <c r="G649">
        <v>0.1643</v>
      </c>
      <c r="H649">
        <v>9.8599999999999993E-2</v>
      </c>
      <c r="I649">
        <v>4034.8359999999998</v>
      </c>
      <c r="J649">
        <v>5593.7129999999997</v>
      </c>
    </row>
    <row r="650" spans="1:10">
      <c r="A650">
        <v>63</v>
      </c>
      <c r="B650">
        <v>9</v>
      </c>
      <c r="C650" t="s">
        <v>105</v>
      </c>
      <c r="D650">
        <v>-33.921435381120702</v>
      </c>
      <c r="E650">
        <v>18.843127849817598</v>
      </c>
      <c r="F650">
        <v>6.5750000000000003E-2</v>
      </c>
      <c r="G650">
        <v>0.1643</v>
      </c>
      <c r="H650">
        <v>9.8599999999999993E-2</v>
      </c>
      <c r="I650">
        <v>4671.4399999999996</v>
      </c>
      <c r="J650">
        <v>5958.1819999999998</v>
      </c>
    </row>
    <row r="651" spans="1:10">
      <c r="A651">
        <v>64</v>
      </c>
      <c r="B651">
        <v>9</v>
      </c>
      <c r="C651" t="s">
        <v>105</v>
      </c>
      <c r="D651">
        <v>-33.923066180049197</v>
      </c>
      <c r="E651">
        <v>18.842604658461301</v>
      </c>
      <c r="F651">
        <v>6.5750000000000003E-2</v>
      </c>
      <c r="G651">
        <v>0.1643</v>
      </c>
      <c r="H651">
        <v>9.8599999999999993E-2</v>
      </c>
      <c r="I651">
        <v>4341.4040000000005</v>
      </c>
      <c r="J651">
        <v>5900.2809999999999</v>
      </c>
    </row>
    <row r="652" spans="1:10">
      <c r="A652">
        <v>65</v>
      </c>
      <c r="B652">
        <v>9</v>
      </c>
      <c r="C652" t="s">
        <v>105</v>
      </c>
      <c r="D652">
        <v>-33.924195468724001</v>
      </c>
      <c r="E652">
        <v>18.843843070912101</v>
      </c>
      <c r="F652">
        <v>6.5750000000000003E-2</v>
      </c>
      <c r="G652">
        <v>0.1643</v>
      </c>
      <c r="H652">
        <v>9.8599999999999993E-2</v>
      </c>
      <c r="I652">
        <v>4013.8519999999999</v>
      </c>
      <c r="J652">
        <v>5572.7290000000003</v>
      </c>
    </row>
    <row r="653" spans="1:10">
      <c r="A653">
        <v>66</v>
      </c>
      <c r="B653">
        <v>9</v>
      </c>
      <c r="C653" t="s">
        <v>105</v>
      </c>
      <c r="D653">
        <v>-33.926541617047903</v>
      </c>
      <c r="E653">
        <v>18.8380380614567</v>
      </c>
      <c r="F653">
        <v>6.5750000000000003E-2</v>
      </c>
      <c r="G653">
        <v>0.1643</v>
      </c>
      <c r="H653">
        <v>9.8599999999999993E-2</v>
      </c>
      <c r="I653">
        <v>5972.3630000000003</v>
      </c>
      <c r="J653">
        <v>3483.3710000000001</v>
      </c>
    </row>
    <row r="654" spans="1:10">
      <c r="A654">
        <v>67</v>
      </c>
      <c r="B654">
        <v>9</v>
      </c>
      <c r="C654" t="s">
        <v>105</v>
      </c>
      <c r="D654">
        <v>-33.924789582590002</v>
      </c>
      <c r="E654">
        <v>18.8438721365928</v>
      </c>
      <c r="F654">
        <v>6.5750000000000003E-2</v>
      </c>
      <c r="G654">
        <v>0.1643</v>
      </c>
      <c r="H654">
        <v>9.8599999999999993E-2</v>
      </c>
      <c r="I654">
        <v>3963.6790000000001</v>
      </c>
      <c r="J654">
        <v>5522.5559999999996</v>
      </c>
    </row>
    <row r="655" spans="1:10">
      <c r="A655">
        <v>68</v>
      </c>
      <c r="B655">
        <v>9</v>
      </c>
      <c r="C655" t="s">
        <v>105</v>
      </c>
      <c r="D655">
        <v>-33.925660234512499</v>
      </c>
      <c r="E655">
        <v>18.839087788235499</v>
      </c>
      <c r="F655">
        <v>6.5750000000000003E-2</v>
      </c>
      <c r="G655">
        <v>0.1643</v>
      </c>
      <c r="H655">
        <v>9.8599999999999993E-2</v>
      </c>
      <c r="I655">
        <v>4805.5450000000001</v>
      </c>
      <c r="J655">
        <v>6364.4219999999996</v>
      </c>
    </row>
    <row r="656" spans="1:10">
      <c r="A656">
        <v>69</v>
      </c>
      <c r="B656">
        <v>9</v>
      </c>
      <c r="C656" t="s">
        <v>105</v>
      </c>
      <c r="D656">
        <v>-33.920800284073501</v>
      </c>
      <c r="E656">
        <v>18.842293471919699</v>
      </c>
      <c r="F656">
        <v>6.5750000000000003E-2</v>
      </c>
      <c r="G656">
        <v>0.1643</v>
      </c>
      <c r="H656">
        <v>9.8599999999999993E-2</v>
      </c>
      <c r="I656">
        <v>4861.4629999999997</v>
      </c>
      <c r="J656">
        <v>6072.8969999999999</v>
      </c>
    </row>
    <row r="657" spans="1:10">
      <c r="A657">
        <v>70</v>
      </c>
      <c r="B657">
        <v>9</v>
      </c>
      <c r="C657" t="s">
        <v>105</v>
      </c>
      <c r="D657">
        <v>-33.926459894668902</v>
      </c>
      <c r="E657">
        <v>18.840263693520299</v>
      </c>
      <c r="F657">
        <v>6.5750000000000003E-2</v>
      </c>
      <c r="G657">
        <v>0.1643</v>
      </c>
      <c r="H657">
        <v>9.8599999999999993E-2</v>
      </c>
      <c r="I657">
        <v>4791.1819999999998</v>
      </c>
      <c r="J657">
        <v>6350.0590000000002</v>
      </c>
    </row>
    <row r="658" spans="1:10">
      <c r="A658">
        <v>71</v>
      </c>
      <c r="B658">
        <v>9</v>
      </c>
      <c r="C658" t="s">
        <v>105</v>
      </c>
      <c r="D658">
        <v>-33.923520749519</v>
      </c>
      <c r="E658">
        <v>18.840276870383999</v>
      </c>
      <c r="F658">
        <v>6.5750000000000003E-2</v>
      </c>
      <c r="G658">
        <v>0.1643</v>
      </c>
      <c r="H658">
        <v>9.8599999999999993E-2</v>
      </c>
      <c r="I658">
        <v>4568.9960000000001</v>
      </c>
      <c r="J658">
        <v>6127.8729999999996</v>
      </c>
    </row>
    <row r="659" spans="1:10">
      <c r="A659">
        <v>72</v>
      </c>
      <c r="B659">
        <v>9</v>
      </c>
      <c r="C659" t="s">
        <v>105</v>
      </c>
      <c r="D659">
        <v>-33.920035552765903</v>
      </c>
      <c r="E659">
        <v>18.843684306490601</v>
      </c>
      <c r="F659">
        <v>6.5750000000000003E-2</v>
      </c>
      <c r="G659">
        <v>0.1643</v>
      </c>
      <c r="H659">
        <v>9.8599999999999993E-2</v>
      </c>
      <c r="I659">
        <v>4573.16</v>
      </c>
      <c r="J659">
        <v>6490.701</v>
      </c>
    </row>
    <row r="660" spans="1:10">
      <c r="A660">
        <v>73</v>
      </c>
      <c r="B660">
        <v>9</v>
      </c>
      <c r="C660" t="s">
        <v>105</v>
      </c>
      <c r="D660">
        <v>-33.9260806484249</v>
      </c>
      <c r="E660">
        <v>18.843929826324899</v>
      </c>
      <c r="F660">
        <v>6.5750000000000003E-2</v>
      </c>
      <c r="G660">
        <v>0.1643</v>
      </c>
      <c r="H660">
        <v>9.8599999999999993E-2</v>
      </c>
      <c r="I660">
        <v>4093.922</v>
      </c>
      <c r="J660">
        <v>5652.799</v>
      </c>
    </row>
    <row r="661" spans="1:10">
      <c r="A661">
        <v>74</v>
      </c>
      <c r="B661">
        <v>9</v>
      </c>
      <c r="C661" t="s">
        <v>105</v>
      </c>
      <c r="D661">
        <v>-33.921806641761997</v>
      </c>
      <c r="E661">
        <v>18.840602409744299</v>
      </c>
      <c r="F661">
        <v>6.5750000000000003E-2</v>
      </c>
      <c r="G661">
        <v>0.1643</v>
      </c>
      <c r="H661">
        <v>9.8599999999999993E-2</v>
      </c>
      <c r="I661">
        <v>4513.9750000000004</v>
      </c>
      <c r="J661">
        <v>6072.8519999999999</v>
      </c>
    </row>
    <row r="662" spans="1:10">
      <c r="A662">
        <v>75</v>
      </c>
      <c r="B662">
        <v>9</v>
      </c>
      <c r="C662" t="s">
        <v>105</v>
      </c>
      <c r="D662">
        <v>-33.924097611503598</v>
      </c>
      <c r="E662">
        <v>18.837533503580101</v>
      </c>
      <c r="F662">
        <v>6.5750000000000003E-2</v>
      </c>
      <c r="G662">
        <v>0.1643</v>
      </c>
      <c r="H662">
        <v>9.8599999999999993E-2</v>
      </c>
      <c r="I662">
        <v>4945.3230000000003</v>
      </c>
      <c r="J662">
        <v>6504.2</v>
      </c>
    </row>
    <row r="663" spans="1:10">
      <c r="A663">
        <v>76</v>
      </c>
      <c r="B663">
        <v>9</v>
      </c>
      <c r="C663" t="s">
        <v>105</v>
      </c>
      <c r="D663">
        <v>-33.920177703409003</v>
      </c>
      <c r="E663">
        <v>18.8396666030871</v>
      </c>
      <c r="F663">
        <v>6.5750000000000003E-2</v>
      </c>
      <c r="G663">
        <v>0.1643</v>
      </c>
      <c r="H663">
        <v>9.8599999999999993E-2</v>
      </c>
      <c r="I663">
        <v>4731.8109999999997</v>
      </c>
      <c r="J663">
        <v>6290.6880000000001</v>
      </c>
    </row>
    <row r="664" spans="1:10">
      <c r="A664">
        <v>77</v>
      </c>
      <c r="B664">
        <v>9</v>
      </c>
      <c r="C664" t="s">
        <v>105</v>
      </c>
      <c r="D664">
        <v>-33.925834602871198</v>
      </c>
      <c r="E664">
        <v>18.838189161110002</v>
      </c>
      <c r="F664">
        <v>6.5750000000000003E-2</v>
      </c>
      <c r="G664">
        <v>0.1643</v>
      </c>
      <c r="H664">
        <v>9.8599999999999993E-2</v>
      </c>
      <c r="I664">
        <v>4787.8789999999999</v>
      </c>
      <c r="J664">
        <v>6346.7550000000001</v>
      </c>
    </row>
    <row r="665" spans="1:10">
      <c r="A665">
        <v>78</v>
      </c>
      <c r="B665">
        <v>9</v>
      </c>
      <c r="C665" t="s">
        <v>105</v>
      </c>
      <c r="D665">
        <v>-33.9200625791253</v>
      </c>
      <c r="E665">
        <v>18.8362459207863</v>
      </c>
      <c r="F665">
        <v>6.5750000000000003E-2</v>
      </c>
      <c r="G665">
        <v>0.1643</v>
      </c>
      <c r="H665">
        <v>9.8599999999999993E-2</v>
      </c>
      <c r="I665">
        <v>5043.3549999999996</v>
      </c>
      <c r="J665">
        <v>6602.232</v>
      </c>
    </row>
    <row r="666" spans="1:10">
      <c r="A666">
        <v>79</v>
      </c>
      <c r="B666">
        <v>9</v>
      </c>
      <c r="C666" t="s">
        <v>105</v>
      </c>
      <c r="D666">
        <v>-33.9264635078559</v>
      </c>
      <c r="E666">
        <v>18.842858356366701</v>
      </c>
      <c r="F666">
        <v>6.5750000000000003E-2</v>
      </c>
      <c r="G666">
        <v>0.1643</v>
      </c>
      <c r="H666">
        <v>9.8599999999999993E-2</v>
      </c>
      <c r="I666">
        <v>4178.0159999999996</v>
      </c>
      <c r="J666">
        <v>5736.893</v>
      </c>
    </row>
    <row r="667" spans="1:10">
      <c r="A667">
        <v>80</v>
      </c>
      <c r="B667">
        <v>9</v>
      </c>
      <c r="C667" t="s">
        <v>105</v>
      </c>
      <c r="D667">
        <v>-33.924202472130901</v>
      </c>
      <c r="E667">
        <v>18.841617075992499</v>
      </c>
      <c r="F667">
        <v>6.5750000000000003E-2</v>
      </c>
      <c r="G667">
        <v>0.1643</v>
      </c>
      <c r="H667">
        <v>9.8599999999999993E-2</v>
      </c>
      <c r="I667">
        <v>4580.3860000000004</v>
      </c>
      <c r="J667">
        <v>6139.2629999999999</v>
      </c>
    </row>
    <row r="668" spans="1:10">
      <c r="A668">
        <v>81</v>
      </c>
      <c r="B668">
        <v>9</v>
      </c>
      <c r="C668" t="s">
        <v>105</v>
      </c>
      <c r="D668">
        <v>-33.922015249181001</v>
      </c>
      <c r="E668">
        <v>18.836602746684701</v>
      </c>
      <c r="F668">
        <v>6.5750000000000003E-2</v>
      </c>
      <c r="G668">
        <v>0.1643</v>
      </c>
      <c r="H668">
        <v>9.8599999999999993E-2</v>
      </c>
      <c r="I668">
        <v>5056.8999999999996</v>
      </c>
      <c r="J668">
        <v>6615.777</v>
      </c>
    </row>
    <row r="669" spans="1:10">
      <c r="A669">
        <v>82</v>
      </c>
      <c r="B669">
        <v>9</v>
      </c>
      <c r="C669" t="s">
        <v>105</v>
      </c>
      <c r="D669">
        <v>-33.922908195714903</v>
      </c>
      <c r="E669">
        <v>18.844116399441599</v>
      </c>
      <c r="F669">
        <v>6.5750000000000003E-2</v>
      </c>
      <c r="G669">
        <v>0.1643</v>
      </c>
      <c r="H669">
        <v>9.8599999999999993E-2</v>
      </c>
      <c r="I669">
        <v>4072.0929999999998</v>
      </c>
      <c r="J669">
        <v>5630.9690000000001</v>
      </c>
    </row>
    <row r="670" spans="1:10">
      <c r="A670">
        <v>83</v>
      </c>
      <c r="B670">
        <v>9</v>
      </c>
      <c r="C670" t="s">
        <v>105</v>
      </c>
      <c r="D670">
        <v>-33.925736742719998</v>
      </c>
      <c r="E670">
        <v>18.837471807545398</v>
      </c>
      <c r="F670">
        <v>6.5750000000000003E-2</v>
      </c>
      <c r="G670">
        <v>0.1643</v>
      </c>
      <c r="H670">
        <v>9.8599999999999993E-2</v>
      </c>
      <c r="I670">
        <v>6074.0829999999996</v>
      </c>
      <c r="J670">
        <v>3585.0909999999999</v>
      </c>
    </row>
    <row r="671" spans="1:10">
      <c r="A671">
        <v>84</v>
      </c>
      <c r="B671">
        <v>9</v>
      </c>
      <c r="C671" t="s">
        <v>105</v>
      </c>
      <c r="D671">
        <v>-33.921276917158998</v>
      </c>
      <c r="E671">
        <v>18.843281043690801</v>
      </c>
      <c r="F671">
        <v>6.5750000000000003E-2</v>
      </c>
      <c r="G671">
        <v>0.1643</v>
      </c>
      <c r="H671">
        <v>9.8599999999999993E-2</v>
      </c>
      <c r="I671">
        <v>4767.6790000000001</v>
      </c>
      <c r="J671">
        <v>6054.4210000000003</v>
      </c>
    </row>
    <row r="672" spans="1:10">
      <c r="A672">
        <v>85</v>
      </c>
      <c r="B672">
        <v>9</v>
      </c>
      <c r="C672" t="s">
        <v>105</v>
      </c>
      <c r="D672">
        <v>-33.923835009648997</v>
      </c>
      <c r="E672">
        <v>18.840139291632099</v>
      </c>
      <c r="F672">
        <v>6.5750000000000003E-2</v>
      </c>
      <c r="G672">
        <v>0.1643</v>
      </c>
      <c r="H672">
        <v>9.8599999999999993E-2</v>
      </c>
      <c r="I672">
        <v>4570.7719999999999</v>
      </c>
      <c r="J672">
        <v>6129.6490000000003</v>
      </c>
    </row>
    <row r="673" spans="1:10">
      <c r="A673">
        <v>86</v>
      </c>
      <c r="B673">
        <v>9</v>
      </c>
      <c r="C673" t="s">
        <v>105</v>
      </c>
      <c r="D673">
        <v>-33.920073712127198</v>
      </c>
      <c r="E673">
        <v>18.842416523511101</v>
      </c>
      <c r="F673">
        <v>6.5750000000000003E-2</v>
      </c>
      <c r="G673">
        <v>0.1643</v>
      </c>
      <c r="H673">
        <v>9.8599999999999993E-2</v>
      </c>
      <c r="I673">
        <v>4860.549</v>
      </c>
      <c r="J673">
        <v>6154.1379999999999</v>
      </c>
    </row>
    <row r="674" spans="1:10">
      <c r="A674">
        <v>87</v>
      </c>
      <c r="B674">
        <v>9</v>
      </c>
      <c r="C674" t="s">
        <v>105</v>
      </c>
      <c r="D674">
        <v>-33.919448750469897</v>
      </c>
      <c r="E674">
        <v>18.842651743357202</v>
      </c>
      <c r="F674">
        <v>6.5750000000000003E-2</v>
      </c>
      <c r="G674">
        <v>0.1643</v>
      </c>
      <c r="H674">
        <v>9.8599999999999993E-2</v>
      </c>
      <c r="I674">
        <v>4837.9279999999999</v>
      </c>
      <c r="J674">
        <v>6755.4679999999998</v>
      </c>
    </row>
    <row r="675" spans="1:10">
      <c r="A675">
        <v>88</v>
      </c>
      <c r="B675">
        <v>9</v>
      </c>
      <c r="C675" t="s">
        <v>105</v>
      </c>
      <c r="D675">
        <v>-33.922888240405797</v>
      </c>
      <c r="E675">
        <v>18.8383801636237</v>
      </c>
      <c r="F675">
        <v>6.5750000000000003E-2</v>
      </c>
      <c r="G675">
        <v>0.1643</v>
      </c>
      <c r="H675">
        <v>9.8599999999999993E-2</v>
      </c>
      <c r="I675">
        <v>4839.6850000000004</v>
      </c>
      <c r="J675">
        <v>6398.5619999999999</v>
      </c>
    </row>
    <row r="676" spans="1:10">
      <c r="A676">
        <v>89</v>
      </c>
      <c r="B676">
        <v>9</v>
      </c>
      <c r="C676" t="s">
        <v>105</v>
      </c>
      <c r="D676">
        <v>-33.926587700623202</v>
      </c>
      <c r="E676">
        <v>18.840614895625301</v>
      </c>
      <c r="F676">
        <v>6.5750000000000003E-2</v>
      </c>
      <c r="G676">
        <v>0.1643</v>
      </c>
      <c r="H676">
        <v>9.8599999999999993E-2</v>
      </c>
      <c r="I676">
        <v>4789.951</v>
      </c>
      <c r="J676">
        <v>6348.8280000000004</v>
      </c>
    </row>
    <row r="677" spans="1:10">
      <c r="A677">
        <v>90</v>
      </c>
      <c r="B677">
        <v>9</v>
      </c>
      <c r="C677" t="s">
        <v>105</v>
      </c>
      <c r="D677">
        <v>-33.921396856679799</v>
      </c>
      <c r="E677">
        <v>18.840702522085099</v>
      </c>
      <c r="F677">
        <v>6.5750000000000003E-2</v>
      </c>
      <c r="G677">
        <v>0.1643</v>
      </c>
      <c r="H677">
        <v>9.8599999999999993E-2</v>
      </c>
      <c r="I677">
        <v>4537.759</v>
      </c>
      <c r="J677">
        <v>6096.6360000000004</v>
      </c>
    </row>
    <row r="678" spans="1:10">
      <c r="A678">
        <v>91</v>
      </c>
      <c r="B678">
        <v>9</v>
      </c>
      <c r="C678" t="s">
        <v>105</v>
      </c>
      <c r="D678">
        <v>-33.924280075108399</v>
      </c>
      <c r="E678">
        <v>18.844276263712899</v>
      </c>
      <c r="F678">
        <v>6.5750000000000003E-2</v>
      </c>
      <c r="G678">
        <v>0.1643</v>
      </c>
      <c r="H678">
        <v>9.8599999999999993E-2</v>
      </c>
      <c r="I678">
        <v>3964.2979999999998</v>
      </c>
      <c r="J678">
        <v>5523.1750000000002</v>
      </c>
    </row>
    <row r="679" spans="1:10">
      <c r="A679">
        <v>92</v>
      </c>
      <c r="B679">
        <v>9</v>
      </c>
      <c r="C679" t="s">
        <v>105</v>
      </c>
      <c r="D679">
        <v>-33.919460468588198</v>
      </c>
      <c r="E679">
        <v>18.838821360838399</v>
      </c>
      <c r="F679">
        <v>6.5750000000000003E-2</v>
      </c>
      <c r="G679">
        <v>0.1643</v>
      </c>
      <c r="H679">
        <v>9.8599999999999993E-2</v>
      </c>
      <c r="I679">
        <v>5139.317</v>
      </c>
      <c r="J679">
        <v>6496.2619999999997</v>
      </c>
    </row>
    <row r="680" spans="1:10">
      <c r="A680">
        <v>93</v>
      </c>
      <c r="B680">
        <v>9</v>
      </c>
      <c r="C680" t="s">
        <v>105</v>
      </c>
      <c r="D680">
        <v>-33.921748417053102</v>
      </c>
      <c r="E680">
        <v>18.8428347599157</v>
      </c>
      <c r="F680">
        <v>6.5750000000000003E-2</v>
      </c>
      <c r="G680">
        <v>0.1643</v>
      </c>
      <c r="H680">
        <v>9.8599999999999993E-2</v>
      </c>
      <c r="I680">
        <v>4679.8500000000004</v>
      </c>
      <c r="J680">
        <v>5931.2139999999999</v>
      </c>
    </row>
    <row r="681" spans="1:10">
      <c r="A681">
        <v>94</v>
      </c>
      <c r="B681">
        <v>9</v>
      </c>
      <c r="C681" t="s">
        <v>105</v>
      </c>
      <c r="D681">
        <v>-33.920168453324997</v>
      </c>
      <c r="E681">
        <v>18.842895233392099</v>
      </c>
      <c r="F681">
        <v>6.5750000000000003E-2</v>
      </c>
      <c r="G681">
        <v>0.1643</v>
      </c>
      <c r="H681">
        <v>9.8599999999999993E-2</v>
      </c>
      <c r="I681">
        <v>4871.33</v>
      </c>
      <c r="J681">
        <v>6158.0709999999999</v>
      </c>
    </row>
    <row r="682" spans="1:10">
      <c r="A682">
        <v>95</v>
      </c>
      <c r="B682">
        <v>9</v>
      </c>
      <c r="C682" t="s">
        <v>105</v>
      </c>
      <c r="D682">
        <v>-33.927054162073603</v>
      </c>
      <c r="E682">
        <v>18.838110647486499</v>
      </c>
      <c r="F682">
        <v>6.5750000000000003E-2</v>
      </c>
      <c r="G682">
        <v>0.1643</v>
      </c>
      <c r="H682">
        <v>9.8599999999999993E-2</v>
      </c>
      <c r="I682">
        <v>5927.4750000000004</v>
      </c>
      <c r="J682">
        <v>3438.4830000000002</v>
      </c>
    </row>
    <row r="683" spans="1:10">
      <c r="A683">
        <v>96</v>
      </c>
      <c r="B683">
        <v>9</v>
      </c>
      <c r="C683" t="s">
        <v>105</v>
      </c>
      <c r="D683">
        <v>-33.924678948155801</v>
      </c>
      <c r="E683">
        <v>18.841406261475701</v>
      </c>
      <c r="F683">
        <v>6.5750000000000003E-2</v>
      </c>
      <c r="G683">
        <v>0.1643</v>
      </c>
      <c r="H683">
        <v>9.8599999999999993E-2</v>
      </c>
      <c r="I683">
        <v>4588.62</v>
      </c>
      <c r="J683">
        <v>6147.4970000000003</v>
      </c>
    </row>
    <row r="684" spans="1:10">
      <c r="A684">
        <v>97</v>
      </c>
      <c r="B684">
        <v>9</v>
      </c>
      <c r="C684" t="s">
        <v>105</v>
      </c>
      <c r="D684">
        <v>-33.926471230595098</v>
      </c>
      <c r="E684">
        <v>18.840791655461398</v>
      </c>
      <c r="F684">
        <v>6.5750000000000003E-2</v>
      </c>
      <c r="G684">
        <v>0.1643</v>
      </c>
      <c r="H684">
        <v>9.8599999999999993E-2</v>
      </c>
      <c r="I684">
        <v>4790.3450000000003</v>
      </c>
      <c r="J684">
        <v>6349.2219999999998</v>
      </c>
    </row>
    <row r="685" spans="1:10">
      <c r="A685">
        <v>98</v>
      </c>
      <c r="B685">
        <v>9</v>
      </c>
      <c r="C685" t="s">
        <v>105</v>
      </c>
      <c r="D685">
        <v>-33.926365822870501</v>
      </c>
      <c r="E685">
        <v>18.8410241677846</v>
      </c>
      <c r="F685">
        <v>6.5750000000000003E-2</v>
      </c>
      <c r="G685">
        <v>0.1643</v>
      </c>
      <c r="H685">
        <v>9.8599999999999993E-2</v>
      </c>
      <c r="I685">
        <v>4771.5259999999998</v>
      </c>
      <c r="J685">
        <v>6330.4030000000002</v>
      </c>
    </row>
    <row r="686" spans="1:10">
      <c r="A686">
        <v>99</v>
      </c>
      <c r="B686">
        <v>9</v>
      </c>
      <c r="C686" t="s">
        <v>105</v>
      </c>
      <c r="D686">
        <v>-33.924428961684903</v>
      </c>
      <c r="E686">
        <v>18.8402635736268</v>
      </c>
      <c r="F686">
        <v>6.5750000000000003E-2</v>
      </c>
      <c r="G686">
        <v>0.1643</v>
      </c>
      <c r="H686">
        <v>9.8599999999999993E-2</v>
      </c>
      <c r="I686">
        <v>4603.0050000000001</v>
      </c>
      <c r="J686">
        <v>6161.8819999999996</v>
      </c>
    </row>
    <row r="687" spans="1:10">
      <c r="A687">
        <v>100</v>
      </c>
      <c r="B687">
        <v>9</v>
      </c>
      <c r="C687" t="s">
        <v>105</v>
      </c>
      <c r="D687">
        <v>-33.921402652434899</v>
      </c>
      <c r="E687">
        <v>18.836386137523998</v>
      </c>
      <c r="F687">
        <v>6.5750000000000003E-2</v>
      </c>
      <c r="G687">
        <v>0.1643</v>
      </c>
      <c r="H687">
        <v>9.8599999999999993E-2</v>
      </c>
      <c r="I687">
        <v>5114.9170000000004</v>
      </c>
      <c r="J687">
        <v>6673.7939999999999</v>
      </c>
    </row>
    <row r="688" spans="1:10">
      <c r="A688">
        <v>101</v>
      </c>
      <c r="B688">
        <v>9</v>
      </c>
      <c r="C688" t="s">
        <v>105</v>
      </c>
      <c r="D688">
        <v>-33.925564699682802</v>
      </c>
      <c r="E688">
        <v>18.841266148892799</v>
      </c>
      <c r="F688">
        <v>6.5750000000000003E-2</v>
      </c>
      <c r="G688">
        <v>0.1643</v>
      </c>
      <c r="H688">
        <v>9.8599999999999993E-2</v>
      </c>
      <c r="I688">
        <v>4687.8360000000002</v>
      </c>
      <c r="J688">
        <v>6246.7120000000004</v>
      </c>
    </row>
    <row r="689" spans="1:10">
      <c r="A689">
        <v>102</v>
      </c>
      <c r="B689">
        <v>9</v>
      </c>
      <c r="C689" t="s">
        <v>105</v>
      </c>
      <c r="D689">
        <v>-33.923253996267498</v>
      </c>
      <c r="E689">
        <v>18.844149579773301</v>
      </c>
      <c r="F689">
        <v>6.5750000000000003E-2</v>
      </c>
      <c r="G689">
        <v>0.1643</v>
      </c>
      <c r="H689">
        <v>9.8599999999999993E-2</v>
      </c>
      <c r="I689">
        <v>4070.05</v>
      </c>
      <c r="J689">
        <v>5628.9269999999997</v>
      </c>
    </row>
    <row r="690" spans="1:10">
      <c r="A690">
        <v>103</v>
      </c>
      <c r="B690">
        <v>9</v>
      </c>
      <c r="C690" t="s">
        <v>105</v>
      </c>
      <c r="D690">
        <v>-33.920606346295301</v>
      </c>
      <c r="E690">
        <v>18.8405876021267</v>
      </c>
      <c r="F690">
        <v>6.5750000000000003E-2</v>
      </c>
      <c r="G690">
        <v>0.1643</v>
      </c>
      <c r="H690">
        <v>9.8599999999999993E-2</v>
      </c>
      <c r="I690">
        <v>4984.893</v>
      </c>
      <c r="J690">
        <v>6207.1310000000003</v>
      </c>
    </row>
    <row r="691" spans="1:10">
      <c r="A691">
        <v>104</v>
      </c>
      <c r="B691">
        <v>9</v>
      </c>
      <c r="C691" t="s">
        <v>105</v>
      </c>
      <c r="D691">
        <v>-33.926964301400901</v>
      </c>
      <c r="E691">
        <v>18.844527356015899</v>
      </c>
      <c r="F691">
        <v>6.5750000000000003E-2</v>
      </c>
      <c r="G691">
        <v>0.1643</v>
      </c>
      <c r="H691">
        <v>9.8599999999999993E-2</v>
      </c>
      <c r="I691">
        <v>4045.1260000000002</v>
      </c>
      <c r="J691">
        <v>5604.0029999999997</v>
      </c>
    </row>
    <row r="692" spans="1:10">
      <c r="A692">
        <v>105</v>
      </c>
      <c r="B692">
        <v>9</v>
      </c>
      <c r="C692" t="s">
        <v>105</v>
      </c>
      <c r="D692">
        <v>-33.919985192330103</v>
      </c>
      <c r="E692">
        <v>18.841483587177301</v>
      </c>
      <c r="F692">
        <v>6.5750000000000003E-2</v>
      </c>
      <c r="G692">
        <v>0.1643</v>
      </c>
      <c r="H692">
        <v>9.8599999999999993E-2</v>
      </c>
      <c r="I692">
        <v>4913.83</v>
      </c>
      <c r="J692">
        <v>6229.8969999999999</v>
      </c>
    </row>
    <row r="693" spans="1:10">
      <c r="A693">
        <v>106</v>
      </c>
      <c r="B693">
        <v>9</v>
      </c>
      <c r="C693" t="s">
        <v>105</v>
      </c>
      <c r="D693">
        <v>-33.925554740262697</v>
      </c>
      <c r="E693">
        <v>18.840227548510299</v>
      </c>
      <c r="F693">
        <v>6.5750000000000003E-2</v>
      </c>
      <c r="G693">
        <v>0.1643</v>
      </c>
      <c r="H693">
        <v>9.8599999999999993E-2</v>
      </c>
      <c r="I693">
        <v>4714.884</v>
      </c>
      <c r="J693">
        <v>6273.7610000000004</v>
      </c>
    </row>
    <row r="694" spans="1:10">
      <c r="A694">
        <v>107</v>
      </c>
      <c r="B694">
        <v>9</v>
      </c>
      <c r="C694" t="s">
        <v>105</v>
      </c>
      <c r="D694">
        <v>-33.926619338611196</v>
      </c>
      <c r="E694">
        <v>18.836818911472498</v>
      </c>
      <c r="F694">
        <v>6.5750000000000003E-2</v>
      </c>
      <c r="G694">
        <v>0.1643</v>
      </c>
      <c r="H694">
        <v>9.8599999999999993E-2</v>
      </c>
      <c r="I694">
        <v>6040.1049999999996</v>
      </c>
      <c r="J694">
        <v>3551.1129999999998</v>
      </c>
    </row>
    <row r="695" spans="1:10">
      <c r="A695">
        <v>108</v>
      </c>
      <c r="B695">
        <v>9</v>
      </c>
      <c r="C695" t="s">
        <v>105</v>
      </c>
      <c r="D695">
        <v>-33.920458293784499</v>
      </c>
      <c r="E695">
        <v>18.836002338431602</v>
      </c>
      <c r="F695">
        <v>6.5750000000000003E-2</v>
      </c>
      <c r="G695">
        <v>0.1643</v>
      </c>
      <c r="H695">
        <v>9.8599999999999993E-2</v>
      </c>
      <c r="I695">
        <v>4996.5690000000004</v>
      </c>
      <c r="J695">
        <v>6555.4459999999999</v>
      </c>
    </row>
    <row r="696" spans="1:10">
      <c r="A696">
        <v>109</v>
      </c>
      <c r="B696">
        <v>9</v>
      </c>
      <c r="C696" t="s">
        <v>105</v>
      </c>
      <c r="D696">
        <v>-33.919488021605801</v>
      </c>
      <c r="E696">
        <v>18.836392838797199</v>
      </c>
      <c r="F696">
        <v>6.5750000000000003E-2</v>
      </c>
      <c r="G696">
        <v>0.1643</v>
      </c>
      <c r="H696">
        <v>9.8599999999999993E-2</v>
      </c>
      <c r="I696">
        <v>5380.9089999999997</v>
      </c>
      <c r="J696">
        <v>6650.7610000000004</v>
      </c>
    </row>
    <row r="697" spans="1:10">
      <c r="A697">
        <v>110</v>
      </c>
      <c r="B697">
        <v>9</v>
      </c>
      <c r="C697" t="s">
        <v>105</v>
      </c>
      <c r="D697">
        <v>-33.921383396415997</v>
      </c>
      <c r="E697">
        <v>18.837603063743501</v>
      </c>
      <c r="F697">
        <v>6.5750000000000003E-2</v>
      </c>
      <c r="G697">
        <v>0.1643</v>
      </c>
      <c r="H697">
        <v>9.8599999999999993E-2</v>
      </c>
      <c r="I697">
        <v>4796.2579999999998</v>
      </c>
      <c r="J697">
        <v>6355.1350000000002</v>
      </c>
    </row>
    <row r="698" spans="1:10">
      <c r="A698">
        <v>111</v>
      </c>
      <c r="B698">
        <v>9</v>
      </c>
      <c r="C698" t="s">
        <v>105</v>
      </c>
      <c r="D698">
        <v>-33.925557153718401</v>
      </c>
      <c r="E698">
        <v>18.838331294229</v>
      </c>
      <c r="F698">
        <v>6.5750000000000003E-2</v>
      </c>
      <c r="G698">
        <v>0.1643</v>
      </c>
      <c r="H698">
        <v>9.8599999999999993E-2</v>
      </c>
      <c r="I698">
        <v>4789.0069999999996</v>
      </c>
      <c r="J698">
        <v>6347.884</v>
      </c>
    </row>
    <row r="699" spans="1:10">
      <c r="A699">
        <v>112</v>
      </c>
      <c r="B699">
        <v>9</v>
      </c>
      <c r="C699" t="s">
        <v>105</v>
      </c>
      <c r="D699">
        <v>-33.921096451098101</v>
      </c>
      <c r="E699">
        <v>18.837811026796501</v>
      </c>
      <c r="F699">
        <v>6.5750000000000003E-2</v>
      </c>
      <c r="G699">
        <v>0.1643</v>
      </c>
      <c r="H699">
        <v>9.8599999999999993E-2</v>
      </c>
      <c r="I699">
        <v>4804.6530000000002</v>
      </c>
      <c r="J699">
        <v>6363.53</v>
      </c>
    </row>
    <row r="700" spans="1:10">
      <c r="A700">
        <v>113</v>
      </c>
      <c r="B700">
        <v>9</v>
      </c>
      <c r="C700" t="s">
        <v>105</v>
      </c>
      <c r="D700">
        <v>-33.922996393015303</v>
      </c>
      <c r="E700">
        <v>18.842231792964299</v>
      </c>
      <c r="F700">
        <v>6.5750000000000003E-2</v>
      </c>
      <c r="G700">
        <v>0.1643</v>
      </c>
      <c r="H700">
        <v>9.8599999999999993E-2</v>
      </c>
      <c r="I700">
        <v>4361.9290000000001</v>
      </c>
      <c r="J700">
        <v>5920.8059999999996</v>
      </c>
    </row>
    <row r="701" spans="1:10">
      <c r="A701">
        <v>114</v>
      </c>
      <c r="B701">
        <v>9</v>
      </c>
      <c r="C701" t="s">
        <v>105</v>
      </c>
      <c r="D701">
        <v>-33.923673531065397</v>
      </c>
      <c r="E701">
        <v>18.839446122605199</v>
      </c>
      <c r="F701">
        <v>6.5750000000000003E-2</v>
      </c>
      <c r="G701">
        <v>0.1643</v>
      </c>
      <c r="H701">
        <v>9.8599999999999993E-2</v>
      </c>
      <c r="I701">
        <v>4782.1570000000002</v>
      </c>
      <c r="J701">
        <v>6341.0339999999997</v>
      </c>
    </row>
    <row r="702" spans="1:10">
      <c r="A702">
        <v>115</v>
      </c>
      <c r="B702">
        <v>9</v>
      </c>
      <c r="C702" t="s">
        <v>105</v>
      </c>
      <c r="D702">
        <v>-33.926488052865899</v>
      </c>
      <c r="E702">
        <v>18.843949410695</v>
      </c>
      <c r="F702">
        <v>6.5750000000000003E-2</v>
      </c>
      <c r="G702">
        <v>0.1643</v>
      </c>
      <c r="H702">
        <v>9.8599999999999993E-2</v>
      </c>
      <c r="I702">
        <v>4112.4679999999998</v>
      </c>
      <c r="J702">
        <v>5671.3450000000003</v>
      </c>
    </row>
    <row r="703" spans="1:10">
      <c r="A703">
        <v>116</v>
      </c>
      <c r="B703">
        <v>9</v>
      </c>
      <c r="C703" t="s">
        <v>105</v>
      </c>
      <c r="D703">
        <v>-33.920631575884499</v>
      </c>
      <c r="E703">
        <v>18.843017857866201</v>
      </c>
      <c r="F703">
        <v>6.5750000000000003E-2</v>
      </c>
      <c r="G703">
        <v>0.1643</v>
      </c>
      <c r="H703">
        <v>9.8599999999999993E-2</v>
      </c>
      <c r="I703">
        <v>4806.7060000000001</v>
      </c>
      <c r="J703">
        <v>6093.4480000000003</v>
      </c>
    </row>
    <row r="704" spans="1:10">
      <c r="A704">
        <v>117</v>
      </c>
      <c r="B704">
        <v>9</v>
      </c>
      <c r="C704" t="s">
        <v>105</v>
      </c>
      <c r="D704">
        <v>-33.922328165262002</v>
      </c>
      <c r="E704">
        <v>18.843034618394199</v>
      </c>
      <c r="F704">
        <v>6.5750000000000003E-2</v>
      </c>
      <c r="G704">
        <v>0.1643</v>
      </c>
      <c r="H704">
        <v>9.8599999999999993E-2</v>
      </c>
      <c r="I704">
        <v>4256.0339999999997</v>
      </c>
      <c r="J704">
        <v>5814.9110000000001</v>
      </c>
    </row>
    <row r="705" spans="1:10">
      <c r="A705">
        <v>118</v>
      </c>
      <c r="B705">
        <v>9</v>
      </c>
      <c r="C705" t="s">
        <v>105</v>
      </c>
      <c r="D705">
        <v>-33.921209399601601</v>
      </c>
      <c r="E705">
        <v>18.844475831473201</v>
      </c>
      <c r="F705">
        <v>6.5750000000000003E-2</v>
      </c>
      <c r="G705">
        <v>0.1643</v>
      </c>
      <c r="H705">
        <v>9.8599999999999993E-2</v>
      </c>
      <c r="I705">
        <v>4497.6329999999998</v>
      </c>
      <c r="J705">
        <v>6415.1729999999998</v>
      </c>
    </row>
    <row r="706" spans="1:10">
      <c r="A706">
        <v>119</v>
      </c>
      <c r="B706">
        <v>9</v>
      </c>
      <c r="C706" t="s">
        <v>105</v>
      </c>
      <c r="D706">
        <v>-33.920960009892902</v>
      </c>
      <c r="E706">
        <v>18.842716300428901</v>
      </c>
      <c r="F706">
        <v>6.5750000000000003E-2</v>
      </c>
      <c r="G706">
        <v>0.1643</v>
      </c>
      <c r="H706">
        <v>9.8599999999999993E-2</v>
      </c>
      <c r="I706">
        <v>4744.5959999999995</v>
      </c>
      <c r="J706">
        <v>6031.3379999999997</v>
      </c>
    </row>
    <row r="707" spans="1:10">
      <c r="A707">
        <v>120</v>
      </c>
      <c r="B707">
        <v>9</v>
      </c>
      <c r="C707" t="s">
        <v>105</v>
      </c>
      <c r="D707">
        <v>-33.919328819879397</v>
      </c>
      <c r="E707">
        <v>18.837399245330001</v>
      </c>
      <c r="F707">
        <v>6.5750000000000003E-2</v>
      </c>
      <c r="G707">
        <v>0.1643</v>
      </c>
      <c r="H707">
        <v>9.8599999999999993E-2</v>
      </c>
      <c r="I707">
        <v>5307.3540000000003</v>
      </c>
      <c r="J707">
        <v>6581.4920000000002</v>
      </c>
    </row>
    <row r="708" spans="1:10">
      <c r="A708">
        <v>121</v>
      </c>
      <c r="B708">
        <v>9</v>
      </c>
      <c r="C708" t="s">
        <v>105</v>
      </c>
      <c r="D708">
        <v>-33.925320422089598</v>
      </c>
      <c r="E708">
        <v>18.8423257769381</v>
      </c>
      <c r="F708">
        <v>6.5750000000000003E-2</v>
      </c>
      <c r="G708">
        <v>0.1643</v>
      </c>
      <c r="H708">
        <v>9.8599999999999993E-2</v>
      </c>
      <c r="I708">
        <v>4648.4110000000001</v>
      </c>
      <c r="J708">
        <v>6207.2870000000003</v>
      </c>
    </row>
    <row r="709" spans="1:10">
      <c r="A709">
        <v>122</v>
      </c>
      <c r="B709">
        <v>9</v>
      </c>
      <c r="C709" t="s">
        <v>105</v>
      </c>
      <c r="D709">
        <v>-33.923306221808701</v>
      </c>
      <c r="E709">
        <v>18.842857517873199</v>
      </c>
      <c r="F709">
        <v>6.5750000000000003E-2</v>
      </c>
      <c r="G709">
        <v>0.1643</v>
      </c>
      <c r="H709">
        <v>9.8599999999999993E-2</v>
      </c>
      <c r="I709">
        <v>4141.95</v>
      </c>
      <c r="J709">
        <v>5700.8270000000002</v>
      </c>
    </row>
    <row r="710" spans="1:10">
      <c r="A710">
        <v>123</v>
      </c>
      <c r="B710">
        <v>9</v>
      </c>
      <c r="C710" t="s">
        <v>105</v>
      </c>
      <c r="D710">
        <v>-33.920279190476698</v>
      </c>
      <c r="E710">
        <v>18.842060150387201</v>
      </c>
      <c r="F710">
        <v>6.5750000000000003E-2</v>
      </c>
      <c r="G710">
        <v>0.1643</v>
      </c>
      <c r="H710">
        <v>9.8599999999999993E-2</v>
      </c>
      <c r="I710">
        <v>4872.6139999999996</v>
      </c>
      <c r="J710">
        <v>6142.7430000000004</v>
      </c>
    </row>
    <row r="711" spans="1:10">
      <c r="A711">
        <v>124</v>
      </c>
      <c r="B711">
        <v>9</v>
      </c>
      <c r="C711" t="s">
        <v>105</v>
      </c>
      <c r="D711">
        <v>-33.926884867930198</v>
      </c>
      <c r="E711">
        <v>18.8412665693074</v>
      </c>
      <c r="F711">
        <v>6.5750000000000003E-2</v>
      </c>
      <c r="G711">
        <v>0.1643</v>
      </c>
      <c r="H711">
        <v>9.8599999999999993E-2</v>
      </c>
      <c r="I711">
        <v>4781.4660000000003</v>
      </c>
      <c r="J711">
        <v>6340.3429999999998</v>
      </c>
    </row>
    <row r="712" spans="1:10">
      <c r="A712">
        <v>125</v>
      </c>
      <c r="B712">
        <v>9</v>
      </c>
      <c r="C712" t="s">
        <v>105</v>
      </c>
      <c r="D712">
        <v>-33.9231118588024</v>
      </c>
      <c r="E712">
        <v>18.8377557971715</v>
      </c>
      <c r="F712">
        <v>6.5750000000000003E-2</v>
      </c>
      <c r="G712">
        <v>0.1643</v>
      </c>
      <c r="H712">
        <v>9.8599999999999993E-2</v>
      </c>
      <c r="I712">
        <v>4895.6030000000001</v>
      </c>
      <c r="J712">
        <v>6454.48</v>
      </c>
    </row>
    <row r="713" spans="1:10">
      <c r="A713">
        <v>126</v>
      </c>
      <c r="B713">
        <v>9</v>
      </c>
      <c r="C713" t="s">
        <v>105</v>
      </c>
      <c r="D713">
        <v>-33.919938270097902</v>
      </c>
      <c r="E713">
        <v>18.838387848511498</v>
      </c>
      <c r="F713">
        <v>6.5750000000000003E-2</v>
      </c>
      <c r="G713">
        <v>0.1643</v>
      </c>
      <c r="H713">
        <v>9.8599999999999993E-2</v>
      </c>
      <c r="I713">
        <v>4873.0050000000001</v>
      </c>
      <c r="J713">
        <v>6431.8819999999996</v>
      </c>
    </row>
    <row r="714" spans="1:10">
      <c r="A714">
        <v>127</v>
      </c>
      <c r="B714">
        <v>9</v>
      </c>
      <c r="C714" t="s">
        <v>105</v>
      </c>
      <c r="D714">
        <v>-33.927046243433701</v>
      </c>
      <c r="E714">
        <v>18.838905323318102</v>
      </c>
      <c r="F714">
        <v>6.5750000000000003E-2</v>
      </c>
      <c r="G714">
        <v>0.1643</v>
      </c>
      <c r="H714">
        <v>9.8599999999999993E-2</v>
      </c>
      <c r="I714">
        <v>5978.6509999999998</v>
      </c>
      <c r="J714">
        <v>3489.6590000000001</v>
      </c>
    </row>
    <row r="715" spans="1:10">
      <c r="A715">
        <v>128</v>
      </c>
      <c r="B715">
        <v>9</v>
      </c>
      <c r="C715" t="s">
        <v>105</v>
      </c>
      <c r="D715">
        <v>-33.924334931120903</v>
      </c>
      <c r="E715">
        <v>18.837559674128698</v>
      </c>
      <c r="F715">
        <v>6.5750000000000003E-2</v>
      </c>
      <c r="G715">
        <v>0.1643</v>
      </c>
      <c r="H715">
        <v>9.8599999999999993E-2</v>
      </c>
      <c r="I715">
        <v>4927.5169999999998</v>
      </c>
      <c r="J715">
        <v>6486.3940000000002</v>
      </c>
    </row>
    <row r="716" spans="1:10">
      <c r="A716">
        <v>129</v>
      </c>
      <c r="B716">
        <v>9</v>
      </c>
      <c r="C716" t="s">
        <v>105</v>
      </c>
      <c r="D716">
        <v>-33.924342978922297</v>
      </c>
      <c r="E716">
        <v>18.838693806020299</v>
      </c>
      <c r="F716">
        <v>6.5750000000000003E-2</v>
      </c>
      <c r="G716">
        <v>0.1643</v>
      </c>
      <c r="H716">
        <v>9.8599999999999993E-2</v>
      </c>
      <c r="I716">
        <v>4766.732</v>
      </c>
      <c r="J716">
        <v>6325.6090000000004</v>
      </c>
    </row>
    <row r="717" spans="1:10">
      <c r="A717">
        <v>130</v>
      </c>
      <c r="B717">
        <v>9</v>
      </c>
      <c r="C717" t="s">
        <v>105</v>
      </c>
      <c r="D717">
        <v>-33.919674771402804</v>
      </c>
      <c r="E717">
        <v>18.839182956157899</v>
      </c>
      <c r="F717">
        <v>6.5750000000000003E-2</v>
      </c>
      <c r="G717">
        <v>0.1643</v>
      </c>
      <c r="H717">
        <v>9.8599999999999993E-2</v>
      </c>
      <c r="I717">
        <v>5153.5680000000002</v>
      </c>
      <c r="J717">
        <v>6396.0280000000002</v>
      </c>
    </row>
    <row r="718" spans="1:10">
      <c r="A718">
        <v>131</v>
      </c>
      <c r="B718">
        <v>9</v>
      </c>
      <c r="C718" t="s">
        <v>105</v>
      </c>
      <c r="D718">
        <v>-33.924110404604498</v>
      </c>
      <c r="E718">
        <v>18.844852641179099</v>
      </c>
      <c r="F718">
        <v>6.5750000000000003E-2</v>
      </c>
      <c r="G718">
        <v>0.1643</v>
      </c>
      <c r="H718">
        <v>9.8599999999999993E-2</v>
      </c>
      <c r="I718">
        <v>3898.4949999999999</v>
      </c>
      <c r="J718">
        <v>5457.3720000000003</v>
      </c>
    </row>
    <row r="719" spans="1:10">
      <c r="A719">
        <v>132</v>
      </c>
      <c r="B719">
        <v>9</v>
      </c>
      <c r="C719" t="s">
        <v>105</v>
      </c>
      <c r="D719">
        <v>-33.9255475542368</v>
      </c>
      <c r="E719">
        <v>18.8395758735392</v>
      </c>
      <c r="F719">
        <v>6.5750000000000003E-2</v>
      </c>
      <c r="G719">
        <v>0.1643</v>
      </c>
      <c r="H719">
        <v>9.8599999999999993E-2</v>
      </c>
      <c r="I719">
        <v>4811.835</v>
      </c>
      <c r="J719">
        <v>6370.7120000000004</v>
      </c>
    </row>
    <row r="720" spans="1:10">
      <c r="A720">
        <v>133</v>
      </c>
      <c r="B720">
        <v>9</v>
      </c>
      <c r="C720" t="s">
        <v>105</v>
      </c>
      <c r="D720">
        <v>-33.925594104933602</v>
      </c>
      <c r="E720">
        <v>18.8423218158396</v>
      </c>
      <c r="F720">
        <v>6.5750000000000003E-2</v>
      </c>
      <c r="G720">
        <v>0.1643</v>
      </c>
      <c r="H720">
        <v>9.8599999999999993E-2</v>
      </c>
      <c r="I720">
        <v>4164.2240000000002</v>
      </c>
      <c r="J720">
        <v>5723.1009999999997</v>
      </c>
    </row>
    <row r="721" spans="1:10">
      <c r="A721">
        <v>134</v>
      </c>
      <c r="B721">
        <v>9</v>
      </c>
      <c r="C721" t="s">
        <v>105</v>
      </c>
      <c r="D721">
        <v>-33.926823618782898</v>
      </c>
      <c r="E721">
        <v>18.839094573586401</v>
      </c>
      <c r="F721">
        <v>6.5750000000000003E-2</v>
      </c>
      <c r="G721">
        <v>0.1643</v>
      </c>
      <c r="H721">
        <v>9.8599999999999993E-2</v>
      </c>
      <c r="I721">
        <v>6008.6210000000001</v>
      </c>
      <c r="J721">
        <v>3519.6289999999999</v>
      </c>
    </row>
    <row r="722" spans="1:10">
      <c r="A722">
        <v>135</v>
      </c>
      <c r="B722">
        <v>9</v>
      </c>
      <c r="C722" t="s">
        <v>105</v>
      </c>
      <c r="D722">
        <v>-33.924501414208699</v>
      </c>
      <c r="E722">
        <v>18.8365239282784</v>
      </c>
      <c r="F722">
        <v>6.5750000000000003E-2</v>
      </c>
      <c r="G722">
        <v>0.1643</v>
      </c>
      <c r="H722">
        <v>9.8599999999999993E-2</v>
      </c>
      <c r="I722">
        <v>4988.4189999999999</v>
      </c>
      <c r="J722">
        <v>6547.2960000000003</v>
      </c>
    </row>
    <row r="723" spans="1:10">
      <c r="A723">
        <v>136</v>
      </c>
      <c r="B723">
        <v>9</v>
      </c>
      <c r="C723" t="s">
        <v>105</v>
      </c>
      <c r="D723">
        <v>-33.920507236094103</v>
      </c>
      <c r="E723">
        <v>18.8360794648518</v>
      </c>
      <c r="F723">
        <v>6.5750000000000003E-2</v>
      </c>
      <c r="G723">
        <v>0.1643</v>
      </c>
      <c r="H723">
        <v>9.8599999999999993E-2</v>
      </c>
      <c r="I723">
        <v>4993.5870000000004</v>
      </c>
      <c r="J723">
        <v>6552.4639999999999</v>
      </c>
    </row>
    <row r="724" spans="1:10">
      <c r="A724">
        <v>137</v>
      </c>
      <c r="B724">
        <v>9</v>
      </c>
      <c r="C724" t="s">
        <v>105</v>
      </c>
      <c r="D724">
        <v>-33.924981201170702</v>
      </c>
      <c r="E724">
        <v>18.843795772311299</v>
      </c>
      <c r="F724">
        <v>6.5750000000000003E-2</v>
      </c>
      <c r="G724">
        <v>0.1643</v>
      </c>
      <c r="H724">
        <v>9.8599999999999993E-2</v>
      </c>
      <c r="I724">
        <v>3985.3409999999999</v>
      </c>
      <c r="J724">
        <v>5544.2179999999998</v>
      </c>
    </row>
    <row r="725" spans="1:10">
      <c r="A725">
        <v>138</v>
      </c>
      <c r="B725">
        <v>9</v>
      </c>
      <c r="C725" t="s">
        <v>105</v>
      </c>
      <c r="D725">
        <v>-33.925102899284298</v>
      </c>
      <c r="E725">
        <v>18.838749176232199</v>
      </c>
      <c r="F725">
        <v>6.5750000000000003E-2</v>
      </c>
      <c r="G725">
        <v>0.1643</v>
      </c>
      <c r="H725">
        <v>9.8599999999999993E-2</v>
      </c>
      <c r="I725">
        <v>4786.308</v>
      </c>
      <c r="J725">
        <v>6345.1850000000004</v>
      </c>
    </row>
    <row r="726" spans="1:10">
      <c r="A726">
        <v>139</v>
      </c>
      <c r="B726">
        <v>9</v>
      </c>
      <c r="C726" t="s">
        <v>105</v>
      </c>
      <c r="D726">
        <v>-33.919979244188099</v>
      </c>
      <c r="E726">
        <v>18.839985811560101</v>
      </c>
      <c r="F726">
        <v>6.5750000000000003E-2</v>
      </c>
      <c r="G726">
        <v>0.1643</v>
      </c>
      <c r="H726">
        <v>9.8599999999999993E-2</v>
      </c>
      <c r="I726">
        <v>4741.741</v>
      </c>
      <c r="J726">
        <v>6300.6180000000004</v>
      </c>
    </row>
    <row r="727" spans="1:10">
      <c r="A727">
        <v>140</v>
      </c>
      <c r="B727">
        <v>9</v>
      </c>
      <c r="C727" t="s">
        <v>105</v>
      </c>
      <c r="D727">
        <v>-33.926104861140303</v>
      </c>
      <c r="E727">
        <v>18.840486748667299</v>
      </c>
      <c r="F727">
        <v>6.5750000000000003E-2</v>
      </c>
      <c r="G727">
        <v>0.1643</v>
      </c>
      <c r="H727">
        <v>9.8599999999999993E-2</v>
      </c>
      <c r="I727">
        <v>4762.8869999999997</v>
      </c>
      <c r="J727">
        <v>6321.7640000000001</v>
      </c>
    </row>
    <row r="728" spans="1:10">
      <c r="A728">
        <v>141</v>
      </c>
      <c r="B728">
        <v>9</v>
      </c>
      <c r="C728" t="s">
        <v>105</v>
      </c>
      <c r="D728">
        <v>-33.919509508669698</v>
      </c>
      <c r="E728">
        <v>18.840468357794698</v>
      </c>
      <c r="F728">
        <v>6.5750000000000003E-2</v>
      </c>
      <c r="G728">
        <v>0.1643</v>
      </c>
      <c r="H728">
        <v>9.8599999999999993E-2</v>
      </c>
      <c r="I728">
        <v>5031.5969999999998</v>
      </c>
      <c r="J728">
        <v>6310.1379999999999</v>
      </c>
    </row>
    <row r="729" spans="1:10">
      <c r="A729">
        <v>142</v>
      </c>
      <c r="B729">
        <v>9</v>
      </c>
      <c r="C729" t="s">
        <v>105</v>
      </c>
      <c r="D729">
        <v>-33.919320230917698</v>
      </c>
      <c r="E729">
        <v>18.839535132040901</v>
      </c>
      <c r="F729">
        <v>6.5750000000000003E-2</v>
      </c>
      <c r="G729">
        <v>0.1643</v>
      </c>
      <c r="H729">
        <v>9.8599999999999993E-2</v>
      </c>
      <c r="I729">
        <v>5072.8819999999996</v>
      </c>
      <c r="J729">
        <v>6429.8270000000002</v>
      </c>
    </row>
    <row r="730" spans="1:10">
      <c r="A730">
        <v>143</v>
      </c>
      <c r="B730">
        <v>9</v>
      </c>
      <c r="C730" t="s">
        <v>105</v>
      </c>
      <c r="D730">
        <v>-33.922241641496598</v>
      </c>
      <c r="E730">
        <v>18.842547779024599</v>
      </c>
      <c r="F730">
        <v>6.5750000000000003E-2</v>
      </c>
      <c r="G730">
        <v>0.1643</v>
      </c>
      <c r="H730">
        <v>9.8599999999999993E-2</v>
      </c>
      <c r="I730">
        <v>4301.3519999999999</v>
      </c>
      <c r="J730">
        <v>5860.2290000000003</v>
      </c>
    </row>
    <row r="731" spans="1:10">
      <c r="A731">
        <v>144</v>
      </c>
      <c r="B731">
        <v>9</v>
      </c>
      <c r="C731" t="s">
        <v>105</v>
      </c>
      <c r="D731">
        <v>-33.926635943801998</v>
      </c>
      <c r="E731">
        <v>18.844101558338799</v>
      </c>
      <c r="F731">
        <v>6.5750000000000003E-2</v>
      </c>
      <c r="G731">
        <v>0.1643</v>
      </c>
      <c r="H731">
        <v>9.8599999999999993E-2</v>
      </c>
      <c r="I731">
        <v>4094.0160000000001</v>
      </c>
      <c r="J731">
        <v>5652.893</v>
      </c>
    </row>
    <row r="732" spans="1:10">
      <c r="A732">
        <v>145</v>
      </c>
      <c r="B732">
        <v>9</v>
      </c>
      <c r="C732" t="s">
        <v>105</v>
      </c>
      <c r="D732">
        <v>-33.921824993225101</v>
      </c>
      <c r="E732">
        <v>18.843508553906201</v>
      </c>
      <c r="F732">
        <v>6.5750000000000003E-2</v>
      </c>
      <c r="G732">
        <v>0.1643</v>
      </c>
      <c r="H732">
        <v>9.8599999999999993E-2</v>
      </c>
      <c r="I732">
        <v>4615.6850000000004</v>
      </c>
      <c r="J732">
        <v>5902.4269999999997</v>
      </c>
    </row>
    <row r="733" spans="1:10">
      <c r="A733">
        <v>146</v>
      </c>
      <c r="B733">
        <v>9</v>
      </c>
      <c r="C733" t="s">
        <v>105</v>
      </c>
      <c r="D733">
        <v>-33.920219913888502</v>
      </c>
      <c r="E733">
        <v>18.8416528587077</v>
      </c>
      <c r="F733">
        <v>6.5750000000000003E-2</v>
      </c>
      <c r="G733">
        <v>0.1643</v>
      </c>
      <c r="H733">
        <v>9.8599999999999993E-2</v>
      </c>
      <c r="I733">
        <v>4903.47</v>
      </c>
      <c r="J733">
        <v>6240.2579999999998</v>
      </c>
    </row>
    <row r="734" spans="1:10">
      <c r="A734">
        <v>147</v>
      </c>
      <c r="B734">
        <v>9</v>
      </c>
      <c r="C734" t="s">
        <v>105</v>
      </c>
      <c r="D734">
        <v>-33.926509481025597</v>
      </c>
      <c r="E734">
        <v>18.838639495026801</v>
      </c>
      <c r="F734">
        <v>6.5750000000000003E-2</v>
      </c>
      <c r="G734">
        <v>0.1643</v>
      </c>
      <c r="H734">
        <v>9.8599999999999993E-2</v>
      </c>
      <c r="I734">
        <v>6004.9870000000001</v>
      </c>
      <c r="J734">
        <v>3515.9949999999999</v>
      </c>
    </row>
    <row r="735" spans="1:10">
      <c r="A735">
        <v>148</v>
      </c>
      <c r="B735">
        <v>9</v>
      </c>
      <c r="C735" t="s">
        <v>105</v>
      </c>
      <c r="D735">
        <v>-33.921806685992003</v>
      </c>
      <c r="E735">
        <v>18.837866297122801</v>
      </c>
      <c r="F735">
        <v>6.5750000000000003E-2</v>
      </c>
      <c r="G735">
        <v>0.1643</v>
      </c>
      <c r="H735">
        <v>9.8599999999999993E-2</v>
      </c>
      <c r="I735">
        <v>4746.0749999999998</v>
      </c>
      <c r="J735">
        <v>6304.951</v>
      </c>
    </row>
    <row r="736" spans="1:10">
      <c r="A736">
        <v>149</v>
      </c>
      <c r="B736">
        <v>9</v>
      </c>
      <c r="C736" t="s">
        <v>105</v>
      </c>
      <c r="D736">
        <v>-33.921123605409598</v>
      </c>
      <c r="E736">
        <v>18.839132960745001</v>
      </c>
      <c r="F736">
        <v>6.5750000000000003E-2</v>
      </c>
      <c r="G736">
        <v>0.1643</v>
      </c>
      <c r="H736">
        <v>9.8599999999999993E-2</v>
      </c>
      <c r="I736">
        <v>4800.625</v>
      </c>
      <c r="J736">
        <v>6359.5020000000004</v>
      </c>
    </row>
    <row r="737" spans="1:10">
      <c r="A737">
        <v>150</v>
      </c>
      <c r="B737">
        <v>9</v>
      </c>
      <c r="C737" t="s">
        <v>105</v>
      </c>
      <c r="D737">
        <v>-33.923977894484601</v>
      </c>
      <c r="E737">
        <v>18.841782990096799</v>
      </c>
      <c r="F737">
        <v>6.5750000000000003E-2</v>
      </c>
      <c r="G737">
        <v>0.1643</v>
      </c>
      <c r="H737">
        <v>9.8599999999999993E-2</v>
      </c>
      <c r="I737">
        <v>4589.5969999999998</v>
      </c>
      <c r="J737">
        <v>6148.473</v>
      </c>
    </row>
    <row r="738" spans="1:10">
      <c r="A738">
        <v>151</v>
      </c>
      <c r="B738">
        <v>9</v>
      </c>
      <c r="C738" t="s">
        <v>105</v>
      </c>
      <c r="D738">
        <v>-33.920249932351503</v>
      </c>
      <c r="E738">
        <v>18.836412374637501</v>
      </c>
      <c r="F738">
        <v>6.5750000000000003E-2</v>
      </c>
      <c r="G738">
        <v>0.1643</v>
      </c>
      <c r="H738">
        <v>9.8599999999999993E-2</v>
      </c>
      <c r="I738">
        <v>4952.223</v>
      </c>
      <c r="J738">
        <v>6511.1</v>
      </c>
    </row>
    <row r="739" spans="1:10">
      <c r="A739">
        <v>152</v>
      </c>
      <c r="B739">
        <v>9</v>
      </c>
      <c r="C739" t="s">
        <v>105</v>
      </c>
      <c r="D739">
        <v>-33.9198878470091</v>
      </c>
      <c r="E739">
        <v>18.844843482159899</v>
      </c>
      <c r="F739">
        <v>6.5750000000000003E-2</v>
      </c>
      <c r="G739">
        <v>0.1643</v>
      </c>
      <c r="H739">
        <v>9.8599999999999993E-2</v>
      </c>
      <c r="I739">
        <v>4460.9979999999996</v>
      </c>
      <c r="J739">
        <v>6378.5389999999998</v>
      </c>
    </row>
    <row r="740" spans="1:10">
      <c r="A740">
        <v>153</v>
      </c>
      <c r="B740">
        <v>9</v>
      </c>
      <c r="C740" t="s">
        <v>105</v>
      </c>
      <c r="D740">
        <v>-33.926818353563597</v>
      </c>
      <c r="E740">
        <v>18.8372438756113</v>
      </c>
      <c r="F740">
        <v>6.5750000000000003E-2</v>
      </c>
      <c r="G740">
        <v>0.1643</v>
      </c>
      <c r="H740">
        <v>9.8599999999999993E-2</v>
      </c>
      <c r="I740">
        <v>5997.6030000000001</v>
      </c>
      <c r="J740">
        <v>3508.61</v>
      </c>
    </row>
    <row r="741" spans="1:10">
      <c r="A741">
        <v>154</v>
      </c>
      <c r="B741">
        <v>9</v>
      </c>
      <c r="C741" t="s">
        <v>105</v>
      </c>
      <c r="D741">
        <v>-33.921984540264901</v>
      </c>
      <c r="E741">
        <v>18.843707548990899</v>
      </c>
      <c r="F741">
        <v>6.5750000000000003E-2</v>
      </c>
      <c r="G741">
        <v>0.1643</v>
      </c>
      <c r="H741">
        <v>9.8599999999999993E-2</v>
      </c>
      <c r="I741">
        <v>4631.18</v>
      </c>
      <c r="J741">
        <v>5913.9319999999998</v>
      </c>
    </row>
    <row r="742" spans="1:10">
      <c r="A742">
        <v>155</v>
      </c>
      <c r="B742">
        <v>9</v>
      </c>
      <c r="C742" t="s">
        <v>105</v>
      </c>
      <c r="D742">
        <v>-33.9251574387144</v>
      </c>
      <c r="E742">
        <v>18.838400415411499</v>
      </c>
      <c r="F742">
        <v>6.5750000000000003E-2</v>
      </c>
      <c r="G742">
        <v>0.1643</v>
      </c>
      <c r="H742">
        <v>9.8599999999999993E-2</v>
      </c>
      <c r="I742">
        <v>4810.1790000000001</v>
      </c>
      <c r="J742">
        <v>6369.0559999999996</v>
      </c>
    </row>
    <row r="743" spans="1:10">
      <c r="A743">
        <v>156</v>
      </c>
      <c r="B743">
        <v>9</v>
      </c>
      <c r="C743" t="s">
        <v>105</v>
      </c>
      <c r="D743">
        <v>-33.919576424827</v>
      </c>
      <c r="E743">
        <v>18.843412796540498</v>
      </c>
      <c r="F743">
        <v>6.5750000000000003E-2</v>
      </c>
      <c r="G743">
        <v>0.1643</v>
      </c>
      <c r="H743">
        <v>9.8599999999999993E-2</v>
      </c>
      <c r="I743">
        <v>4610.83</v>
      </c>
      <c r="J743">
        <v>6528.3710000000001</v>
      </c>
    </row>
    <row r="744" spans="1:10">
      <c r="A744">
        <v>157</v>
      </c>
      <c r="B744">
        <v>9</v>
      </c>
      <c r="C744" t="s">
        <v>105</v>
      </c>
      <c r="D744">
        <v>-33.924684189102102</v>
      </c>
      <c r="E744">
        <v>18.8430091277095</v>
      </c>
      <c r="F744">
        <v>6.5750000000000003E-2</v>
      </c>
      <c r="G744">
        <v>0.1643</v>
      </c>
      <c r="H744">
        <v>9.8599999999999993E-2</v>
      </c>
      <c r="I744">
        <v>4648.4110000000001</v>
      </c>
      <c r="J744">
        <v>6207.2870000000003</v>
      </c>
    </row>
    <row r="745" spans="1:10">
      <c r="A745">
        <v>158</v>
      </c>
      <c r="B745">
        <v>9</v>
      </c>
      <c r="C745" t="s">
        <v>105</v>
      </c>
      <c r="D745">
        <v>-33.921115228614703</v>
      </c>
      <c r="E745">
        <v>18.84187912849</v>
      </c>
      <c r="F745">
        <v>6.5750000000000003E-2</v>
      </c>
      <c r="G745">
        <v>0.1643</v>
      </c>
      <c r="H745">
        <v>9.8599999999999993E-2</v>
      </c>
      <c r="I745">
        <v>4487.3720000000003</v>
      </c>
      <c r="J745">
        <v>6046.2489999999998</v>
      </c>
    </row>
    <row r="746" spans="1:10">
      <c r="A746">
        <v>159</v>
      </c>
      <c r="B746">
        <v>9</v>
      </c>
      <c r="C746" t="s">
        <v>105</v>
      </c>
      <c r="D746">
        <v>-33.925872508875898</v>
      </c>
      <c r="E746">
        <v>18.836245285835499</v>
      </c>
      <c r="F746">
        <v>6.5750000000000003E-2</v>
      </c>
      <c r="G746">
        <v>0.1643</v>
      </c>
      <c r="H746">
        <v>9.8599999999999993E-2</v>
      </c>
      <c r="I746">
        <v>6068.7089999999998</v>
      </c>
      <c r="J746">
        <v>3579.7170000000001</v>
      </c>
    </row>
    <row r="747" spans="1:10">
      <c r="A747">
        <v>160</v>
      </c>
      <c r="B747">
        <v>9</v>
      </c>
      <c r="C747" t="s">
        <v>105</v>
      </c>
      <c r="D747">
        <v>-33.924125151900597</v>
      </c>
      <c r="E747">
        <v>18.843438650186101</v>
      </c>
      <c r="F747">
        <v>6.5750000000000003E-2</v>
      </c>
      <c r="G747">
        <v>0.1643</v>
      </c>
      <c r="H747">
        <v>9.8599999999999993E-2</v>
      </c>
      <c r="I747">
        <v>4085.6759999999999</v>
      </c>
      <c r="J747">
        <v>5644.5529999999999</v>
      </c>
    </row>
    <row r="748" spans="1:10">
      <c r="A748">
        <v>161</v>
      </c>
      <c r="B748">
        <v>9</v>
      </c>
      <c r="C748" t="s">
        <v>105</v>
      </c>
      <c r="D748">
        <v>-33.9236807039646</v>
      </c>
      <c r="E748">
        <v>18.844728671416199</v>
      </c>
      <c r="F748">
        <v>6.5750000000000003E-2</v>
      </c>
      <c r="G748">
        <v>0.1643</v>
      </c>
      <c r="H748">
        <v>9.8599999999999993E-2</v>
      </c>
      <c r="I748">
        <v>4025.8989999999999</v>
      </c>
      <c r="J748">
        <v>5584.7759999999998</v>
      </c>
    </row>
    <row r="749" spans="1:10">
      <c r="A749">
        <v>162</v>
      </c>
      <c r="B749">
        <v>9</v>
      </c>
      <c r="C749" t="s">
        <v>105</v>
      </c>
      <c r="D749">
        <v>-33.923008748017601</v>
      </c>
      <c r="E749">
        <v>18.844613081331602</v>
      </c>
      <c r="F749">
        <v>6.5750000000000003E-2</v>
      </c>
      <c r="G749">
        <v>0.1643</v>
      </c>
      <c r="H749">
        <v>9.8599999999999993E-2</v>
      </c>
      <c r="I749">
        <v>3913.4169999999999</v>
      </c>
      <c r="J749">
        <v>5472.2929999999997</v>
      </c>
    </row>
    <row r="750" spans="1:10">
      <c r="A750">
        <v>163</v>
      </c>
      <c r="B750">
        <v>9</v>
      </c>
      <c r="C750" t="s">
        <v>105</v>
      </c>
      <c r="D750">
        <v>-33.926998320735201</v>
      </c>
      <c r="E750">
        <v>18.841710673566698</v>
      </c>
      <c r="F750">
        <v>6.5750000000000003E-2</v>
      </c>
      <c r="G750">
        <v>0.1643</v>
      </c>
      <c r="H750">
        <v>9.8599999999999993E-2</v>
      </c>
      <c r="I750">
        <v>4203.5469999999996</v>
      </c>
      <c r="J750">
        <v>5762.4229999999998</v>
      </c>
    </row>
    <row r="751" spans="1:10">
      <c r="A751">
        <v>164</v>
      </c>
      <c r="B751">
        <v>9</v>
      </c>
      <c r="C751" t="s">
        <v>105</v>
      </c>
      <c r="D751">
        <v>-33.920419800827403</v>
      </c>
      <c r="E751">
        <v>18.844263246961599</v>
      </c>
      <c r="F751">
        <v>6.5750000000000003E-2</v>
      </c>
      <c r="G751">
        <v>0.1643</v>
      </c>
      <c r="H751">
        <v>9.8599999999999993E-2</v>
      </c>
      <c r="I751">
        <v>4538.8620000000001</v>
      </c>
      <c r="J751">
        <v>6456.4030000000002</v>
      </c>
    </row>
    <row r="752" spans="1:10">
      <c r="A752">
        <v>165</v>
      </c>
      <c r="B752">
        <v>9</v>
      </c>
      <c r="C752" t="s">
        <v>105</v>
      </c>
      <c r="D752">
        <v>-33.923172640736503</v>
      </c>
      <c r="E752">
        <v>18.840212938446601</v>
      </c>
      <c r="F752">
        <v>6.5750000000000003E-2</v>
      </c>
      <c r="G752">
        <v>0.1643</v>
      </c>
      <c r="H752">
        <v>9.8599999999999993E-2</v>
      </c>
      <c r="I752">
        <v>4600.152</v>
      </c>
      <c r="J752">
        <v>6159.0290000000005</v>
      </c>
    </row>
    <row r="753" spans="1:10">
      <c r="A753">
        <v>166</v>
      </c>
      <c r="B753">
        <v>9</v>
      </c>
      <c r="C753" t="s">
        <v>105</v>
      </c>
      <c r="D753">
        <v>-33.9217535110418</v>
      </c>
      <c r="E753">
        <v>18.843557716402199</v>
      </c>
      <c r="F753">
        <v>6.5750000000000003E-2</v>
      </c>
      <c r="G753">
        <v>0.1643</v>
      </c>
      <c r="H753">
        <v>9.8599999999999993E-2</v>
      </c>
      <c r="I753">
        <v>4619.0969999999998</v>
      </c>
      <c r="J753">
        <v>5905.8389999999999</v>
      </c>
    </row>
    <row r="754" spans="1:10">
      <c r="A754">
        <v>167</v>
      </c>
      <c r="B754">
        <v>9</v>
      </c>
      <c r="C754" t="s">
        <v>105</v>
      </c>
      <c r="D754">
        <v>-33.920615137706598</v>
      </c>
      <c r="E754">
        <v>18.842860890483699</v>
      </c>
      <c r="F754">
        <v>6.5750000000000003E-2</v>
      </c>
      <c r="G754">
        <v>0.1643</v>
      </c>
      <c r="H754">
        <v>9.8599999999999993E-2</v>
      </c>
      <c r="I754">
        <v>4800.402</v>
      </c>
      <c r="J754">
        <v>6087.1440000000002</v>
      </c>
    </row>
    <row r="755" spans="1:10">
      <c r="A755">
        <v>168</v>
      </c>
      <c r="B755">
        <v>9</v>
      </c>
      <c r="C755" t="s">
        <v>105</v>
      </c>
      <c r="D755">
        <v>-33.922004305469699</v>
      </c>
      <c r="E755">
        <v>18.838990161132902</v>
      </c>
      <c r="F755">
        <v>6.5750000000000003E-2</v>
      </c>
      <c r="G755">
        <v>0.1643</v>
      </c>
      <c r="H755">
        <v>9.8599999999999993E-2</v>
      </c>
      <c r="I755">
        <v>4738.7839999999997</v>
      </c>
      <c r="J755">
        <v>6297.6610000000001</v>
      </c>
    </row>
    <row r="756" spans="1:10">
      <c r="A756">
        <v>169</v>
      </c>
      <c r="B756">
        <v>9</v>
      </c>
      <c r="C756" t="s">
        <v>105</v>
      </c>
      <c r="D756">
        <v>-33.923308216093901</v>
      </c>
      <c r="E756">
        <v>18.843887945275998</v>
      </c>
      <c r="F756">
        <v>6.5750000000000003E-2</v>
      </c>
      <c r="G756">
        <v>0.1643</v>
      </c>
      <c r="H756">
        <v>9.8599999999999993E-2</v>
      </c>
      <c r="I756">
        <v>4080.82</v>
      </c>
      <c r="J756">
        <v>5639.6970000000001</v>
      </c>
    </row>
    <row r="757" spans="1:10">
      <c r="A757">
        <v>170</v>
      </c>
      <c r="B757">
        <v>9</v>
      </c>
      <c r="C757" t="s">
        <v>105</v>
      </c>
      <c r="D757">
        <v>-33.923941580514999</v>
      </c>
      <c r="E757">
        <v>18.840567503037398</v>
      </c>
      <c r="F757">
        <v>6.5750000000000003E-2</v>
      </c>
      <c r="G757">
        <v>0.1643</v>
      </c>
      <c r="H757">
        <v>9.8599999999999993E-2</v>
      </c>
      <c r="I757">
        <v>4547.2820000000002</v>
      </c>
      <c r="J757">
        <v>6106.1589999999997</v>
      </c>
    </row>
    <row r="758" spans="1:10">
      <c r="A758">
        <v>171</v>
      </c>
      <c r="B758">
        <v>9</v>
      </c>
      <c r="C758" t="s">
        <v>105</v>
      </c>
      <c r="D758">
        <v>-33.926652538153299</v>
      </c>
      <c r="E758">
        <v>18.840978734348798</v>
      </c>
      <c r="F758">
        <v>6.5750000000000003E-2</v>
      </c>
      <c r="G758">
        <v>0.1643</v>
      </c>
      <c r="H758">
        <v>9.8599999999999993E-2</v>
      </c>
      <c r="I758">
        <v>4795.6570000000002</v>
      </c>
      <c r="J758">
        <v>6354.5339999999997</v>
      </c>
    </row>
    <row r="759" spans="1:10">
      <c r="A759">
        <v>172</v>
      </c>
      <c r="B759">
        <v>9</v>
      </c>
      <c r="C759" t="s">
        <v>105</v>
      </c>
      <c r="D759">
        <v>-33.921613692167902</v>
      </c>
      <c r="E759">
        <v>18.842833420585801</v>
      </c>
      <c r="F759">
        <v>6.5750000000000003E-2</v>
      </c>
      <c r="G759">
        <v>0.1643</v>
      </c>
      <c r="H759">
        <v>9.8599999999999993E-2</v>
      </c>
      <c r="I759">
        <v>4691.5780000000004</v>
      </c>
      <c r="J759">
        <v>5942.942</v>
      </c>
    </row>
    <row r="760" spans="1:10">
      <c r="A760">
        <v>173</v>
      </c>
      <c r="B760">
        <v>9</v>
      </c>
      <c r="C760" t="s">
        <v>105</v>
      </c>
      <c r="D760">
        <v>-33.9270752555041</v>
      </c>
      <c r="E760">
        <v>18.8435121611802</v>
      </c>
      <c r="F760">
        <v>6.5750000000000003E-2</v>
      </c>
      <c r="G760">
        <v>0.1643</v>
      </c>
      <c r="H760">
        <v>9.8599999999999993E-2</v>
      </c>
      <c r="I760">
        <v>4121.3890000000001</v>
      </c>
      <c r="J760">
        <v>5680.2659999999996</v>
      </c>
    </row>
    <row r="761" spans="1:10">
      <c r="A761">
        <v>174</v>
      </c>
      <c r="B761">
        <v>9</v>
      </c>
      <c r="C761" t="s">
        <v>105</v>
      </c>
      <c r="D761">
        <v>-33.923770507178297</v>
      </c>
      <c r="E761">
        <v>18.8386342847656</v>
      </c>
      <c r="F761">
        <v>6.5750000000000003E-2</v>
      </c>
      <c r="G761">
        <v>0.1643</v>
      </c>
      <c r="H761">
        <v>9.8599999999999993E-2</v>
      </c>
      <c r="I761">
        <v>4819.4129999999996</v>
      </c>
      <c r="J761">
        <v>6378.29</v>
      </c>
    </row>
    <row r="762" spans="1:10">
      <c r="A762">
        <v>175</v>
      </c>
      <c r="B762">
        <v>9</v>
      </c>
      <c r="C762" t="s">
        <v>105</v>
      </c>
      <c r="D762">
        <v>-33.9199994566385</v>
      </c>
      <c r="E762">
        <v>18.8393176108593</v>
      </c>
      <c r="F762">
        <v>6.5750000000000003E-2</v>
      </c>
      <c r="G762">
        <v>0.1643</v>
      </c>
      <c r="H762">
        <v>9.8599999999999993E-2</v>
      </c>
      <c r="I762">
        <v>4786.8729999999996</v>
      </c>
      <c r="J762">
        <v>6345.75</v>
      </c>
    </row>
    <row r="763" spans="1:10">
      <c r="A763">
        <v>176</v>
      </c>
      <c r="B763">
        <v>9</v>
      </c>
      <c r="C763" t="s">
        <v>105</v>
      </c>
      <c r="D763">
        <v>-33.923494824409403</v>
      </c>
      <c r="E763">
        <v>18.8432970976673</v>
      </c>
      <c r="F763">
        <v>6.5750000000000003E-2</v>
      </c>
      <c r="G763">
        <v>0.1643</v>
      </c>
      <c r="H763">
        <v>9.8599999999999993E-2</v>
      </c>
      <c r="I763">
        <v>4115.2719999999999</v>
      </c>
      <c r="J763">
        <v>5674.1490000000003</v>
      </c>
    </row>
    <row r="764" spans="1:10">
      <c r="A764">
        <v>177</v>
      </c>
      <c r="B764">
        <v>9</v>
      </c>
      <c r="C764" t="s">
        <v>105</v>
      </c>
      <c r="D764">
        <v>-33.922155141366602</v>
      </c>
      <c r="E764">
        <v>18.844300132060798</v>
      </c>
      <c r="F764">
        <v>6.5750000000000003E-2</v>
      </c>
      <c r="G764">
        <v>0.1643</v>
      </c>
      <c r="H764">
        <v>9.8599999999999993E-2</v>
      </c>
      <c r="I764">
        <v>4599.6189999999997</v>
      </c>
      <c r="J764">
        <v>5860.7920000000004</v>
      </c>
    </row>
    <row r="765" spans="1:10">
      <c r="A765">
        <v>178</v>
      </c>
      <c r="B765">
        <v>9</v>
      </c>
      <c r="C765" t="s">
        <v>105</v>
      </c>
      <c r="D765">
        <v>-33.924272981708398</v>
      </c>
      <c r="E765">
        <v>18.836881498058698</v>
      </c>
      <c r="F765">
        <v>6.5750000000000003E-2</v>
      </c>
      <c r="G765">
        <v>0.1643</v>
      </c>
      <c r="H765">
        <v>9.8599999999999993E-2</v>
      </c>
      <c r="I765">
        <v>4979.95</v>
      </c>
      <c r="J765">
        <v>6538.8270000000002</v>
      </c>
    </row>
    <row r="766" spans="1:10">
      <c r="A766">
        <v>179</v>
      </c>
      <c r="B766">
        <v>9</v>
      </c>
      <c r="C766" t="s">
        <v>105</v>
      </c>
      <c r="D766">
        <v>-33.925512037997201</v>
      </c>
      <c r="E766">
        <v>18.841472911515201</v>
      </c>
      <c r="F766">
        <v>6.5750000000000003E-2</v>
      </c>
      <c r="G766">
        <v>0.1643</v>
      </c>
      <c r="H766">
        <v>9.8599999999999993E-2</v>
      </c>
      <c r="I766">
        <v>4677.7160000000003</v>
      </c>
      <c r="J766">
        <v>6236.5929999999998</v>
      </c>
    </row>
    <row r="767" spans="1:10">
      <c r="A767">
        <v>180</v>
      </c>
      <c r="B767">
        <v>9</v>
      </c>
      <c r="C767" t="s">
        <v>105</v>
      </c>
      <c r="D767">
        <v>-33.9248349601841</v>
      </c>
      <c r="E767">
        <v>18.836650409835201</v>
      </c>
      <c r="F767">
        <v>6.5750000000000003E-2</v>
      </c>
      <c r="G767">
        <v>0.1643</v>
      </c>
      <c r="H767">
        <v>9.8599999999999993E-2</v>
      </c>
      <c r="I767">
        <v>4961.0739999999996</v>
      </c>
      <c r="J767">
        <v>6519.951</v>
      </c>
    </row>
    <row r="768" spans="1:10">
      <c r="A768">
        <v>181</v>
      </c>
      <c r="B768">
        <v>9</v>
      </c>
      <c r="C768" t="s">
        <v>105</v>
      </c>
      <c r="D768">
        <v>-33.925734572528199</v>
      </c>
      <c r="E768">
        <v>18.844877863168101</v>
      </c>
      <c r="F768">
        <v>6.5750000000000003E-2</v>
      </c>
      <c r="G768">
        <v>0.1643</v>
      </c>
      <c r="H768">
        <v>9.8599999999999993E-2</v>
      </c>
      <c r="I768">
        <v>3997.895</v>
      </c>
      <c r="J768">
        <v>5556.7719999999999</v>
      </c>
    </row>
    <row r="769" spans="1:10">
      <c r="A769">
        <v>182</v>
      </c>
      <c r="B769">
        <v>9</v>
      </c>
      <c r="C769" t="s">
        <v>105</v>
      </c>
      <c r="D769">
        <v>-33.9215142970383</v>
      </c>
      <c r="E769">
        <v>18.842956401188399</v>
      </c>
      <c r="F769">
        <v>6.5750000000000003E-2</v>
      </c>
      <c r="G769">
        <v>0.1643</v>
      </c>
      <c r="H769">
        <v>9.8599999999999993E-2</v>
      </c>
      <c r="I769">
        <v>4693.04</v>
      </c>
      <c r="J769">
        <v>5944.4030000000002</v>
      </c>
    </row>
    <row r="770" spans="1:10">
      <c r="A770">
        <v>183</v>
      </c>
      <c r="B770">
        <v>9</v>
      </c>
      <c r="C770" t="s">
        <v>105</v>
      </c>
      <c r="D770">
        <v>-33.920559303933103</v>
      </c>
      <c r="E770">
        <v>18.837147649756901</v>
      </c>
      <c r="F770">
        <v>6.5750000000000003E-2</v>
      </c>
      <c r="G770">
        <v>0.1643</v>
      </c>
      <c r="H770">
        <v>9.8599999999999993E-2</v>
      </c>
      <c r="I770">
        <v>4889.9620000000004</v>
      </c>
      <c r="J770">
        <v>6448.8389999999999</v>
      </c>
    </row>
    <row r="771" spans="1:10">
      <c r="A771">
        <v>184</v>
      </c>
      <c r="B771">
        <v>9</v>
      </c>
      <c r="C771" t="s">
        <v>105</v>
      </c>
      <c r="D771">
        <v>-33.921538121733001</v>
      </c>
      <c r="E771">
        <v>18.8395733250169</v>
      </c>
      <c r="F771">
        <v>6.5750000000000003E-2</v>
      </c>
      <c r="G771">
        <v>0.1643</v>
      </c>
      <c r="H771">
        <v>9.8599999999999993E-2</v>
      </c>
      <c r="I771">
        <v>4715.0820000000003</v>
      </c>
      <c r="J771">
        <v>6273.9589999999998</v>
      </c>
    </row>
    <row r="772" spans="1:10">
      <c r="A772">
        <v>185</v>
      </c>
      <c r="B772">
        <v>9</v>
      </c>
      <c r="C772" t="s">
        <v>105</v>
      </c>
      <c r="D772">
        <v>-33.9219951379471</v>
      </c>
      <c r="E772">
        <v>18.8384149593311</v>
      </c>
      <c r="F772">
        <v>6.5750000000000003E-2</v>
      </c>
      <c r="G772">
        <v>0.1643</v>
      </c>
      <c r="H772">
        <v>9.8599999999999993E-2</v>
      </c>
      <c r="I772">
        <v>4699.9260000000004</v>
      </c>
      <c r="J772">
        <v>6258.8019999999997</v>
      </c>
    </row>
    <row r="773" spans="1:10">
      <c r="A773">
        <v>186</v>
      </c>
      <c r="B773">
        <v>9</v>
      </c>
      <c r="C773" t="s">
        <v>105</v>
      </c>
      <c r="D773">
        <v>-33.926997625164802</v>
      </c>
      <c r="E773">
        <v>18.836145310341799</v>
      </c>
      <c r="F773">
        <v>6.5750000000000003E-2</v>
      </c>
      <c r="G773">
        <v>0.1643</v>
      </c>
      <c r="H773">
        <v>9.8599999999999993E-2</v>
      </c>
      <c r="I773">
        <v>5832.6570000000002</v>
      </c>
      <c r="J773">
        <v>3343.665</v>
      </c>
    </row>
    <row r="774" spans="1:10">
      <c r="A774">
        <v>187</v>
      </c>
      <c r="B774">
        <v>9</v>
      </c>
      <c r="C774" t="s">
        <v>105</v>
      </c>
      <c r="D774">
        <v>-33.921306631609298</v>
      </c>
      <c r="E774">
        <v>18.841987355436</v>
      </c>
      <c r="F774">
        <v>6.5750000000000003E-2</v>
      </c>
      <c r="G774">
        <v>0.1643</v>
      </c>
      <c r="H774">
        <v>9.8599999999999993E-2</v>
      </c>
      <c r="I774">
        <v>4452.57</v>
      </c>
      <c r="J774">
        <v>6011.4470000000001</v>
      </c>
    </row>
    <row r="775" spans="1:10">
      <c r="A775">
        <v>188</v>
      </c>
      <c r="B775">
        <v>9</v>
      </c>
      <c r="C775" t="s">
        <v>105</v>
      </c>
      <c r="D775">
        <v>-33.926469277512503</v>
      </c>
      <c r="E775">
        <v>18.8448576774373</v>
      </c>
      <c r="F775">
        <v>6.5750000000000003E-2</v>
      </c>
      <c r="G775">
        <v>0.1643</v>
      </c>
      <c r="H775">
        <v>9.8599999999999993E-2</v>
      </c>
      <c r="I775">
        <v>3995.9259999999999</v>
      </c>
      <c r="J775">
        <v>5554.8029999999999</v>
      </c>
    </row>
    <row r="776" spans="1:10">
      <c r="A776">
        <v>189</v>
      </c>
      <c r="B776">
        <v>9</v>
      </c>
      <c r="C776" t="s">
        <v>105</v>
      </c>
      <c r="D776">
        <v>-33.925920701258697</v>
      </c>
      <c r="E776">
        <v>18.843378522626899</v>
      </c>
      <c r="F776">
        <v>6.5750000000000003E-2</v>
      </c>
      <c r="G776">
        <v>0.1643</v>
      </c>
      <c r="H776">
        <v>9.8599999999999993E-2</v>
      </c>
      <c r="I776">
        <v>4105.3029999999999</v>
      </c>
      <c r="J776">
        <v>5664.18</v>
      </c>
    </row>
    <row r="777" spans="1:10">
      <c r="A777">
        <v>190</v>
      </c>
      <c r="B777">
        <v>9</v>
      </c>
      <c r="C777" t="s">
        <v>105</v>
      </c>
      <c r="D777">
        <v>-33.921357104490497</v>
      </c>
      <c r="E777">
        <v>18.836786842927701</v>
      </c>
      <c r="F777">
        <v>6.5750000000000003E-2</v>
      </c>
      <c r="G777">
        <v>0.1643</v>
      </c>
      <c r="H777">
        <v>9.8599999999999993E-2</v>
      </c>
      <c r="I777">
        <v>5105.1080000000002</v>
      </c>
      <c r="J777">
        <v>6663.9849999999997</v>
      </c>
    </row>
    <row r="778" spans="1:10">
      <c r="A778">
        <v>191</v>
      </c>
      <c r="B778">
        <v>9</v>
      </c>
      <c r="C778" t="s">
        <v>105</v>
      </c>
      <c r="D778">
        <v>-33.924057045827801</v>
      </c>
      <c r="E778">
        <v>18.844799226627899</v>
      </c>
      <c r="F778">
        <v>6.5750000000000003E-2</v>
      </c>
      <c r="G778">
        <v>0.1643</v>
      </c>
      <c r="H778">
        <v>9.8599999999999993E-2</v>
      </c>
      <c r="I778">
        <v>3895.8760000000002</v>
      </c>
      <c r="J778">
        <v>5454.7529999999997</v>
      </c>
    </row>
    <row r="779" spans="1:10">
      <c r="A779">
        <v>192</v>
      </c>
      <c r="B779">
        <v>9</v>
      </c>
      <c r="C779" t="s">
        <v>105</v>
      </c>
      <c r="D779">
        <v>-33.924926336550897</v>
      </c>
      <c r="E779">
        <v>18.841178789746198</v>
      </c>
      <c r="F779">
        <v>6.5750000000000003E-2</v>
      </c>
      <c r="G779">
        <v>0.1643</v>
      </c>
      <c r="H779">
        <v>9.8599999999999993E-2</v>
      </c>
      <c r="I779">
        <v>4622.1819999999998</v>
      </c>
      <c r="J779">
        <v>6181.0590000000002</v>
      </c>
    </row>
    <row r="780" spans="1:10">
      <c r="A780">
        <v>193</v>
      </c>
      <c r="B780">
        <v>9</v>
      </c>
      <c r="C780" t="s">
        <v>105</v>
      </c>
      <c r="D780">
        <v>-33.923942598899899</v>
      </c>
      <c r="E780">
        <v>18.8438938088828</v>
      </c>
      <c r="F780">
        <v>6.5750000000000003E-2</v>
      </c>
      <c r="G780">
        <v>0.1643</v>
      </c>
      <c r="H780">
        <v>9.8599999999999993E-2</v>
      </c>
      <c r="I780">
        <v>4024.97</v>
      </c>
      <c r="J780">
        <v>5583.8459999999995</v>
      </c>
    </row>
    <row r="781" spans="1:10">
      <c r="A781">
        <v>194</v>
      </c>
      <c r="B781">
        <v>9</v>
      </c>
      <c r="C781" t="s">
        <v>105</v>
      </c>
      <c r="D781">
        <v>-33.925458741770797</v>
      </c>
      <c r="E781">
        <v>18.837508168672599</v>
      </c>
      <c r="F781">
        <v>6.5750000000000003E-2</v>
      </c>
      <c r="G781">
        <v>0.1643</v>
      </c>
      <c r="H781">
        <v>9.8599999999999993E-2</v>
      </c>
      <c r="I781">
        <v>4850.9040000000005</v>
      </c>
      <c r="J781">
        <v>6409.7809999999999</v>
      </c>
    </row>
    <row r="782" spans="1:10">
      <c r="A782">
        <v>195</v>
      </c>
      <c r="B782">
        <v>9</v>
      </c>
      <c r="C782" t="s">
        <v>105</v>
      </c>
      <c r="D782">
        <v>-33.919450322257497</v>
      </c>
      <c r="E782">
        <v>18.844400538984502</v>
      </c>
      <c r="F782">
        <v>6.5750000000000003E-2</v>
      </c>
      <c r="G782">
        <v>0.1643</v>
      </c>
      <c r="H782">
        <v>9.8599999999999993E-2</v>
      </c>
      <c r="I782">
        <v>4483.9440000000004</v>
      </c>
      <c r="J782">
        <v>6401.4849999999997</v>
      </c>
    </row>
    <row r="783" spans="1:10">
      <c r="A783">
        <v>196</v>
      </c>
      <c r="B783">
        <v>9</v>
      </c>
      <c r="C783" t="s">
        <v>105</v>
      </c>
      <c r="D783">
        <v>-33.9217799564369</v>
      </c>
      <c r="E783">
        <v>18.8391526037604</v>
      </c>
      <c r="F783">
        <v>6.5750000000000003E-2</v>
      </c>
      <c r="G783">
        <v>0.1643</v>
      </c>
      <c r="H783">
        <v>9.8599999999999993E-2</v>
      </c>
      <c r="I783">
        <v>4647.7920000000004</v>
      </c>
      <c r="J783">
        <v>6206.6679999999997</v>
      </c>
    </row>
    <row r="784" spans="1:10">
      <c r="A784">
        <v>197</v>
      </c>
      <c r="B784">
        <v>9</v>
      </c>
      <c r="C784" t="s">
        <v>105</v>
      </c>
      <c r="D784">
        <v>-33.925062650552299</v>
      </c>
      <c r="E784">
        <v>18.839736640160499</v>
      </c>
      <c r="F784">
        <v>6.5750000000000003E-2</v>
      </c>
      <c r="G784">
        <v>0.1643</v>
      </c>
      <c r="H784">
        <v>9.8599999999999993E-2</v>
      </c>
      <c r="I784">
        <v>4689.6850000000004</v>
      </c>
      <c r="J784">
        <v>6248.5619999999999</v>
      </c>
    </row>
    <row r="785" spans="1:10">
      <c r="A785">
        <v>198</v>
      </c>
      <c r="B785">
        <v>9</v>
      </c>
      <c r="C785" t="s">
        <v>105</v>
      </c>
      <c r="D785">
        <v>-33.923589124830499</v>
      </c>
      <c r="E785">
        <v>18.8407592704244</v>
      </c>
      <c r="F785">
        <v>6.5750000000000003E-2</v>
      </c>
      <c r="G785">
        <v>0.1643</v>
      </c>
      <c r="H785">
        <v>9.8599999999999993E-2</v>
      </c>
      <c r="I785">
        <v>4531.723</v>
      </c>
      <c r="J785">
        <v>6090.5990000000002</v>
      </c>
    </row>
    <row r="786" spans="1:10">
      <c r="A786">
        <v>199</v>
      </c>
      <c r="B786">
        <v>9</v>
      </c>
      <c r="C786" t="s">
        <v>105</v>
      </c>
      <c r="D786">
        <v>-33.920119904723201</v>
      </c>
      <c r="E786">
        <v>18.8383013136194</v>
      </c>
      <c r="F786">
        <v>6.5750000000000003E-2</v>
      </c>
      <c r="G786">
        <v>0.1643</v>
      </c>
      <c r="H786">
        <v>9.8599999999999993E-2</v>
      </c>
      <c r="I786">
        <v>4882.6139999999996</v>
      </c>
      <c r="J786">
        <v>6441.49</v>
      </c>
    </row>
    <row r="787" spans="1:10">
      <c r="A787">
        <v>200</v>
      </c>
      <c r="B787">
        <v>9</v>
      </c>
      <c r="C787" t="s">
        <v>105</v>
      </c>
      <c r="D787">
        <v>-33.925841161694201</v>
      </c>
      <c r="E787">
        <v>18.837003318564701</v>
      </c>
      <c r="F787">
        <v>6.5750000000000003E-2</v>
      </c>
      <c r="G787">
        <v>0.1643</v>
      </c>
      <c r="H787">
        <v>9.8599999999999993E-2</v>
      </c>
      <c r="I787">
        <v>6093.8860000000004</v>
      </c>
      <c r="J787">
        <v>3604.8939999999998</v>
      </c>
    </row>
    <row r="788" spans="1:10">
      <c r="A788">
        <v>201</v>
      </c>
      <c r="B788">
        <v>9</v>
      </c>
      <c r="C788" t="s">
        <v>105</v>
      </c>
      <c r="D788">
        <v>-33.920493981254701</v>
      </c>
      <c r="E788">
        <v>18.841492577397499</v>
      </c>
      <c r="F788">
        <v>6.5750000000000003E-2</v>
      </c>
      <c r="G788">
        <v>0.1643</v>
      </c>
      <c r="H788">
        <v>9.8599999999999993E-2</v>
      </c>
      <c r="I788">
        <v>4900.598</v>
      </c>
      <c r="J788">
        <v>6170.7269999999999</v>
      </c>
    </row>
    <row r="789" spans="1:10">
      <c r="A789">
        <v>202</v>
      </c>
      <c r="B789">
        <v>9</v>
      </c>
      <c r="C789" t="s">
        <v>105</v>
      </c>
      <c r="D789">
        <v>-33.919891948234103</v>
      </c>
      <c r="E789">
        <v>18.838180209565898</v>
      </c>
      <c r="F789">
        <v>6.5750000000000003E-2</v>
      </c>
      <c r="G789">
        <v>0.1643</v>
      </c>
      <c r="H789">
        <v>9.8599999999999993E-2</v>
      </c>
      <c r="I789">
        <v>4892.4279999999999</v>
      </c>
      <c r="J789">
        <v>6451.3050000000003</v>
      </c>
    </row>
    <row r="790" spans="1:10">
      <c r="A790">
        <v>203</v>
      </c>
      <c r="B790">
        <v>9</v>
      </c>
      <c r="C790" t="s">
        <v>105</v>
      </c>
      <c r="D790">
        <v>-33.926567633662202</v>
      </c>
      <c r="E790">
        <v>18.838786243063499</v>
      </c>
      <c r="F790">
        <v>6.5750000000000003E-2</v>
      </c>
      <c r="G790">
        <v>0.1643</v>
      </c>
      <c r="H790">
        <v>9.8599999999999993E-2</v>
      </c>
      <c r="I790">
        <v>6009.6350000000002</v>
      </c>
      <c r="J790">
        <v>3520.643</v>
      </c>
    </row>
    <row r="791" spans="1:10">
      <c r="A791">
        <v>204</v>
      </c>
      <c r="B791">
        <v>9</v>
      </c>
      <c r="C791" t="s">
        <v>105</v>
      </c>
      <c r="D791">
        <v>-33.922936776732399</v>
      </c>
      <c r="E791">
        <v>18.836966536698299</v>
      </c>
      <c r="F791">
        <v>6.5750000000000003E-2</v>
      </c>
      <c r="G791">
        <v>0.1643</v>
      </c>
      <c r="H791">
        <v>9.8599999999999993E-2</v>
      </c>
      <c r="I791">
        <v>5029.8140000000003</v>
      </c>
      <c r="J791">
        <v>6588.6909999999998</v>
      </c>
    </row>
    <row r="792" spans="1:10">
      <c r="A792">
        <v>205</v>
      </c>
      <c r="B792">
        <v>9</v>
      </c>
      <c r="C792" t="s">
        <v>105</v>
      </c>
      <c r="D792">
        <v>-33.922099656897203</v>
      </c>
      <c r="E792">
        <v>18.841997849162802</v>
      </c>
      <c r="F792">
        <v>6.5750000000000003E-2</v>
      </c>
      <c r="G792">
        <v>0.1643</v>
      </c>
      <c r="H792">
        <v>9.8599999999999993E-2</v>
      </c>
      <c r="I792">
        <v>4370.0940000000001</v>
      </c>
      <c r="J792">
        <v>5928.9709999999995</v>
      </c>
    </row>
    <row r="793" spans="1:10">
      <c r="A793">
        <v>206</v>
      </c>
      <c r="B793">
        <v>9</v>
      </c>
      <c r="C793" t="s">
        <v>105</v>
      </c>
      <c r="D793">
        <v>-33.926092352676299</v>
      </c>
      <c r="E793">
        <v>18.842926402196699</v>
      </c>
      <c r="F793">
        <v>6.5750000000000003E-2</v>
      </c>
      <c r="G793">
        <v>0.1643</v>
      </c>
      <c r="H793">
        <v>9.8599999999999993E-2</v>
      </c>
      <c r="I793">
        <v>4153.7330000000002</v>
      </c>
      <c r="J793">
        <v>5712.61</v>
      </c>
    </row>
    <row r="794" spans="1:10">
      <c r="A794">
        <v>207</v>
      </c>
      <c r="B794">
        <v>9</v>
      </c>
      <c r="C794" t="s">
        <v>105</v>
      </c>
      <c r="D794">
        <v>-33.9223362876957</v>
      </c>
      <c r="E794">
        <v>18.8408308729718</v>
      </c>
      <c r="F794">
        <v>6.5750000000000003E-2</v>
      </c>
      <c r="G794">
        <v>0.1643</v>
      </c>
      <c r="H794">
        <v>9.8599999999999993E-2</v>
      </c>
      <c r="I794">
        <v>4569.2920000000004</v>
      </c>
      <c r="J794">
        <v>6128.1689999999999</v>
      </c>
    </row>
    <row r="795" spans="1:10">
      <c r="A795">
        <v>208</v>
      </c>
      <c r="B795">
        <v>9</v>
      </c>
      <c r="C795" t="s">
        <v>105</v>
      </c>
      <c r="D795">
        <v>-33.920852670717998</v>
      </c>
      <c r="E795">
        <v>18.8368629175663</v>
      </c>
      <c r="F795">
        <v>6.5750000000000003E-2</v>
      </c>
      <c r="G795">
        <v>0.1643</v>
      </c>
      <c r="H795">
        <v>9.8599999999999993E-2</v>
      </c>
      <c r="I795">
        <v>4887.4189999999999</v>
      </c>
      <c r="J795">
        <v>6446.2950000000001</v>
      </c>
    </row>
    <row r="796" spans="1:10">
      <c r="A796">
        <v>209</v>
      </c>
      <c r="B796">
        <v>9</v>
      </c>
      <c r="C796" t="s">
        <v>105</v>
      </c>
      <c r="D796">
        <v>-33.925189132564398</v>
      </c>
      <c r="E796">
        <v>18.839627038583298</v>
      </c>
      <c r="F796">
        <v>6.5750000000000003E-2</v>
      </c>
      <c r="G796">
        <v>0.1643</v>
      </c>
      <c r="H796">
        <v>9.8599999999999993E-2</v>
      </c>
      <c r="I796">
        <v>4706.8149999999996</v>
      </c>
      <c r="J796">
        <v>6265.692</v>
      </c>
    </row>
    <row r="797" spans="1:10">
      <c r="A797">
        <v>210</v>
      </c>
      <c r="B797">
        <v>9</v>
      </c>
      <c r="C797" t="s">
        <v>105</v>
      </c>
      <c r="D797">
        <v>-33.924069074610699</v>
      </c>
      <c r="E797">
        <v>18.837156901248399</v>
      </c>
      <c r="F797">
        <v>6.5750000000000003E-2</v>
      </c>
      <c r="G797">
        <v>0.1643</v>
      </c>
      <c r="H797">
        <v>9.8599999999999993E-2</v>
      </c>
      <c r="I797">
        <v>4975.4539999999997</v>
      </c>
      <c r="J797">
        <v>6534.3310000000001</v>
      </c>
    </row>
    <row r="798" spans="1:10">
      <c r="A798">
        <v>211</v>
      </c>
      <c r="B798">
        <v>9</v>
      </c>
      <c r="C798" t="s">
        <v>105</v>
      </c>
      <c r="D798">
        <v>-33.926199937904002</v>
      </c>
      <c r="E798">
        <v>18.844087044284102</v>
      </c>
      <c r="F798">
        <v>6.5750000000000003E-2</v>
      </c>
      <c r="G798">
        <v>0.1643</v>
      </c>
      <c r="H798">
        <v>9.8599999999999993E-2</v>
      </c>
      <c r="I798">
        <v>4071.1109999999999</v>
      </c>
      <c r="J798">
        <v>5629.9880000000003</v>
      </c>
    </row>
    <row r="799" spans="1:10">
      <c r="A799">
        <v>212</v>
      </c>
      <c r="B799">
        <v>9</v>
      </c>
      <c r="C799" t="s">
        <v>105</v>
      </c>
      <c r="D799">
        <v>-33.9196248138351</v>
      </c>
      <c r="E799">
        <v>18.836847339865901</v>
      </c>
      <c r="F799">
        <v>6.5750000000000003E-2</v>
      </c>
      <c r="G799">
        <v>0.1643</v>
      </c>
      <c r="H799">
        <v>9.8599999999999993E-2</v>
      </c>
      <c r="I799">
        <v>5333.2479999999996</v>
      </c>
      <c r="J799">
        <v>6607.3850000000002</v>
      </c>
    </row>
    <row r="800" spans="1:10">
      <c r="A800">
        <v>213</v>
      </c>
      <c r="B800">
        <v>9</v>
      </c>
      <c r="C800" t="s">
        <v>105</v>
      </c>
      <c r="D800">
        <v>-33.9263525120179</v>
      </c>
      <c r="E800">
        <v>18.837862528371598</v>
      </c>
      <c r="F800">
        <v>6.5750000000000003E-2</v>
      </c>
      <c r="G800">
        <v>0.1643</v>
      </c>
      <c r="H800">
        <v>9.8599999999999993E-2</v>
      </c>
      <c r="I800">
        <v>5998.85</v>
      </c>
      <c r="J800">
        <v>3509.857</v>
      </c>
    </row>
    <row r="801" spans="1:10">
      <c r="A801">
        <v>214</v>
      </c>
      <c r="B801">
        <v>9</v>
      </c>
      <c r="C801" t="s">
        <v>105</v>
      </c>
      <c r="D801">
        <v>-33.926034410543799</v>
      </c>
      <c r="E801">
        <v>18.843600687646902</v>
      </c>
      <c r="F801">
        <v>6.5750000000000003E-2</v>
      </c>
      <c r="G801">
        <v>0.1643</v>
      </c>
      <c r="H801">
        <v>9.8599999999999993E-2</v>
      </c>
      <c r="I801">
        <v>4094.0569999999998</v>
      </c>
      <c r="J801">
        <v>5652.9340000000002</v>
      </c>
    </row>
    <row r="802" spans="1:10">
      <c r="A802">
        <v>0</v>
      </c>
      <c r="B802">
        <v>10</v>
      </c>
      <c r="C802" t="s">
        <v>106</v>
      </c>
      <c r="D802">
        <v>-33.915899795700199</v>
      </c>
      <c r="E802">
        <v>18.8463766346282</v>
      </c>
      <c r="F802">
        <v>6.5750000000000003E-2</v>
      </c>
      <c r="G802">
        <v>0.1643</v>
      </c>
      <c r="H802">
        <v>9.8599999999999993E-2</v>
      </c>
      <c r="I802">
        <v>4264.3239999999996</v>
      </c>
      <c r="J802">
        <v>6181.8649999999998</v>
      </c>
    </row>
    <row r="803" spans="1:10">
      <c r="A803">
        <v>1</v>
      </c>
      <c r="B803">
        <v>10</v>
      </c>
      <c r="C803" t="s">
        <v>106</v>
      </c>
      <c r="D803">
        <v>-33.914932425173298</v>
      </c>
      <c r="E803">
        <v>18.845394250356399</v>
      </c>
      <c r="F803">
        <v>6.5750000000000003E-2</v>
      </c>
      <c r="G803">
        <v>0.1643</v>
      </c>
      <c r="H803">
        <v>9.8599999999999993E-2</v>
      </c>
      <c r="I803">
        <v>4800.9620000000004</v>
      </c>
      <c r="J803">
        <v>6718.5020000000004</v>
      </c>
    </row>
    <row r="804" spans="1:10">
      <c r="A804">
        <v>2</v>
      </c>
      <c r="B804">
        <v>10</v>
      </c>
      <c r="C804" t="s">
        <v>106</v>
      </c>
      <c r="D804">
        <v>-33.917973885397402</v>
      </c>
      <c r="E804">
        <v>18.846365283986799</v>
      </c>
      <c r="F804">
        <v>6.5750000000000003E-2</v>
      </c>
      <c r="G804">
        <v>0.1643</v>
      </c>
      <c r="H804">
        <v>9.8599999999999993E-2</v>
      </c>
      <c r="I804">
        <v>4237.116</v>
      </c>
      <c r="J804">
        <v>6154.6559999999999</v>
      </c>
    </row>
    <row r="805" spans="1:10">
      <c r="A805">
        <v>3</v>
      </c>
      <c r="B805">
        <v>10</v>
      </c>
      <c r="C805" t="s">
        <v>106</v>
      </c>
      <c r="D805">
        <v>-33.916495422209998</v>
      </c>
      <c r="E805">
        <v>18.845484053800998</v>
      </c>
      <c r="F805">
        <v>6.5750000000000003E-2</v>
      </c>
      <c r="G805">
        <v>0.1643</v>
      </c>
      <c r="H805">
        <v>9.8599999999999993E-2</v>
      </c>
      <c r="I805">
        <v>4315.6610000000001</v>
      </c>
      <c r="J805">
        <v>6233.2020000000002</v>
      </c>
    </row>
    <row r="806" spans="1:10">
      <c r="A806">
        <v>4</v>
      </c>
      <c r="B806">
        <v>10</v>
      </c>
      <c r="C806" t="s">
        <v>106</v>
      </c>
      <c r="D806">
        <v>-33.913111923226197</v>
      </c>
      <c r="E806">
        <v>18.8449946324187</v>
      </c>
      <c r="F806">
        <v>6.5750000000000003E-2</v>
      </c>
      <c r="G806">
        <v>0.1643</v>
      </c>
      <c r="H806">
        <v>9.8599999999999993E-2</v>
      </c>
      <c r="I806">
        <v>4852.0590000000002</v>
      </c>
      <c r="J806">
        <v>6769.6</v>
      </c>
    </row>
    <row r="807" spans="1:10">
      <c r="A807">
        <v>5</v>
      </c>
      <c r="B807">
        <v>10</v>
      </c>
      <c r="C807" t="s">
        <v>106</v>
      </c>
      <c r="D807">
        <v>-33.918371499340999</v>
      </c>
      <c r="E807">
        <v>18.846671261409799</v>
      </c>
      <c r="F807">
        <v>6.5750000000000003E-2</v>
      </c>
      <c r="G807">
        <v>0.1643</v>
      </c>
      <c r="H807">
        <v>9.8599999999999993E-2</v>
      </c>
      <c r="I807">
        <v>4271.232</v>
      </c>
      <c r="J807">
        <v>6188.7730000000001</v>
      </c>
    </row>
    <row r="808" spans="1:10">
      <c r="A808">
        <v>6</v>
      </c>
      <c r="B808">
        <v>10</v>
      </c>
      <c r="C808" t="s">
        <v>106</v>
      </c>
      <c r="D808">
        <v>-33.916631143912902</v>
      </c>
      <c r="E808">
        <v>18.846154944919999</v>
      </c>
      <c r="F808">
        <v>6.5750000000000003E-2</v>
      </c>
      <c r="G808">
        <v>0.1643</v>
      </c>
      <c r="H808">
        <v>9.8599999999999993E-2</v>
      </c>
      <c r="I808">
        <v>4235.0969999999998</v>
      </c>
      <c r="J808">
        <v>6152.6379999999999</v>
      </c>
    </row>
    <row r="809" spans="1:10">
      <c r="A809">
        <v>7</v>
      </c>
      <c r="B809">
        <v>10</v>
      </c>
      <c r="C809" t="s">
        <v>106</v>
      </c>
      <c r="D809">
        <v>-33.9157467540794</v>
      </c>
      <c r="E809">
        <v>18.8476172176243</v>
      </c>
      <c r="F809">
        <v>6.5750000000000003E-2</v>
      </c>
      <c r="G809">
        <v>0.1643</v>
      </c>
      <c r="H809">
        <v>9.8599999999999993E-2</v>
      </c>
      <c r="I809">
        <v>4221.6959999999999</v>
      </c>
      <c r="J809">
        <v>6139.2370000000001</v>
      </c>
    </row>
    <row r="810" spans="1:10">
      <c r="A810">
        <v>8</v>
      </c>
      <c r="B810">
        <v>10</v>
      </c>
      <c r="C810" t="s">
        <v>106</v>
      </c>
      <c r="D810">
        <v>-33.9157226827732</v>
      </c>
      <c r="E810">
        <v>18.846231661791101</v>
      </c>
      <c r="F810">
        <v>6.5750000000000003E-2</v>
      </c>
      <c r="G810">
        <v>0.1643</v>
      </c>
      <c r="H810">
        <v>9.8599999999999993E-2</v>
      </c>
      <c r="I810">
        <v>4287.3289999999997</v>
      </c>
      <c r="J810">
        <v>6204.87</v>
      </c>
    </row>
    <row r="811" spans="1:10">
      <c r="A811">
        <v>9</v>
      </c>
      <c r="B811">
        <v>10</v>
      </c>
      <c r="C811" t="s">
        <v>106</v>
      </c>
      <c r="D811">
        <v>-33.914290687996903</v>
      </c>
      <c r="E811">
        <v>18.8475173918381</v>
      </c>
      <c r="F811">
        <v>6.5750000000000003E-2</v>
      </c>
      <c r="G811">
        <v>0.1643</v>
      </c>
      <c r="H811">
        <v>9.8599999999999993E-2</v>
      </c>
      <c r="I811">
        <v>4351.9639999999999</v>
      </c>
      <c r="J811">
        <v>6269.5050000000001</v>
      </c>
    </row>
    <row r="812" spans="1:10">
      <c r="A812">
        <v>10</v>
      </c>
      <c r="B812">
        <v>10</v>
      </c>
      <c r="C812" t="s">
        <v>106</v>
      </c>
      <c r="D812">
        <v>-33.9154406543093</v>
      </c>
      <c r="E812">
        <v>18.8464064286831</v>
      </c>
      <c r="F812">
        <v>6.5750000000000003E-2</v>
      </c>
      <c r="G812">
        <v>0.1643</v>
      </c>
      <c r="H812">
        <v>9.8599999999999993E-2</v>
      </c>
      <c r="I812">
        <v>4314.7820000000002</v>
      </c>
      <c r="J812">
        <v>6232.3220000000001</v>
      </c>
    </row>
    <row r="813" spans="1:10">
      <c r="A813">
        <v>11</v>
      </c>
      <c r="B813">
        <v>10</v>
      </c>
      <c r="C813" t="s">
        <v>106</v>
      </c>
      <c r="D813">
        <v>-33.9144157847687</v>
      </c>
      <c r="E813">
        <v>18.845448655057499</v>
      </c>
      <c r="F813">
        <v>6.5750000000000003E-2</v>
      </c>
      <c r="G813">
        <v>0.1643</v>
      </c>
      <c r="H813">
        <v>9.8599999999999993E-2</v>
      </c>
      <c r="I813">
        <v>4551.8429999999998</v>
      </c>
      <c r="J813">
        <v>6469.384</v>
      </c>
    </row>
    <row r="814" spans="1:10">
      <c r="A814">
        <v>12</v>
      </c>
      <c r="B814">
        <v>10</v>
      </c>
      <c r="C814" t="s">
        <v>106</v>
      </c>
      <c r="D814">
        <v>-33.917653097103504</v>
      </c>
      <c r="E814">
        <v>18.8475738716945</v>
      </c>
      <c r="F814">
        <v>6.5750000000000003E-2</v>
      </c>
      <c r="G814">
        <v>0.1643</v>
      </c>
      <c r="H814">
        <v>9.8599999999999993E-2</v>
      </c>
      <c r="I814">
        <v>4099.3379999999997</v>
      </c>
      <c r="J814">
        <v>6016.8789999999999</v>
      </c>
    </row>
    <row r="815" spans="1:10">
      <c r="A815">
        <v>13</v>
      </c>
      <c r="B815">
        <v>10</v>
      </c>
      <c r="C815" t="s">
        <v>106</v>
      </c>
      <c r="D815">
        <v>-33.918076002907902</v>
      </c>
      <c r="E815">
        <v>18.846630367983501</v>
      </c>
      <c r="F815">
        <v>6.5750000000000003E-2</v>
      </c>
      <c r="G815">
        <v>0.1643</v>
      </c>
      <c r="H815">
        <v>9.8599999999999993E-2</v>
      </c>
      <c r="I815">
        <v>4216.3900000000003</v>
      </c>
      <c r="J815">
        <v>6133.93</v>
      </c>
    </row>
    <row r="816" spans="1:10">
      <c r="A816">
        <v>14</v>
      </c>
      <c r="B816">
        <v>10</v>
      </c>
      <c r="C816" t="s">
        <v>106</v>
      </c>
      <c r="D816">
        <v>-33.917769510403097</v>
      </c>
      <c r="E816">
        <v>18.8472933753877</v>
      </c>
      <c r="F816">
        <v>6.5750000000000003E-2</v>
      </c>
      <c r="G816">
        <v>0.1643</v>
      </c>
      <c r="H816">
        <v>9.8599999999999993E-2</v>
      </c>
      <c r="I816">
        <v>4125.54</v>
      </c>
      <c r="J816">
        <v>6043.08</v>
      </c>
    </row>
    <row r="817" spans="1:10">
      <c r="A817">
        <v>15</v>
      </c>
      <c r="B817">
        <v>10</v>
      </c>
      <c r="C817" t="s">
        <v>106</v>
      </c>
      <c r="D817">
        <v>-33.915710163358597</v>
      </c>
      <c r="E817">
        <v>18.847584788837001</v>
      </c>
      <c r="F817">
        <v>6.5750000000000003E-2</v>
      </c>
      <c r="G817">
        <v>0.1643</v>
      </c>
      <c r="H817">
        <v>9.8599999999999993E-2</v>
      </c>
      <c r="I817">
        <v>4224.9170000000004</v>
      </c>
      <c r="J817">
        <v>6142.4579999999996</v>
      </c>
    </row>
    <row r="818" spans="1:10">
      <c r="A818">
        <v>16</v>
      </c>
      <c r="B818">
        <v>10</v>
      </c>
      <c r="C818" t="s">
        <v>106</v>
      </c>
      <c r="D818">
        <v>-33.913562210620597</v>
      </c>
      <c r="E818">
        <v>18.845227622453798</v>
      </c>
      <c r="F818">
        <v>6.5750000000000003E-2</v>
      </c>
      <c r="G818">
        <v>0.1643</v>
      </c>
      <c r="H818">
        <v>9.8599999999999993E-2</v>
      </c>
      <c r="I818">
        <v>4857.7160000000003</v>
      </c>
      <c r="J818">
        <v>6775.2569999999996</v>
      </c>
    </row>
    <row r="819" spans="1:10">
      <c r="A819">
        <v>17</v>
      </c>
      <c r="B819">
        <v>10</v>
      </c>
      <c r="C819" t="s">
        <v>106</v>
      </c>
      <c r="D819">
        <v>-33.918508705578503</v>
      </c>
      <c r="E819">
        <v>18.8465748082793</v>
      </c>
      <c r="F819">
        <v>6.5750000000000003E-2</v>
      </c>
      <c r="G819">
        <v>0.1643</v>
      </c>
      <c r="H819">
        <v>9.8599999999999993E-2</v>
      </c>
      <c r="I819">
        <v>4271.4520000000002</v>
      </c>
      <c r="J819">
        <v>6188.9930000000004</v>
      </c>
    </row>
    <row r="820" spans="1:10">
      <c r="A820">
        <v>18</v>
      </c>
      <c r="B820">
        <v>10</v>
      </c>
      <c r="C820" t="s">
        <v>106</v>
      </c>
      <c r="D820">
        <v>-33.918691232281901</v>
      </c>
      <c r="E820">
        <v>18.845092150841399</v>
      </c>
      <c r="F820">
        <v>6.5750000000000003E-2</v>
      </c>
      <c r="G820">
        <v>0.1643</v>
      </c>
      <c r="H820">
        <v>9.8599999999999993E-2</v>
      </c>
      <c r="I820">
        <v>4379.7160000000003</v>
      </c>
      <c r="J820">
        <v>6297.2569999999996</v>
      </c>
    </row>
    <row r="821" spans="1:10">
      <c r="A821">
        <v>19</v>
      </c>
      <c r="B821">
        <v>10</v>
      </c>
      <c r="C821" t="s">
        <v>106</v>
      </c>
      <c r="D821">
        <v>-33.915064791413101</v>
      </c>
      <c r="E821">
        <v>18.847209519403101</v>
      </c>
      <c r="F821">
        <v>6.5750000000000003E-2</v>
      </c>
      <c r="G821">
        <v>0.1643</v>
      </c>
      <c r="H821">
        <v>9.8599999999999993E-2</v>
      </c>
      <c r="I821">
        <v>4314.9970000000003</v>
      </c>
      <c r="J821">
        <v>6232.5379999999996</v>
      </c>
    </row>
    <row r="822" spans="1:10">
      <c r="A822">
        <v>20</v>
      </c>
      <c r="B822">
        <v>10</v>
      </c>
      <c r="C822" t="s">
        <v>106</v>
      </c>
      <c r="D822">
        <v>-33.917195002000398</v>
      </c>
      <c r="E822">
        <v>18.847282688443499</v>
      </c>
      <c r="F822">
        <v>6.5750000000000003E-2</v>
      </c>
      <c r="G822">
        <v>0.1643</v>
      </c>
      <c r="H822">
        <v>9.8599999999999993E-2</v>
      </c>
      <c r="I822">
        <v>4121.9409999999998</v>
      </c>
      <c r="J822">
        <v>6039.482</v>
      </c>
    </row>
    <row r="823" spans="1:10">
      <c r="A823">
        <v>21</v>
      </c>
      <c r="B823">
        <v>10</v>
      </c>
      <c r="C823" t="s">
        <v>106</v>
      </c>
      <c r="D823">
        <v>-33.916623229934203</v>
      </c>
      <c r="E823">
        <v>18.845630630777698</v>
      </c>
      <c r="F823">
        <v>6.5750000000000003E-2</v>
      </c>
      <c r="G823">
        <v>0.1643</v>
      </c>
      <c r="H823">
        <v>9.8599999999999993E-2</v>
      </c>
      <c r="I823">
        <v>4297.2780000000002</v>
      </c>
      <c r="J823">
        <v>6214.8190000000004</v>
      </c>
    </row>
    <row r="824" spans="1:10">
      <c r="A824">
        <v>22</v>
      </c>
      <c r="B824">
        <v>10</v>
      </c>
      <c r="C824" t="s">
        <v>106</v>
      </c>
      <c r="D824">
        <v>-33.918891510570603</v>
      </c>
      <c r="E824">
        <v>18.846139521499701</v>
      </c>
      <c r="F824">
        <v>6.5750000000000003E-2</v>
      </c>
      <c r="G824">
        <v>0.1643</v>
      </c>
      <c r="H824">
        <v>9.8599999999999993E-2</v>
      </c>
      <c r="I824">
        <v>4353.893</v>
      </c>
      <c r="J824">
        <v>6271.4340000000002</v>
      </c>
    </row>
    <row r="825" spans="1:10">
      <c r="A825">
        <v>23</v>
      </c>
      <c r="B825">
        <v>10</v>
      </c>
      <c r="C825" t="s">
        <v>106</v>
      </c>
      <c r="D825">
        <v>-33.918763203818799</v>
      </c>
      <c r="E825">
        <v>18.846975229932699</v>
      </c>
      <c r="F825">
        <v>6.5750000000000003E-2</v>
      </c>
      <c r="G825">
        <v>0.1643</v>
      </c>
      <c r="H825">
        <v>9.8599999999999993E-2</v>
      </c>
      <c r="I825">
        <v>4236.5219999999999</v>
      </c>
      <c r="J825">
        <v>6154.0619999999999</v>
      </c>
    </row>
    <row r="826" spans="1:10">
      <c r="A826">
        <v>24</v>
      </c>
      <c r="B826">
        <v>10</v>
      </c>
      <c r="C826" t="s">
        <v>106</v>
      </c>
      <c r="D826">
        <v>-33.918767210690397</v>
      </c>
      <c r="E826">
        <v>18.846490655325301</v>
      </c>
      <c r="F826">
        <v>6.5750000000000003E-2</v>
      </c>
      <c r="G826">
        <v>0.1643</v>
      </c>
      <c r="H826">
        <v>9.8599999999999993E-2</v>
      </c>
      <c r="I826">
        <v>4374.9539999999997</v>
      </c>
      <c r="J826">
        <v>6292.4949999999999</v>
      </c>
    </row>
    <row r="827" spans="1:10">
      <c r="A827">
        <v>25</v>
      </c>
      <c r="B827">
        <v>10</v>
      </c>
      <c r="C827" t="s">
        <v>106</v>
      </c>
      <c r="D827">
        <v>-33.9129932694714</v>
      </c>
      <c r="E827">
        <v>18.845562905773399</v>
      </c>
      <c r="F827">
        <v>6.5750000000000003E-2</v>
      </c>
      <c r="G827">
        <v>0.1643</v>
      </c>
      <c r="H827">
        <v>9.8599999999999993E-2</v>
      </c>
      <c r="I827">
        <v>4798.8900000000003</v>
      </c>
      <c r="J827">
        <v>6716.4309999999996</v>
      </c>
    </row>
    <row r="828" spans="1:10">
      <c r="A828">
        <v>26</v>
      </c>
      <c r="B828">
        <v>10</v>
      </c>
      <c r="C828" t="s">
        <v>106</v>
      </c>
      <c r="D828">
        <v>-33.916883366066699</v>
      </c>
      <c r="E828">
        <v>18.8465480247655</v>
      </c>
      <c r="F828">
        <v>6.5750000000000003E-2</v>
      </c>
      <c r="G828">
        <v>0.1643</v>
      </c>
      <c r="H828">
        <v>9.8599999999999993E-2</v>
      </c>
      <c r="I828">
        <v>4171.8770000000004</v>
      </c>
      <c r="J828">
        <v>6089.4179999999997</v>
      </c>
    </row>
    <row r="829" spans="1:10">
      <c r="A829">
        <v>27</v>
      </c>
      <c r="B829">
        <v>10</v>
      </c>
      <c r="C829" t="s">
        <v>106</v>
      </c>
      <c r="D829">
        <v>-33.916109611927098</v>
      </c>
      <c r="E829">
        <v>18.845897736681302</v>
      </c>
      <c r="F829">
        <v>6.5750000000000003E-2</v>
      </c>
      <c r="G829">
        <v>0.1643</v>
      </c>
      <c r="H829">
        <v>9.8599999999999993E-2</v>
      </c>
      <c r="I829">
        <v>4310.3630000000003</v>
      </c>
      <c r="J829">
        <v>6227.9040000000005</v>
      </c>
    </row>
    <row r="830" spans="1:10">
      <c r="A830">
        <v>28</v>
      </c>
      <c r="B830">
        <v>10</v>
      </c>
      <c r="C830" t="s">
        <v>106</v>
      </c>
      <c r="D830">
        <v>-33.914572078854498</v>
      </c>
      <c r="E830">
        <v>18.846843512884</v>
      </c>
      <c r="F830">
        <v>6.5750000000000003E-2</v>
      </c>
      <c r="G830">
        <v>0.1643</v>
      </c>
      <c r="H830">
        <v>9.8599999999999993E-2</v>
      </c>
      <c r="I830">
        <v>4426.9809999999998</v>
      </c>
      <c r="J830">
        <v>6344.5219999999999</v>
      </c>
    </row>
    <row r="831" spans="1:10">
      <c r="A831">
        <v>29</v>
      </c>
      <c r="B831">
        <v>10</v>
      </c>
      <c r="C831" t="s">
        <v>106</v>
      </c>
      <c r="D831">
        <v>-33.915161027193697</v>
      </c>
      <c r="E831">
        <v>18.8466481535445</v>
      </c>
      <c r="F831">
        <v>6.5750000000000003E-2</v>
      </c>
      <c r="G831">
        <v>0.1643</v>
      </c>
      <c r="H831">
        <v>9.8599999999999993E-2</v>
      </c>
      <c r="I831">
        <v>4632.6369999999997</v>
      </c>
      <c r="J831">
        <v>6550.1779999999999</v>
      </c>
    </row>
    <row r="832" spans="1:10">
      <c r="A832">
        <v>30</v>
      </c>
      <c r="B832">
        <v>10</v>
      </c>
      <c r="C832" t="s">
        <v>106</v>
      </c>
      <c r="D832">
        <v>-33.917096722557197</v>
      </c>
      <c r="E832">
        <v>18.847294034368499</v>
      </c>
      <c r="F832">
        <v>6.5750000000000003E-2</v>
      </c>
      <c r="G832">
        <v>0.1643</v>
      </c>
      <c r="H832">
        <v>9.8599999999999993E-2</v>
      </c>
      <c r="I832">
        <v>4118.7730000000001</v>
      </c>
      <c r="J832">
        <v>6036.3140000000003</v>
      </c>
    </row>
    <row r="833" spans="1:10">
      <c r="A833">
        <v>31</v>
      </c>
      <c r="B833">
        <v>10</v>
      </c>
      <c r="C833" t="s">
        <v>106</v>
      </c>
      <c r="D833">
        <v>-33.917846611391703</v>
      </c>
      <c r="E833">
        <v>18.846950184249501</v>
      </c>
      <c r="F833">
        <v>6.5750000000000003E-2</v>
      </c>
      <c r="G833">
        <v>0.1643</v>
      </c>
      <c r="H833">
        <v>9.8599999999999993E-2</v>
      </c>
      <c r="I833">
        <v>4149.6480000000001</v>
      </c>
      <c r="J833">
        <v>6067.1890000000003</v>
      </c>
    </row>
    <row r="834" spans="1:10">
      <c r="A834">
        <v>32</v>
      </c>
      <c r="B834">
        <v>10</v>
      </c>
      <c r="C834" t="s">
        <v>106</v>
      </c>
      <c r="D834">
        <v>-33.916604005761201</v>
      </c>
      <c r="E834">
        <v>18.8470374432409</v>
      </c>
      <c r="F834">
        <v>6.5750000000000003E-2</v>
      </c>
      <c r="G834">
        <v>0.1643</v>
      </c>
      <c r="H834">
        <v>9.8599999999999993E-2</v>
      </c>
      <c r="I834">
        <v>4127.8450000000003</v>
      </c>
      <c r="J834">
        <v>6045.3860000000004</v>
      </c>
    </row>
    <row r="835" spans="1:10">
      <c r="A835">
        <v>33</v>
      </c>
      <c r="B835">
        <v>10</v>
      </c>
      <c r="C835" t="s">
        <v>106</v>
      </c>
      <c r="D835">
        <v>-33.913984631133602</v>
      </c>
      <c r="E835">
        <v>18.844972087921899</v>
      </c>
      <c r="F835">
        <v>6.5750000000000003E-2</v>
      </c>
      <c r="G835">
        <v>0.1643</v>
      </c>
      <c r="H835">
        <v>9.8599999999999993E-2</v>
      </c>
      <c r="I835">
        <v>4615.9549999999999</v>
      </c>
      <c r="J835">
        <v>6533.4960000000001</v>
      </c>
    </row>
    <row r="836" spans="1:10">
      <c r="A836">
        <v>34</v>
      </c>
      <c r="B836">
        <v>10</v>
      </c>
      <c r="C836" t="s">
        <v>106</v>
      </c>
      <c r="D836">
        <v>-33.9162773939861</v>
      </c>
      <c r="E836">
        <v>18.8459835210503</v>
      </c>
      <c r="F836">
        <v>6.5750000000000003E-2</v>
      </c>
      <c r="G836">
        <v>0.1643</v>
      </c>
      <c r="H836">
        <v>9.8599999999999993E-2</v>
      </c>
      <c r="I836">
        <v>4290.098</v>
      </c>
      <c r="J836">
        <v>6207.6379999999999</v>
      </c>
    </row>
    <row r="837" spans="1:10">
      <c r="A837">
        <v>35</v>
      </c>
      <c r="B837">
        <v>10</v>
      </c>
      <c r="C837" t="s">
        <v>106</v>
      </c>
      <c r="D837">
        <v>-33.913973554039302</v>
      </c>
      <c r="E837">
        <v>18.845770886891501</v>
      </c>
      <c r="F837">
        <v>6.5750000000000003E-2</v>
      </c>
      <c r="G837">
        <v>0.1643</v>
      </c>
      <c r="H837">
        <v>9.8599999999999993E-2</v>
      </c>
      <c r="I837">
        <v>4547.924</v>
      </c>
      <c r="J837">
        <v>6465.4650000000001</v>
      </c>
    </row>
    <row r="838" spans="1:10">
      <c r="A838">
        <v>36</v>
      </c>
      <c r="B838">
        <v>10</v>
      </c>
      <c r="C838" t="s">
        <v>106</v>
      </c>
      <c r="D838">
        <v>-33.918294117006297</v>
      </c>
      <c r="E838">
        <v>18.8449768043821</v>
      </c>
      <c r="F838">
        <v>6.5750000000000003E-2</v>
      </c>
      <c r="G838">
        <v>0.1643</v>
      </c>
      <c r="H838">
        <v>9.8599999999999993E-2</v>
      </c>
      <c r="I838">
        <v>4614.5720000000001</v>
      </c>
      <c r="J838">
        <v>6532.1130000000003</v>
      </c>
    </row>
    <row r="839" spans="1:10">
      <c r="A839">
        <v>37</v>
      </c>
      <c r="B839">
        <v>10</v>
      </c>
      <c r="C839" t="s">
        <v>106</v>
      </c>
      <c r="D839">
        <v>-33.914278713069002</v>
      </c>
      <c r="E839">
        <v>18.847013804243598</v>
      </c>
      <c r="F839">
        <v>6.5750000000000003E-2</v>
      </c>
      <c r="G839">
        <v>0.1643</v>
      </c>
      <c r="H839">
        <v>9.8599999999999993E-2</v>
      </c>
      <c r="I839">
        <v>4396.2659999999996</v>
      </c>
      <c r="J839">
        <v>6313.8069999999998</v>
      </c>
    </row>
    <row r="840" spans="1:10">
      <c r="A840">
        <v>38</v>
      </c>
      <c r="B840">
        <v>10</v>
      </c>
      <c r="C840" t="s">
        <v>106</v>
      </c>
      <c r="D840">
        <v>-33.912590485516802</v>
      </c>
      <c r="E840">
        <v>18.847610509022601</v>
      </c>
      <c r="F840">
        <v>6.5750000000000003E-2</v>
      </c>
      <c r="G840">
        <v>0.1643</v>
      </c>
      <c r="H840">
        <v>9.8599999999999993E-2</v>
      </c>
      <c r="I840">
        <v>4449.6139999999996</v>
      </c>
      <c r="J840">
        <v>6367.1549999999997</v>
      </c>
    </row>
    <row r="841" spans="1:10">
      <c r="A841">
        <v>39</v>
      </c>
      <c r="B841">
        <v>10</v>
      </c>
      <c r="C841" t="s">
        <v>106</v>
      </c>
      <c r="D841">
        <v>-33.918300584231602</v>
      </c>
      <c r="E841">
        <v>18.8455301142588</v>
      </c>
      <c r="F841">
        <v>6.5750000000000003E-2</v>
      </c>
      <c r="G841">
        <v>0.1643</v>
      </c>
      <c r="H841">
        <v>9.8599999999999993E-2</v>
      </c>
      <c r="I841">
        <v>4396.1350000000002</v>
      </c>
      <c r="J841">
        <v>6313.6760000000004</v>
      </c>
    </row>
    <row r="842" spans="1:10">
      <c r="A842">
        <v>40</v>
      </c>
      <c r="B842">
        <v>10</v>
      </c>
      <c r="C842" t="s">
        <v>106</v>
      </c>
      <c r="D842">
        <v>-33.9153927479095</v>
      </c>
      <c r="E842">
        <v>18.845573308777698</v>
      </c>
      <c r="F842">
        <v>6.5750000000000003E-2</v>
      </c>
      <c r="G842">
        <v>0.1643</v>
      </c>
      <c r="H842">
        <v>9.8599999999999993E-2</v>
      </c>
      <c r="I842">
        <v>4624.3130000000001</v>
      </c>
      <c r="J842">
        <v>6541.8540000000003</v>
      </c>
    </row>
    <row r="843" spans="1:10">
      <c r="A843">
        <v>41</v>
      </c>
      <c r="B843">
        <v>10</v>
      </c>
      <c r="C843" t="s">
        <v>106</v>
      </c>
      <c r="D843">
        <v>-33.913883151704397</v>
      </c>
      <c r="E843">
        <v>18.8455514138697</v>
      </c>
      <c r="F843">
        <v>6.5750000000000003E-2</v>
      </c>
      <c r="G843">
        <v>0.1643</v>
      </c>
      <c r="H843">
        <v>9.8599999999999993E-2</v>
      </c>
      <c r="I843">
        <v>4600.3119999999999</v>
      </c>
      <c r="J843">
        <v>6517.8530000000001</v>
      </c>
    </row>
    <row r="844" spans="1:10">
      <c r="A844">
        <v>42</v>
      </c>
      <c r="B844">
        <v>10</v>
      </c>
      <c r="C844" t="s">
        <v>106</v>
      </c>
      <c r="D844">
        <v>-33.913523208944497</v>
      </c>
      <c r="E844">
        <v>18.846533226956399</v>
      </c>
      <c r="F844">
        <v>6.5750000000000003E-2</v>
      </c>
      <c r="G844">
        <v>0.1643</v>
      </c>
      <c r="H844">
        <v>9.8599999999999993E-2</v>
      </c>
      <c r="I844">
        <v>4473.875</v>
      </c>
      <c r="J844">
        <v>6391.4160000000002</v>
      </c>
    </row>
    <row r="845" spans="1:10">
      <c r="A845">
        <v>43</v>
      </c>
      <c r="B845">
        <v>10</v>
      </c>
      <c r="C845" t="s">
        <v>106</v>
      </c>
      <c r="D845">
        <v>-33.9187433383456</v>
      </c>
      <c r="E845">
        <v>18.8474508232683</v>
      </c>
      <c r="F845">
        <v>6.5750000000000003E-2</v>
      </c>
      <c r="G845">
        <v>0.1643</v>
      </c>
      <c r="H845">
        <v>9.8599999999999993E-2</v>
      </c>
      <c r="I845">
        <v>4221.6220000000003</v>
      </c>
      <c r="J845">
        <v>6139.1629999999996</v>
      </c>
    </row>
    <row r="846" spans="1:10">
      <c r="A846">
        <v>44</v>
      </c>
      <c r="B846">
        <v>10</v>
      </c>
      <c r="C846" t="s">
        <v>106</v>
      </c>
      <c r="D846">
        <v>-33.9171138409314</v>
      </c>
      <c r="E846">
        <v>18.845905397601801</v>
      </c>
      <c r="F846">
        <v>6.5750000000000003E-2</v>
      </c>
      <c r="G846">
        <v>0.1643</v>
      </c>
      <c r="H846">
        <v>9.8599999999999993E-2</v>
      </c>
      <c r="I846">
        <v>4273.9539999999997</v>
      </c>
      <c r="J846">
        <v>6191.4949999999999</v>
      </c>
    </row>
    <row r="847" spans="1:10">
      <c r="A847">
        <v>45</v>
      </c>
      <c r="B847">
        <v>10</v>
      </c>
      <c r="C847" t="s">
        <v>106</v>
      </c>
      <c r="D847">
        <v>-33.916534979046602</v>
      </c>
      <c r="E847">
        <v>18.845614122838601</v>
      </c>
      <c r="F847">
        <v>6.5750000000000003E-2</v>
      </c>
      <c r="G847">
        <v>0.1643</v>
      </c>
      <c r="H847">
        <v>9.8599999999999993E-2</v>
      </c>
      <c r="I847">
        <v>4306.8999999999996</v>
      </c>
      <c r="J847">
        <v>6224.4409999999998</v>
      </c>
    </row>
    <row r="848" spans="1:10">
      <c r="A848">
        <v>46</v>
      </c>
      <c r="B848">
        <v>10</v>
      </c>
      <c r="C848" t="s">
        <v>106</v>
      </c>
      <c r="D848">
        <v>-33.918682111799797</v>
      </c>
      <c r="E848">
        <v>18.846552955152301</v>
      </c>
      <c r="F848">
        <v>6.5750000000000003E-2</v>
      </c>
      <c r="G848">
        <v>0.1643</v>
      </c>
      <c r="H848">
        <v>9.8599999999999993E-2</v>
      </c>
      <c r="I848">
        <v>4263.6989999999996</v>
      </c>
      <c r="J848">
        <v>6181.24</v>
      </c>
    </row>
    <row r="849" spans="1:10">
      <c r="A849">
        <v>47</v>
      </c>
      <c r="B849">
        <v>10</v>
      </c>
      <c r="C849" t="s">
        <v>106</v>
      </c>
      <c r="D849">
        <v>-33.9143533093551</v>
      </c>
      <c r="E849">
        <v>18.845648334689901</v>
      </c>
      <c r="F849">
        <v>6.5750000000000003E-2</v>
      </c>
      <c r="G849">
        <v>0.1643</v>
      </c>
      <c r="H849">
        <v>9.8599999999999993E-2</v>
      </c>
      <c r="I849">
        <v>4544.8729999999996</v>
      </c>
      <c r="J849">
        <v>6462.4139999999998</v>
      </c>
    </row>
    <row r="850" spans="1:10">
      <c r="A850">
        <v>48</v>
      </c>
      <c r="B850">
        <v>10</v>
      </c>
      <c r="C850" t="s">
        <v>106</v>
      </c>
      <c r="D850">
        <v>-33.916806256755699</v>
      </c>
      <c r="E850">
        <v>18.8455128099211</v>
      </c>
      <c r="F850">
        <v>6.5750000000000003E-2</v>
      </c>
      <c r="G850">
        <v>0.1643</v>
      </c>
      <c r="H850">
        <v>9.8599999999999993E-2</v>
      </c>
      <c r="I850">
        <v>4285.1589999999997</v>
      </c>
      <c r="J850">
        <v>6202.6989999999996</v>
      </c>
    </row>
    <row r="851" spans="1:10">
      <c r="A851">
        <v>49</v>
      </c>
      <c r="B851">
        <v>10</v>
      </c>
      <c r="C851" t="s">
        <v>106</v>
      </c>
      <c r="D851">
        <v>-33.913658452467999</v>
      </c>
      <c r="E851">
        <v>18.8462957565545</v>
      </c>
      <c r="F851">
        <v>6.5750000000000003E-2</v>
      </c>
      <c r="G851">
        <v>0.1643</v>
      </c>
      <c r="H851">
        <v>9.8599999999999993E-2</v>
      </c>
      <c r="I851">
        <v>4500.4319999999998</v>
      </c>
      <c r="J851">
        <v>6417.9719999999998</v>
      </c>
    </row>
    <row r="852" spans="1:10">
      <c r="A852">
        <v>50</v>
      </c>
      <c r="B852">
        <v>10</v>
      </c>
      <c r="C852" t="s">
        <v>106</v>
      </c>
      <c r="D852">
        <v>-33.915049720905202</v>
      </c>
      <c r="E852">
        <v>18.846750567241699</v>
      </c>
      <c r="F852">
        <v>6.5750000000000003E-2</v>
      </c>
      <c r="G852">
        <v>0.1643</v>
      </c>
      <c r="H852">
        <v>9.8599999999999993E-2</v>
      </c>
      <c r="I852">
        <v>4356.18</v>
      </c>
      <c r="J852">
        <v>6273.7209999999995</v>
      </c>
    </row>
    <row r="853" spans="1:10">
      <c r="A853">
        <v>51</v>
      </c>
      <c r="B853">
        <v>10</v>
      </c>
      <c r="C853" t="s">
        <v>106</v>
      </c>
      <c r="D853">
        <v>-33.912728874428403</v>
      </c>
      <c r="E853">
        <v>18.8467639554923</v>
      </c>
      <c r="F853">
        <v>6.5750000000000003E-2</v>
      </c>
      <c r="G853">
        <v>0.1643</v>
      </c>
      <c r="H853">
        <v>9.8599999999999993E-2</v>
      </c>
      <c r="I853">
        <v>4710.9539999999997</v>
      </c>
      <c r="J853">
        <v>6628.4949999999999</v>
      </c>
    </row>
    <row r="854" spans="1:10">
      <c r="A854">
        <v>52</v>
      </c>
      <c r="B854">
        <v>10</v>
      </c>
      <c r="C854" t="s">
        <v>106</v>
      </c>
      <c r="D854">
        <v>-33.914356999492703</v>
      </c>
      <c r="E854">
        <v>18.844971347769199</v>
      </c>
      <c r="F854">
        <v>6.5750000000000003E-2</v>
      </c>
      <c r="G854">
        <v>0.1643</v>
      </c>
      <c r="H854">
        <v>9.8599999999999993E-2</v>
      </c>
      <c r="I854">
        <v>4596.2560000000003</v>
      </c>
      <c r="J854">
        <v>6513.7969999999996</v>
      </c>
    </row>
    <row r="855" spans="1:10">
      <c r="A855">
        <v>53</v>
      </c>
      <c r="B855">
        <v>10</v>
      </c>
      <c r="C855" t="s">
        <v>106</v>
      </c>
      <c r="D855">
        <v>-33.913618289250799</v>
      </c>
      <c r="E855">
        <v>18.845314729673898</v>
      </c>
      <c r="F855">
        <v>6.5750000000000003E-2</v>
      </c>
      <c r="G855">
        <v>0.1643</v>
      </c>
      <c r="H855">
        <v>9.8599999999999993E-2</v>
      </c>
      <c r="I855">
        <v>4854.5110000000004</v>
      </c>
      <c r="J855">
        <v>6772.0519999999997</v>
      </c>
    </row>
    <row r="856" spans="1:10">
      <c r="A856">
        <v>54</v>
      </c>
      <c r="B856">
        <v>10</v>
      </c>
      <c r="C856" t="s">
        <v>106</v>
      </c>
      <c r="D856">
        <v>-33.915435600028303</v>
      </c>
      <c r="E856">
        <v>18.846315767742901</v>
      </c>
      <c r="F856">
        <v>6.5750000000000003E-2</v>
      </c>
      <c r="G856">
        <v>0.1643</v>
      </c>
      <c r="H856">
        <v>9.8599999999999993E-2</v>
      </c>
      <c r="I856">
        <v>4315.3109999999997</v>
      </c>
      <c r="J856">
        <v>6232.8519999999999</v>
      </c>
    </row>
    <row r="857" spans="1:10">
      <c r="A857">
        <v>55</v>
      </c>
      <c r="B857">
        <v>10</v>
      </c>
      <c r="C857" t="s">
        <v>106</v>
      </c>
      <c r="D857">
        <v>-33.918541987322698</v>
      </c>
      <c r="E857">
        <v>18.847507545990101</v>
      </c>
      <c r="F857">
        <v>6.5750000000000003E-2</v>
      </c>
      <c r="G857">
        <v>0.1643</v>
      </c>
      <c r="H857">
        <v>9.8599999999999993E-2</v>
      </c>
      <c r="I857">
        <v>4215.0349999999999</v>
      </c>
      <c r="J857">
        <v>6132.576</v>
      </c>
    </row>
    <row r="858" spans="1:10">
      <c r="A858">
        <v>56</v>
      </c>
      <c r="B858">
        <v>10</v>
      </c>
      <c r="C858" t="s">
        <v>106</v>
      </c>
      <c r="D858">
        <v>-33.9186113567701</v>
      </c>
      <c r="E858">
        <v>18.845032835741801</v>
      </c>
      <c r="F858">
        <v>6.5750000000000003E-2</v>
      </c>
      <c r="G858">
        <v>0.1643</v>
      </c>
      <c r="H858">
        <v>9.8599999999999993E-2</v>
      </c>
      <c r="I858">
        <v>4385.9179999999997</v>
      </c>
      <c r="J858">
        <v>6303.4589999999998</v>
      </c>
    </row>
    <row r="859" spans="1:10">
      <c r="A859">
        <v>57</v>
      </c>
      <c r="B859">
        <v>10</v>
      </c>
      <c r="C859" t="s">
        <v>106</v>
      </c>
      <c r="D859">
        <v>-33.912571065800996</v>
      </c>
      <c r="E859">
        <v>18.845845460925499</v>
      </c>
      <c r="F859">
        <v>6.5750000000000003E-2</v>
      </c>
      <c r="G859">
        <v>0.1643</v>
      </c>
      <c r="H859">
        <v>9.8599999999999993E-2</v>
      </c>
      <c r="I859">
        <v>4750.1189999999997</v>
      </c>
      <c r="J859">
        <v>6667.66</v>
      </c>
    </row>
    <row r="860" spans="1:10">
      <c r="A860">
        <v>58</v>
      </c>
      <c r="B860">
        <v>10</v>
      </c>
      <c r="C860" t="s">
        <v>106</v>
      </c>
      <c r="D860">
        <v>-33.913766820564</v>
      </c>
      <c r="E860">
        <v>18.845164024759502</v>
      </c>
      <c r="F860">
        <v>6.5750000000000003E-2</v>
      </c>
      <c r="G860">
        <v>0.1643</v>
      </c>
      <c r="H860">
        <v>9.8599999999999993E-2</v>
      </c>
      <c r="I860">
        <v>4623.1689999999999</v>
      </c>
      <c r="J860">
        <v>6540.7089999999998</v>
      </c>
    </row>
    <row r="861" spans="1:10">
      <c r="A861">
        <v>59</v>
      </c>
      <c r="B861">
        <v>10</v>
      </c>
      <c r="C861" t="s">
        <v>106</v>
      </c>
      <c r="D861">
        <v>-33.916595535117501</v>
      </c>
      <c r="E861">
        <v>18.845184032911501</v>
      </c>
      <c r="F861">
        <v>6.5750000000000003E-2</v>
      </c>
      <c r="G861">
        <v>0.1643</v>
      </c>
      <c r="H861">
        <v>9.8599999999999993E-2</v>
      </c>
      <c r="I861">
        <v>4316.3029999999999</v>
      </c>
      <c r="J861">
        <v>6233.8440000000001</v>
      </c>
    </row>
    <row r="862" spans="1:10">
      <c r="A862">
        <v>60</v>
      </c>
      <c r="B862">
        <v>10</v>
      </c>
      <c r="C862" t="s">
        <v>106</v>
      </c>
      <c r="D862">
        <v>-33.912734952723902</v>
      </c>
      <c r="E862">
        <v>18.8449652767213</v>
      </c>
      <c r="F862">
        <v>6.5750000000000003E-2</v>
      </c>
      <c r="G862">
        <v>0.1643</v>
      </c>
      <c r="H862">
        <v>9.8599999999999993E-2</v>
      </c>
      <c r="I862">
        <v>4826.3869999999997</v>
      </c>
      <c r="J862">
        <v>6743.9279999999999</v>
      </c>
    </row>
    <row r="863" spans="1:10">
      <c r="A863">
        <v>61</v>
      </c>
      <c r="B863">
        <v>10</v>
      </c>
      <c r="C863" t="s">
        <v>106</v>
      </c>
      <c r="D863">
        <v>-33.912779781277401</v>
      </c>
      <c r="E863">
        <v>18.845146233779499</v>
      </c>
      <c r="F863">
        <v>6.5750000000000003E-2</v>
      </c>
      <c r="G863">
        <v>0.1643</v>
      </c>
      <c r="H863">
        <v>9.8599999999999993E-2</v>
      </c>
      <c r="I863">
        <v>4818.1049999999996</v>
      </c>
      <c r="J863">
        <v>6735.6459999999997</v>
      </c>
    </row>
    <row r="864" spans="1:10">
      <c r="A864">
        <v>62</v>
      </c>
      <c r="B864">
        <v>10</v>
      </c>
      <c r="C864" t="s">
        <v>106</v>
      </c>
      <c r="D864">
        <v>-33.917722848145402</v>
      </c>
      <c r="E864">
        <v>18.847166197840799</v>
      </c>
      <c r="F864">
        <v>6.5750000000000003E-2</v>
      </c>
      <c r="G864">
        <v>0.1643</v>
      </c>
      <c r="H864">
        <v>9.8599999999999993E-2</v>
      </c>
      <c r="I864">
        <v>4156.7740000000003</v>
      </c>
      <c r="J864">
        <v>6074.3149999999996</v>
      </c>
    </row>
    <row r="865" spans="1:10">
      <c r="A865">
        <v>63</v>
      </c>
      <c r="B865">
        <v>10</v>
      </c>
      <c r="C865" t="s">
        <v>106</v>
      </c>
      <c r="D865">
        <v>-33.914296357708899</v>
      </c>
      <c r="E865">
        <v>18.847078867266799</v>
      </c>
      <c r="F865">
        <v>6.5750000000000003E-2</v>
      </c>
      <c r="G865">
        <v>0.1643</v>
      </c>
      <c r="H865">
        <v>9.8599999999999993E-2</v>
      </c>
      <c r="I865">
        <v>4392.24</v>
      </c>
      <c r="J865">
        <v>6309.7809999999999</v>
      </c>
    </row>
    <row r="866" spans="1:10">
      <c r="A866">
        <v>64</v>
      </c>
      <c r="B866">
        <v>10</v>
      </c>
      <c r="C866" t="s">
        <v>106</v>
      </c>
      <c r="D866">
        <v>-33.915702715875703</v>
      </c>
      <c r="E866">
        <v>18.846918202204598</v>
      </c>
      <c r="F866">
        <v>6.5750000000000003E-2</v>
      </c>
      <c r="G866">
        <v>0.1643</v>
      </c>
      <c r="H866">
        <v>9.8599999999999993E-2</v>
      </c>
      <c r="I866">
        <v>4291.8119999999999</v>
      </c>
      <c r="J866">
        <v>6209.3530000000001</v>
      </c>
    </row>
    <row r="867" spans="1:10">
      <c r="A867">
        <v>65</v>
      </c>
      <c r="B867">
        <v>10</v>
      </c>
      <c r="C867" t="s">
        <v>106</v>
      </c>
      <c r="D867">
        <v>-33.916676584770798</v>
      </c>
      <c r="E867">
        <v>18.8472985020911</v>
      </c>
      <c r="F867">
        <v>6.5750000000000003E-2</v>
      </c>
      <c r="G867">
        <v>0.1643</v>
      </c>
      <c r="H867">
        <v>9.8599999999999993E-2</v>
      </c>
      <c r="I867">
        <v>4105.7939999999999</v>
      </c>
      <c r="J867">
        <v>6023.335</v>
      </c>
    </row>
    <row r="868" spans="1:10">
      <c r="A868">
        <v>66</v>
      </c>
      <c r="B868">
        <v>10</v>
      </c>
      <c r="C868" t="s">
        <v>106</v>
      </c>
      <c r="D868">
        <v>-33.918699841469298</v>
      </c>
      <c r="E868">
        <v>18.845515861392201</v>
      </c>
      <c r="F868">
        <v>6.5750000000000003E-2</v>
      </c>
      <c r="G868">
        <v>0.1643</v>
      </c>
      <c r="H868">
        <v>9.8599999999999993E-2</v>
      </c>
      <c r="I868">
        <v>4348.3819999999996</v>
      </c>
      <c r="J868">
        <v>6265.9229999999998</v>
      </c>
    </row>
    <row r="869" spans="1:10">
      <c r="A869">
        <v>67</v>
      </c>
      <c r="B869">
        <v>10</v>
      </c>
      <c r="C869" t="s">
        <v>106</v>
      </c>
      <c r="D869">
        <v>-33.9171889329659</v>
      </c>
      <c r="E869">
        <v>18.847307427772598</v>
      </c>
      <c r="F869">
        <v>6.5750000000000003E-2</v>
      </c>
      <c r="G869">
        <v>0.1643</v>
      </c>
      <c r="H869">
        <v>9.8599999999999993E-2</v>
      </c>
      <c r="I869">
        <v>4119.57</v>
      </c>
      <c r="J869">
        <v>6037.1109999999999</v>
      </c>
    </row>
    <row r="870" spans="1:10">
      <c r="A870">
        <v>68</v>
      </c>
      <c r="B870">
        <v>10</v>
      </c>
      <c r="C870" t="s">
        <v>106</v>
      </c>
      <c r="D870">
        <v>-33.917939760318198</v>
      </c>
      <c r="E870">
        <v>18.845838218434501</v>
      </c>
      <c r="F870">
        <v>6.5750000000000003E-2</v>
      </c>
      <c r="G870">
        <v>0.1643</v>
      </c>
      <c r="H870">
        <v>9.8599999999999993E-2</v>
      </c>
      <c r="I870">
        <v>4432.3419999999996</v>
      </c>
      <c r="J870">
        <v>6349.8819999999996</v>
      </c>
    </row>
    <row r="871" spans="1:10">
      <c r="A871">
        <v>69</v>
      </c>
      <c r="B871">
        <v>10</v>
      </c>
      <c r="C871" t="s">
        <v>106</v>
      </c>
      <c r="D871">
        <v>-33.913748666694701</v>
      </c>
      <c r="E871">
        <v>18.846822640983198</v>
      </c>
      <c r="F871">
        <v>6.5750000000000003E-2</v>
      </c>
      <c r="G871">
        <v>0.1643</v>
      </c>
      <c r="H871">
        <v>9.8599999999999993E-2</v>
      </c>
      <c r="I871">
        <v>4424.7380000000003</v>
      </c>
      <c r="J871">
        <v>6342.2790000000005</v>
      </c>
    </row>
    <row r="872" spans="1:10">
      <c r="A872">
        <v>70</v>
      </c>
      <c r="B872">
        <v>10</v>
      </c>
      <c r="C872" t="s">
        <v>106</v>
      </c>
      <c r="D872">
        <v>-33.918629366235898</v>
      </c>
      <c r="E872">
        <v>18.846199323206999</v>
      </c>
      <c r="F872">
        <v>6.5750000000000003E-2</v>
      </c>
      <c r="G872">
        <v>0.1643</v>
      </c>
      <c r="H872">
        <v>9.8599999999999993E-2</v>
      </c>
      <c r="I872">
        <v>4344.0110000000004</v>
      </c>
      <c r="J872">
        <v>6261.5519999999997</v>
      </c>
    </row>
    <row r="873" spans="1:10">
      <c r="A873">
        <v>71</v>
      </c>
      <c r="B873">
        <v>10</v>
      </c>
      <c r="C873" t="s">
        <v>106</v>
      </c>
      <c r="D873">
        <v>-33.916094724648403</v>
      </c>
      <c r="E873">
        <v>18.846203369645401</v>
      </c>
      <c r="F873">
        <v>6.5750000000000003E-2</v>
      </c>
      <c r="G873">
        <v>0.1643</v>
      </c>
      <c r="H873">
        <v>9.8599999999999993E-2</v>
      </c>
      <c r="I873">
        <v>4249.1360000000004</v>
      </c>
      <c r="J873">
        <v>6166.6769999999997</v>
      </c>
    </row>
    <row r="874" spans="1:10">
      <c r="A874">
        <v>72</v>
      </c>
      <c r="B874">
        <v>10</v>
      </c>
      <c r="C874" t="s">
        <v>106</v>
      </c>
      <c r="D874">
        <v>-33.913089182498901</v>
      </c>
      <c r="E874">
        <v>18.847249747662399</v>
      </c>
      <c r="F874">
        <v>6.5750000000000003E-2</v>
      </c>
      <c r="G874">
        <v>0.1643</v>
      </c>
      <c r="H874">
        <v>9.8599999999999993E-2</v>
      </c>
      <c r="I874">
        <v>4392.7359999999999</v>
      </c>
      <c r="J874">
        <v>6310.277</v>
      </c>
    </row>
    <row r="875" spans="1:10">
      <c r="A875">
        <v>73</v>
      </c>
      <c r="B875">
        <v>10</v>
      </c>
      <c r="C875" t="s">
        <v>106</v>
      </c>
      <c r="D875">
        <v>-33.918302314235099</v>
      </c>
      <c r="E875">
        <v>18.847325143517001</v>
      </c>
      <c r="F875">
        <v>6.5750000000000003E-2</v>
      </c>
      <c r="G875">
        <v>0.1643</v>
      </c>
      <c r="H875">
        <v>9.8599999999999993E-2</v>
      </c>
      <c r="I875">
        <v>4173.0069999999996</v>
      </c>
      <c r="J875">
        <v>6090.5479999999998</v>
      </c>
    </row>
    <row r="876" spans="1:10">
      <c r="A876">
        <v>74</v>
      </c>
      <c r="B876">
        <v>10</v>
      </c>
      <c r="C876" t="s">
        <v>106</v>
      </c>
      <c r="D876">
        <v>-33.914616523135599</v>
      </c>
      <c r="E876">
        <v>18.8463033384254</v>
      </c>
      <c r="F876">
        <v>6.5750000000000003E-2</v>
      </c>
      <c r="G876">
        <v>0.1643</v>
      </c>
      <c r="H876">
        <v>9.8599999999999993E-2</v>
      </c>
      <c r="I876">
        <v>4471.7529999999997</v>
      </c>
      <c r="J876">
        <v>6389.2939999999999</v>
      </c>
    </row>
    <row r="877" spans="1:10">
      <c r="A877">
        <v>75</v>
      </c>
      <c r="B877">
        <v>10</v>
      </c>
      <c r="C877" t="s">
        <v>106</v>
      </c>
      <c r="D877">
        <v>-33.9165921952739</v>
      </c>
      <c r="E877">
        <v>18.845360918422202</v>
      </c>
      <c r="F877">
        <v>6.5750000000000003E-2</v>
      </c>
      <c r="G877">
        <v>0.1643</v>
      </c>
      <c r="H877">
        <v>9.8599999999999993E-2</v>
      </c>
      <c r="I877">
        <v>4310.2309999999998</v>
      </c>
      <c r="J877">
        <v>6227.7719999999999</v>
      </c>
    </row>
    <row r="878" spans="1:10">
      <c r="A878">
        <v>76</v>
      </c>
      <c r="B878">
        <v>10</v>
      </c>
      <c r="C878" t="s">
        <v>106</v>
      </c>
      <c r="D878">
        <v>-33.913211769480299</v>
      </c>
      <c r="E878">
        <v>18.846015964727499</v>
      </c>
      <c r="F878">
        <v>6.5750000000000003E-2</v>
      </c>
      <c r="G878">
        <v>0.1643</v>
      </c>
      <c r="H878">
        <v>9.8599999999999993E-2</v>
      </c>
      <c r="I878">
        <v>4775.5919999999996</v>
      </c>
      <c r="J878">
        <v>6693.1319999999996</v>
      </c>
    </row>
    <row r="879" spans="1:10">
      <c r="A879">
        <v>77</v>
      </c>
      <c r="B879">
        <v>10</v>
      </c>
      <c r="C879" t="s">
        <v>106</v>
      </c>
      <c r="D879">
        <v>-33.918090131011397</v>
      </c>
      <c r="E879">
        <v>18.845562262073098</v>
      </c>
      <c r="F879">
        <v>6.5750000000000003E-2</v>
      </c>
      <c r="G879">
        <v>0.1643</v>
      </c>
      <c r="H879">
        <v>9.8599999999999993E-2</v>
      </c>
      <c r="I879">
        <v>4417.8010000000004</v>
      </c>
      <c r="J879">
        <v>6335.3419999999996</v>
      </c>
    </row>
    <row r="880" spans="1:10">
      <c r="A880">
        <v>78</v>
      </c>
      <c r="B880">
        <v>10</v>
      </c>
      <c r="C880" t="s">
        <v>106</v>
      </c>
      <c r="D880">
        <v>-33.913112489321399</v>
      </c>
      <c r="E880">
        <v>18.844965518981599</v>
      </c>
      <c r="F880">
        <v>6.5750000000000003E-2</v>
      </c>
      <c r="G880">
        <v>0.1643</v>
      </c>
      <c r="H880">
        <v>9.8599999999999993E-2</v>
      </c>
      <c r="I880">
        <v>4852.9480000000003</v>
      </c>
      <c r="J880">
        <v>6770.4889999999996</v>
      </c>
    </row>
    <row r="881" spans="1:10">
      <c r="A881">
        <v>79</v>
      </c>
      <c r="B881">
        <v>10</v>
      </c>
      <c r="C881" t="s">
        <v>106</v>
      </c>
      <c r="D881">
        <v>-33.918632482153498</v>
      </c>
      <c r="E881">
        <v>18.846996109435398</v>
      </c>
      <c r="F881">
        <v>6.5750000000000003E-2</v>
      </c>
      <c r="G881">
        <v>0.1643</v>
      </c>
      <c r="H881">
        <v>9.8599999999999993E-2</v>
      </c>
      <c r="I881">
        <v>4232.2430000000004</v>
      </c>
      <c r="J881">
        <v>6149.7839999999997</v>
      </c>
    </row>
    <row r="882" spans="1:10">
      <c r="A882">
        <v>80</v>
      </c>
      <c r="B882">
        <v>10</v>
      </c>
      <c r="C882" t="s">
        <v>106</v>
      </c>
      <c r="D882">
        <v>-33.916682624324999</v>
      </c>
      <c r="E882">
        <v>18.846614928848101</v>
      </c>
      <c r="F882">
        <v>6.5750000000000003E-2</v>
      </c>
      <c r="G882">
        <v>0.1643</v>
      </c>
      <c r="H882">
        <v>9.8599999999999993E-2</v>
      </c>
      <c r="I882">
        <v>4174.8630000000003</v>
      </c>
      <c r="J882">
        <v>6092.4030000000002</v>
      </c>
    </row>
    <row r="883" spans="1:10">
      <c r="A883">
        <v>81</v>
      </c>
      <c r="B883">
        <v>10</v>
      </c>
      <c r="C883" t="s">
        <v>106</v>
      </c>
      <c r="D883">
        <v>-33.914796420695197</v>
      </c>
      <c r="E883">
        <v>18.845075095438599</v>
      </c>
      <c r="F883">
        <v>6.5750000000000003E-2</v>
      </c>
      <c r="G883">
        <v>0.1643</v>
      </c>
      <c r="H883">
        <v>9.8599999999999993E-2</v>
      </c>
      <c r="I883">
        <v>4753.8</v>
      </c>
      <c r="J883">
        <v>6671.3410000000003</v>
      </c>
    </row>
    <row r="884" spans="1:10">
      <c r="A884">
        <v>82</v>
      </c>
      <c r="B884">
        <v>10</v>
      </c>
      <c r="C884" t="s">
        <v>106</v>
      </c>
      <c r="D884">
        <v>-33.915566474334902</v>
      </c>
      <c r="E884">
        <v>18.8473824376238</v>
      </c>
      <c r="F884">
        <v>6.5750000000000003E-2</v>
      </c>
      <c r="G884">
        <v>0.1643</v>
      </c>
      <c r="H884">
        <v>9.8599999999999993E-2</v>
      </c>
      <c r="I884">
        <v>4246.018</v>
      </c>
      <c r="J884">
        <v>6163.5590000000002</v>
      </c>
    </row>
    <row r="885" spans="1:10">
      <c r="A885">
        <v>83</v>
      </c>
      <c r="B885">
        <v>10</v>
      </c>
      <c r="C885" t="s">
        <v>106</v>
      </c>
      <c r="D885">
        <v>-33.918005738986999</v>
      </c>
      <c r="E885">
        <v>18.845341972395801</v>
      </c>
      <c r="F885">
        <v>6.5750000000000003E-2</v>
      </c>
      <c r="G885">
        <v>0.1643</v>
      </c>
      <c r="H885">
        <v>9.8599999999999993E-2</v>
      </c>
      <c r="I885">
        <v>4649.3670000000002</v>
      </c>
      <c r="J885">
        <v>6566.9070000000002</v>
      </c>
    </row>
    <row r="886" spans="1:10">
      <c r="A886">
        <v>84</v>
      </c>
      <c r="B886">
        <v>10</v>
      </c>
      <c r="C886" t="s">
        <v>106</v>
      </c>
      <c r="D886">
        <v>-33.914159702550002</v>
      </c>
      <c r="E886">
        <v>18.847125911054601</v>
      </c>
      <c r="F886">
        <v>6.5750000000000003E-2</v>
      </c>
      <c r="G886">
        <v>0.1643</v>
      </c>
      <c r="H886">
        <v>9.8599999999999993E-2</v>
      </c>
      <c r="I886">
        <v>4380.45</v>
      </c>
      <c r="J886">
        <v>6297.991</v>
      </c>
    </row>
    <row r="887" spans="1:10">
      <c r="A887">
        <v>85</v>
      </c>
      <c r="B887">
        <v>10</v>
      </c>
      <c r="C887" t="s">
        <v>106</v>
      </c>
      <c r="D887">
        <v>-33.916365734331102</v>
      </c>
      <c r="E887">
        <v>18.8461611210524</v>
      </c>
      <c r="F887">
        <v>6.5750000000000003E-2</v>
      </c>
      <c r="G887">
        <v>0.1643</v>
      </c>
      <c r="H887">
        <v>9.8599999999999993E-2</v>
      </c>
      <c r="I887">
        <v>4274.7780000000002</v>
      </c>
      <c r="J887">
        <v>6192.3190000000004</v>
      </c>
    </row>
    <row r="888" spans="1:10">
      <c r="A888">
        <v>86</v>
      </c>
      <c r="B888">
        <v>10</v>
      </c>
      <c r="C888" t="s">
        <v>106</v>
      </c>
      <c r="D888">
        <v>-33.913122090129903</v>
      </c>
      <c r="E888">
        <v>18.846860428479701</v>
      </c>
      <c r="F888">
        <v>6.5750000000000003E-2</v>
      </c>
      <c r="G888">
        <v>0.1643</v>
      </c>
      <c r="H888">
        <v>9.8599999999999993E-2</v>
      </c>
      <c r="I888">
        <v>4424.5519999999997</v>
      </c>
      <c r="J888">
        <v>6342.0929999999998</v>
      </c>
    </row>
    <row r="889" spans="1:10">
      <c r="A889">
        <v>87</v>
      </c>
      <c r="B889">
        <v>10</v>
      </c>
      <c r="C889" t="s">
        <v>106</v>
      </c>
      <c r="D889">
        <v>-33.912583139609701</v>
      </c>
      <c r="E889">
        <v>18.8469326613459</v>
      </c>
      <c r="F889">
        <v>6.5750000000000003E-2</v>
      </c>
      <c r="G889">
        <v>0.1643</v>
      </c>
      <c r="H889">
        <v>9.8599999999999993E-2</v>
      </c>
      <c r="I889">
        <v>4414.2809999999999</v>
      </c>
      <c r="J889">
        <v>6331.8220000000001</v>
      </c>
    </row>
    <row r="890" spans="1:10">
      <c r="A890">
        <v>88</v>
      </c>
      <c r="B890">
        <v>10</v>
      </c>
      <c r="C890" t="s">
        <v>106</v>
      </c>
      <c r="D890">
        <v>-33.915549265400401</v>
      </c>
      <c r="E890">
        <v>18.845620916388299</v>
      </c>
      <c r="F890">
        <v>6.5750000000000003E-2</v>
      </c>
      <c r="G890">
        <v>0.1643</v>
      </c>
      <c r="H890">
        <v>9.8599999999999993E-2</v>
      </c>
      <c r="I890">
        <v>4626.183</v>
      </c>
      <c r="J890">
        <v>6543.7240000000002</v>
      </c>
    </row>
    <row r="891" spans="1:10">
      <c r="A891">
        <v>89</v>
      </c>
      <c r="B891">
        <v>10</v>
      </c>
      <c r="C891" t="s">
        <v>106</v>
      </c>
      <c r="D891">
        <v>-33.918739582734403</v>
      </c>
      <c r="E891">
        <v>18.846307172672301</v>
      </c>
      <c r="F891">
        <v>6.5750000000000003E-2</v>
      </c>
      <c r="G891">
        <v>0.1643</v>
      </c>
      <c r="H891">
        <v>9.8599999999999993E-2</v>
      </c>
      <c r="I891">
        <v>4358.7740000000003</v>
      </c>
      <c r="J891">
        <v>6276.3149999999996</v>
      </c>
    </row>
    <row r="892" spans="1:10">
      <c r="A892">
        <v>90</v>
      </c>
      <c r="B892">
        <v>10</v>
      </c>
      <c r="C892" t="s">
        <v>106</v>
      </c>
      <c r="D892">
        <v>-33.914263135242798</v>
      </c>
      <c r="E892">
        <v>18.846334081585201</v>
      </c>
      <c r="F892">
        <v>6.5750000000000003E-2</v>
      </c>
      <c r="G892">
        <v>0.1643</v>
      </c>
      <c r="H892">
        <v>9.8599999999999993E-2</v>
      </c>
      <c r="I892">
        <v>4492.5609999999997</v>
      </c>
      <c r="J892">
        <v>6410.1009999999997</v>
      </c>
    </row>
    <row r="893" spans="1:10">
      <c r="A893">
        <v>91</v>
      </c>
      <c r="B893">
        <v>10</v>
      </c>
      <c r="C893" t="s">
        <v>106</v>
      </c>
      <c r="D893">
        <v>-33.916749547094803</v>
      </c>
      <c r="E893">
        <v>18.8474315298016</v>
      </c>
      <c r="F893">
        <v>6.5750000000000003E-2</v>
      </c>
      <c r="G893">
        <v>0.1643</v>
      </c>
      <c r="H893">
        <v>9.8599999999999993E-2</v>
      </c>
      <c r="I893">
        <v>4094.5120000000002</v>
      </c>
      <c r="J893">
        <v>6012.0529999999999</v>
      </c>
    </row>
    <row r="894" spans="1:10">
      <c r="A894">
        <v>92</v>
      </c>
      <c r="B894">
        <v>10</v>
      </c>
      <c r="C894" t="s">
        <v>106</v>
      </c>
      <c r="D894">
        <v>-33.912593245007201</v>
      </c>
      <c r="E894">
        <v>18.845756402147199</v>
      </c>
      <c r="F894">
        <v>6.5750000000000003E-2</v>
      </c>
      <c r="G894">
        <v>0.1643</v>
      </c>
      <c r="H894">
        <v>9.8599999999999993E-2</v>
      </c>
      <c r="I894">
        <v>4760.2889999999998</v>
      </c>
      <c r="J894">
        <v>6677.83</v>
      </c>
    </row>
    <row r="895" spans="1:10">
      <c r="A895">
        <v>93</v>
      </c>
      <c r="B895">
        <v>10</v>
      </c>
      <c r="C895" t="s">
        <v>106</v>
      </c>
      <c r="D895">
        <v>-33.914566311675898</v>
      </c>
      <c r="E895">
        <v>18.846988863281201</v>
      </c>
      <c r="F895">
        <v>6.5750000000000003E-2</v>
      </c>
      <c r="G895">
        <v>0.1643</v>
      </c>
      <c r="H895">
        <v>9.8599999999999993E-2</v>
      </c>
      <c r="I895">
        <v>4415.3019999999997</v>
      </c>
      <c r="J895">
        <v>6332.8429999999998</v>
      </c>
    </row>
    <row r="896" spans="1:10">
      <c r="A896">
        <v>94</v>
      </c>
      <c r="B896">
        <v>10</v>
      </c>
      <c r="C896" t="s">
        <v>106</v>
      </c>
      <c r="D896">
        <v>-33.913203792450702</v>
      </c>
      <c r="E896">
        <v>18.8470074338763</v>
      </c>
      <c r="F896">
        <v>6.5750000000000003E-2</v>
      </c>
      <c r="G896">
        <v>0.1643</v>
      </c>
      <c r="H896">
        <v>9.8599999999999993E-2</v>
      </c>
      <c r="I896">
        <v>4417.9179999999997</v>
      </c>
      <c r="J896">
        <v>6335.4589999999998</v>
      </c>
    </row>
    <row r="897" spans="1:10">
      <c r="A897">
        <v>95</v>
      </c>
      <c r="B897">
        <v>10</v>
      </c>
      <c r="C897" t="s">
        <v>106</v>
      </c>
      <c r="D897">
        <v>-33.919141846838798</v>
      </c>
      <c r="E897">
        <v>18.845538151590301</v>
      </c>
      <c r="F897">
        <v>6.5750000000000003E-2</v>
      </c>
      <c r="G897">
        <v>0.1643</v>
      </c>
      <c r="H897">
        <v>9.8599999999999993E-2</v>
      </c>
      <c r="I897">
        <v>4319.0370000000003</v>
      </c>
      <c r="J897">
        <v>6236.5780000000004</v>
      </c>
    </row>
    <row r="898" spans="1:10">
      <c r="A898">
        <v>96</v>
      </c>
      <c r="B898">
        <v>10</v>
      </c>
      <c r="C898" t="s">
        <v>106</v>
      </c>
      <c r="D898">
        <v>-33.9170935247353</v>
      </c>
      <c r="E898">
        <v>18.8465501905319</v>
      </c>
      <c r="F898">
        <v>6.5750000000000003E-2</v>
      </c>
      <c r="G898">
        <v>0.1643</v>
      </c>
      <c r="H898">
        <v>9.8599999999999993E-2</v>
      </c>
      <c r="I898">
        <v>4203.3069999999998</v>
      </c>
      <c r="J898">
        <v>6120.848</v>
      </c>
    </row>
    <row r="899" spans="1:10">
      <c r="A899">
        <v>97</v>
      </c>
      <c r="B899">
        <v>10</v>
      </c>
      <c r="C899" t="s">
        <v>106</v>
      </c>
      <c r="D899">
        <v>-33.918639142040902</v>
      </c>
      <c r="E899">
        <v>18.846361453251902</v>
      </c>
      <c r="F899">
        <v>6.5750000000000003E-2</v>
      </c>
      <c r="G899">
        <v>0.1643</v>
      </c>
      <c r="H899">
        <v>9.8599999999999993E-2</v>
      </c>
      <c r="I899">
        <v>4281.4279999999999</v>
      </c>
      <c r="J899">
        <v>6198.9690000000001</v>
      </c>
    </row>
    <row r="900" spans="1:10">
      <c r="A900">
        <v>98</v>
      </c>
      <c r="B900">
        <v>10</v>
      </c>
      <c r="C900" t="s">
        <v>106</v>
      </c>
      <c r="D900">
        <v>-33.918548241187501</v>
      </c>
      <c r="E900">
        <v>18.846432854673999</v>
      </c>
      <c r="F900">
        <v>6.5750000000000003E-2</v>
      </c>
      <c r="G900">
        <v>0.1643</v>
      </c>
      <c r="H900">
        <v>9.8599999999999993E-2</v>
      </c>
      <c r="I900">
        <v>4280.68</v>
      </c>
      <c r="J900">
        <v>6198.2209999999995</v>
      </c>
    </row>
    <row r="901" spans="1:10">
      <c r="A901">
        <v>99</v>
      </c>
      <c r="B901">
        <v>10</v>
      </c>
      <c r="C901" t="s">
        <v>106</v>
      </c>
      <c r="D901">
        <v>-33.916877942968199</v>
      </c>
      <c r="E901">
        <v>18.8461992863893</v>
      </c>
      <c r="F901">
        <v>6.5750000000000003E-2</v>
      </c>
      <c r="G901">
        <v>0.1643</v>
      </c>
      <c r="H901">
        <v>9.8599999999999993E-2</v>
      </c>
      <c r="I901">
        <v>4240.8919999999998</v>
      </c>
      <c r="J901">
        <v>6158.4319999999998</v>
      </c>
    </row>
    <row r="902" spans="1:10">
      <c r="A902">
        <v>100</v>
      </c>
      <c r="B902">
        <v>10</v>
      </c>
      <c r="C902" t="s">
        <v>106</v>
      </c>
      <c r="D902">
        <v>-33.914268133349701</v>
      </c>
      <c r="E902">
        <v>18.8450085776648</v>
      </c>
      <c r="F902">
        <v>6.5750000000000003E-2</v>
      </c>
      <c r="G902">
        <v>0.1643</v>
      </c>
      <c r="H902">
        <v>9.8599999999999993E-2</v>
      </c>
      <c r="I902">
        <v>4595.049</v>
      </c>
      <c r="J902">
        <v>6512.59</v>
      </c>
    </row>
    <row r="903" spans="1:10">
      <c r="A903">
        <v>101</v>
      </c>
      <c r="B903">
        <v>10</v>
      </c>
      <c r="C903" t="s">
        <v>106</v>
      </c>
      <c r="D903">
        <v>-33.917857373590103</v>
      </c>
      <c r="E903">
        <v>18.846507163833198</v>
      </c>
      <c r="F903">
        <v>6.5750000000000003E-2</v>
      </c>
      <c r="G903">
        <v>0.1643</v>
      </c>
      <c r="H903">
        <v>9.8599999999999993E-2</v>
      </c>
      <c r="I903">
        <v>4221.6549999999997</v>
      </c>
      <c r="J903">
        <v>6139.1959999999999</v>
      </c>
    </row>
    <row r="904" spans="1:10">
      <c r="A904">
        <v>102</v>
      </c>
      <c r="B904">
        <v>10</v>
      </c>
      <c r="C904" t="s">
        <v>106</v>
      </c>
      <c r="D904">
        <v>-33.9158646836499</v>
      </c>
      <c r="E904">
        <v>18.847392626859499</v>
      </c>
      <c r="F904">
        <v>6.5750000000000003E-2</v>
      </c>
      <c r="G904">
        <v>0.1643</v>
      </c>
      <c r="H904">
        <v>9.8599999999999993E-2</v>
      </c>
      <c r="I904">
        <v>4175.6000000000004</v>
      </c>
      <c r="J904">
        <v>6093.1409999999996</v>
      </c>
    </row>
    <row r="905" spans="1:10">
      <c r="A905">
        <v>103</v>
      </c>
      <c r="B905">
        <v>10</v>
      </c>
      <c r="C905" t="s">
        <v>106</v>
      </c>
      <c r="D905">
        <v>-33.9135814198481</v>
      </c>
      <c r="E905">
        <v>18.846298791204202</v>
      </c>
      <c r="F905">
        <v>6.5750000000000003E-2</v>
      </c>
      <c r="G905">
        <v>0.1643</v>
      </c>
      <c r="H905">
        <v>9.8599999999999993E-2</v>
      </c>
      <c r="I905">
        <v>4495.6279999999997</v>
      </c>
      <c r="J905">
        <v>6413.1689999999999</v>
      </c>
    </row>
    <row r="906" spans="1:10">
      <c r="A906">
        <v>104</v>
      </c>
      <c r="B906">
        <v>10</v>
      </c>
      <c r="C906" t="s">
        <v>106</v>
      </c>
      <c r="D906">
        <v>-33.9190643533545</v>
      </c>
      <c r="E906">
        <v>18.847508636886701</v>
      </c>
      <c r="F906">
        <v>6.5750000000000003E-2</v>
      </c>
      <c r="G906">
        <v>0.1643</v>
      </c>
      <c r="H906">
        <v>9.8599999999999993E-2</v>
      </c>
      <c r="I906">
        <v>4257.3450000000003</v>
      </c>
      <c r="J906">
        <v>6174.8850000000002</v>
      </c>
    </row>
    <row r="907" spans="1:10">
      <c r="A907">
        <v>105</v>
      </c>
      <c r="B907">
        <v>10</v>
      </c>
      <c r="C907" t="s">
        <v>106</v>
      </c>
      <c r="D907">
        <v>-33.913045752981603</v>
      </c>
      <c r="E907">
        <v>18.846573936219801</v>
      </c>
      <c r="F907">
        <v>6.5750000000000003E-2</v>
      </c>
      <c r="G907">
        <v>0.1643</v>
      </c>
      <c r="H907">
        <v>9.8599999999999993E-2</v>
      </c>
      <c r="I907">
        <v>4734.0919999999996</v>
      </c>
      <c r="J907">
        <v>6651.6329999999998</v>
      </c>
    </row>
    <row r="908" spans="1:10">
      <c r="A908">
        <v>106</v>
      </c>
      <c r="B908">
        <v>10</v>
      </c>
      <c r="C908" t="s">
        <v>106</v>
      </c>
      <c r="D908">
        <v>-33.917848784847799</v>
      </c>
      <c r="E908">
        <v>18.846188223558201</v>
      </c>
      <c r="F908">
        <v>6.5750000000000003E-2</v>
      </c>
      <c r="G908">
        <v>0.1643</v>
      </c>
      <c r="H908">
        <v>9.8599999999999993E-2</v>
      </c>
      <c r="I908">
        <v>4243.076</v>
      </c>
      <c r="J908">
        <v>6160.6170000000002</v>
      </c>
    </row>
    <row r="909" spans="1:10">
      <c r="A909">
        <v>107</v>
      </c>
      <c r="B909">
        <v>10</v>
      </c>
      <c r="C909" t="s">
        <v>106</v>
      </c>
      <c r="D909">
        <v>-33.918766866504299</v>
      </c>
      <c r="E909">
        <v>18.845141476751301</v>
      </c>
      <c r="F909">
        <v>6.5750000000000003E-2</v>
      </c>
      <c r="G909">
        <v>0.1643</v>
      </c>
      <c r="H909">
        <v>9.8599999999999993E-2</v>
      </c>
      <c r="I909">
        <v>4371.5730000000003</v>
      </c>
      <c r="J909">
        <v>6289.1139999999996</v>
      </c>
    </row>
    <row r="910" spans="1:10">
      <c r="A910">
        <v>108</v>
      </c>
      <c r="B910">
        <v>10</v>
      </c>
      <c r="C910" t="s">
        <v>106</v>
      </c>
      <c r="D910">
        <v>-33.913453743250997</v>
      </c>
      <c r="E910">
        <v>18.844890718100999</v>
      </c>
      <c r="F910">
        <v>6.5750000000000003E-2</v>
      </c>
      <c r="G910">
        <v>0.1643</v>
      </c>
      <c r="H910">
        <v>9.8599999999999993E-2</v>
      </c>
      <c r="I910">
        <v>4890.6260000000002</v>
      </c>
      <c r="J910">
        <v>6808.1670000000004</v>
      </c>
    </row>
    <row r="911" spans="1:10">
      <c r="A911">
        <v>109</v>
      </c>
      <c r="B911">
        <v>10</v>
      </c>
      <c r="C911" t="s">
        <v>106</v>
      </c>
      <c r="D911">
        <v>-33.912617006006002</v>
      </c>
      <c r="E911">
        <v>18.845010635536099</v>
      </c>
      <c r="F911">
        <v>6.5750000000000003E-2</v>
      </c>
      <c r="G911">
        <v>0.1643</v>
      </c>
      <c r="H911">
        <v>9.8599999999999993E-2</v>
      </c>
      <c r="I911">
        <v>4818.6869999999999</v>
      </c>
      <c r="J911">
        <v>6736.2280000000001</v>
      </c>
    </row>
    <row r="912" spans="1:10">
      <c r="A912">
        <v>110</v>
      </c>
      <c r="B912">
        <v>10</v>
      </c>
      <c r="C912" t="s">
        <v>106</v>
      </c>
      <c r="D912">
        <v>-33.914251527464799</v>
      </c>
      <c r="E912">
        <v>18.845382279417301</v>
      </c>
      <c r="F912">
        <v>6.5750000000000003E-2</v>
      </c>
      <c r="G912">
        <v>0.1643</v>
      </c>
      <c r="H912">
        <v>9.8599999999999993E-2</v>
      </c>
      <c r="I912">
        <v>4571.3059999999996</v>
      </c>
      <c r="J912">
        <v>6488.8469999999998</v>
      </c>
    </row>
    <row r="913" spans="1:10">
      <c r="A913">
        <v>111</v>
      </c>
      <c r="B913">
        <v>10</v>
      </c>
      <c r="C913" t="s">
        <v>106</v>
      </c>
      <c r="D913">
        <v>-33.917850866148598</v>
      </c>
      <c r="E913">
        <v>18.8456059092514</v>
      </c>
      <c r="F913">
        <v>6.5750000000000003E-2</v>
      </c>
      <c r="G913">
        <v>0.1643</v>
      </c>
      <c r="H913">
        <v>9.8599999999999993E-2</v>
      </c>
      <c r="I913">
        <v>4432.3419999999996</v>
      </c>
      <c r="J913">
        <v>6349.8819999999996</v>
      </c>
    </row>
    <row r="914" spans="1:10">
      <c r="A914">
        <v>112</v>
      </c>
      <c r="B914">
        <v>10</v>
      </c>
      <c r="C914" t="s">
        <v>106</v>
      </c>
      <c r="D914">
        <v>-33.914004073358598</v>
      </c>
      <c r="E914">
        <v>18.845446142087098</v>
      </c>
      <c r="F914">
        <v>6.5750000000000003E-2</v>
      </c>
      <c r="G914">
        <v>0.1643</v>
      </c>
      <c r="H914">
        <v>9.8599999999999993E-2</v>
      </c>
      <c r="I914">
        <v>4571.5770000000002</v>
      </c>
      <c r="J914">
        <v>6489.1180000000004</v>
      </c>
    </row>
    <row r="915" spans="1:10">
      <c r="A915">
        <v>113</v>
      </c>
      <c r="B915">
        <v>10</v>
      </c>
      <c r="C915" t="s">
        <v>106</v>
      </c>
      <c r="D915">
        <v>-33.915642533370502</v>
      </c>
      <c r="E915">
        <v>18.846803700201601</v>
      </c>
      <c r="F915">
        <v>6.5750000000000003E-2</v>
      </c>
      <c r="G915">
        <v>0.1643</v>
      </c>
      <c r="H915">
        <v>9.8599999999999993E-2</v>
      </c>
      <c r="I915">
        <v>4300.8959999999997</v>
      </c>
      <c r="J915">
        <v>6218.4369999999999</v>
      </c>
    </row>
    <row r="916" spans="1:10">
      <c r="A916">
        <v>114</v>
      </c>
      <c r="B916">
        <v>10</v>
      </c>
      <c r="C916" t="s">
        <v>106</v>
      </c>
      <c r="D916">
        <v>-33.916226479441498</v>
      </c>
      <c r="E916">
        <v>18.8459482581228</v>
      </c>
      <c r="F916">
        <v>6.5750000000000003E-2</v>
      </c>
      <c r="G916">
        <v>0.1643</v>
      </c>
      <c r="H916">
        <v>9.8599999999999993E-2</v>
      </c>
      <c r="I916">
        <v>4296.5709999999999</v>
      </c>
      <c r="J916">
        <v>6214.1120000000001</v>
      </c>
    </row>
    <row r="917" spans="1:10">
      <c r="A917">
        <v>115</v>
      </c>
      <c r="B917">
        <v>10</v>
      </c>
      <c r="C917" t="s">
        <v>106</v>
      </c>
      <c r="D917">
        <v>-33.918653649125503</v>
      </c>
      <c r="E917">
        <v>18.847331157614999</v>
      </c>
      <c r="F917">
        <v>6.5750000000000003E-2</v>
      </c>
      <c r="G917">
        <v>0.1643</v>
      </c>
      <c r="H917">
        <v>9.8599999999999993E-2</v>
      </c>
      <c r="I917">
        <v>4212.3040000000001</v>
      </c>
      <c r="J917">
        <v>6129.8450000000003</v>
      </c>
    </row>
    <row r="918" spans="1:10">
      <c r="A918">
        <v>116</v>
      </c>
      <c r="B918">
        <v>10</v>
      </c>
      <c r="C918" t="s">
        <v>106</v>
      </c>
      <c r="D918">
        <v>-33.913603177183198</v>
      </c>
      <c r="E918">
        <v>18.847045090210798</v>
      </c>
      <c r="F918">
        <v>6.5750000000000003E-2</v>
      </c>
      <c r="G918">
        <v>0.1643</v>
      </c>
      <c r="H918">
        <v>9.8599999999999993E-2</v>
      </c>
      <c r="I918">
        <v>4398.7370000000001</v>
      </c>
      <c r="J918">
        <v>6316.2780000000002</v>
      </c>
    </row>
    <row r="919" spans="1:10">
      <c r="A919">
        <v>117</v>
      </c>
      <c r="B919">
        <v>10</v>
      </c>
      <c r="C919" t="s">
        <v>106</v>
      </c>
      <c r="D919">
        <v>-33.915066271305498</v>
      </c>
      <c r="E919">
        <v>18.8470502371447</v>
      </c>
      <c r="F919">
        <v>6.5750000000000003E-2</v>
      </c>
      <c r="G919">
        <v>0.1643</v>
      </c>
      <c r="H919">
        <v>9.8599999999999993E-2</v>
      </c>
      <c r="I919">
        <v>4329.4380000000001</v>
      </c>
      <c r="J919">
        <v>6246.9790000000003</v>
      </c>
    </row>
    <row r="920" spans="1:10">
      <c r="A920">
        <v>118</v>
      </c>
      <c r="B920">
        <v>10</v>
      </c>
      <c r="C920" t="s">
        <v>106</v>
      </c>
      <c r="D920">
        <v>-33.914101477181703</v>
      </c>
      <c r="E920">
        <v>18.847492814389401</v>
      </c>
      <c r="F920">
        <v>6.5750000000000003E-2</v>
      </c>
      <c r="G920">
        <v>0.1643</v>
      </c>
      <c r="H920">
        <v>9.8599999999999993E-2</v>
      </c>
      <c r="I920">
        <v>4348.3739999999998</v>
      </c>
      <c r="J920">
        <v>6265.915</v>
      </c>
    </row>
    <row r="921" spans="1:10">
      <c r="A921">
        <v>119</v>
      </c>
      <c r="B921">
        <v>10</v>
      </c>
      <c r="C921" t="s">
        <v>106</v>
      </c>
      <c r="D921">
        <v>-33.913886410046501</v>
      </c>
      <c r="E921">
        <v>18.8469524859585</v>
      </c>
      <c r="F921">
        <v>6.5750000000000003E-2</v>
      </c>
      <c r="G921">
        <v>0.1643</v>
      </c>
      <c r="H921">
        <v>9.8599999999999993E-2</v>
      </c>
      <c r="I921">
        <v>4422.8320000000003</v>
      </c>
      <c r="J921">
        <v>6340.3729999999996</v>
      </c>
    </row>
    <row r="922" spans="1:10">
      <c r="A922">
        <v>120</v>
      </c>
      <c r="B922">
        <v>10</v>
      </c>
      <c r="C922" t="s">
        <v>106</v>
      </c>
      <c r="D922">
        <v>-33.9124797146182</v>
      </c>
      <c r="E922">
        <v>18.845319689510699</v>
      </c>
      <c r="F922">
        <v>6.5750000000000003E-2</v>
      </c>
      <c r="G922">
        <v>0.1643</v>
      </c>
      <c r="H922">
        <v>9.8599999999999993E-2</v>
      </c>
      <c r="I922">
        <v>4786.4610000000002</v>
      </c>
      <c r="J922">
        <v>6704.0020000000004</v>
      </c>
    </row>
    <row r="923" spans="1:10">
      <c r="A923">
        <v>121</v>
      </c>
      <c r="B923">
        <v>10</v>
      </c>
      <c r="C923" t="s">
        <v>106</v>
      </c>
      <c r="D923">
        <v>-33.917646715008999</v>
      </c>
      <c r="E923">
        <v>18.846832561421898</v>
      </c>
      <c r="F923">
        <v>6.5750000000000003E-2</v>
      </c>
      <c r="G923">
        <v>0.1643</v>
      </c>
      <c r="H923">
        <v>9.8599999999999993E-2</v>
      </c>
      <c r="I923">
        <v>4172.799</v>
      </c>
      <c r="J923">
        <v>6090.34</v>
      </c>
    </row>
    <row r="924" spans="1:10">
      <c r="A924">
        <v>122</v>
      </c>
      <c r="B924">
        <v>10</v>
      </c>
      <c r="C924" t="s">
        <v>106</v>
      </c>
      <c r="D924">
        <v>-33.915909721585003</v>
      </c>
      <c r="E924">
        <v>18.846995851945302</v>
      </c>
      <c r="F924">
        <v>6.5750000000000003E-2</v>
      </c>
      <c r="G924">
        <v>0.1643</v>
      </c>
      <c r="H924">
        <v>9.8599999999999993E-2</v>
      </c>
      <c r="I924">
        <v>4209.0529999999999</v>
      </c>
      <c r="J924">
        <v>6126.5929999999998</v>
      </c>
    </row>
    <row r="925" spans="1:10">
      <c r="A925">
        <v>123</v>
      </c>
      <c r="B925">
        <v>10</v>
      </c>
      <c r="C925" t="s">
        <v>106</v>
      </c>
      <c r="D925">
        <v>-33.913299289262099</v>
      </c>
      <c r="E925">
        <v>18.846750991063701</v>
      </c>
      <c r="F925">
        <v>6.5750000000000003E-2</v>
      </c>
      <c r="G925">
        <v>0.1643</v>
      </c>
      <c r="H925">
        <v>9.8599999999999993E-2</v>
      </c>
      <c r="I925">
        <v>4443.6000000000004</v>
      </c>
      <c r="J925">
        <v>6361.1409999999996</v>
      </c>
    </row>
    <row r="926" spans="1:10">
      <c r="A926">
        <v>124</v>
      </c>
      <c r="B926">
        <v>10</v>
      </c>
      <c r="C926" t="s">
        <v>106</v>
      </c>
      <c r="D926">
        <v>-33.918995852015499</v>
      </c>
      <c r="E926">
        <v>18.846507292936899</v>
      </c>
      <c r="F926">
        <v>6.5750000000000003E-2</v>
      </c>
      <c r="G926">
        <v>0.1643</v>
      </c>
      <c r="H926">
        <v>9.8599999999999993E-2</v>
      </c>
      <c r="I926">
        <v>4389.0609999999997</v>
      </c>
      <c r="J926">
        <v>6306.6019999999999</v>
      </c>
    </row>
    <row r="927" spans="1:10">
      <c r="A927">
        <v>125</v>
      </c>
      <c r="B927">
        <v>10</v>
      </c>
      <c r="C927" t="s">
        <v>106</v>
      </c>
      <c r="D927">
        <v>-33.915742108032902</v>
      </c>
      <c r="E927">
        <v>18.845429181808498</v>
      </c>
      <c r="F927">
        <v>6.5750000000000003E-2</v>
      </c>
      <c r="G927">
        <v>0.1643</v>
      </c>
      <c r="H927">
        <v>9.8599999999999993E-2</v>
      </c>
      <c r="I927">
        <v>4362.3909999999996</v>
      </c>
      <c r="J927">
        <v>6279.9319999999998</v>
      </c>
    </row>
    <row r="928" spans="1:10">
      <c r="A928">
        <v>126</v>
      </c>
      <c r="B928">
        <v>10</v>
      </c>
      <c r="C928" t="s">
        <v>106</v>
      </c>
      <c r="D928">
        <v>-33.913005288480797</v>
      </c>
      <c r="E928">
        <v>18.845623276314502</v>
      </c>
      <c r="F928">
        <v>6.5750000000000003E-2</v>
      </c>
      <c r="G928">
        <v>0.1643</v>
      </c>
      <c r="H928">
        <v>9.8599999999999993E-2</v>
      </c>
      <c r="I928">
        <v>4792.9089999999997</v>
      </c>
      <c r="J928">
        <v>6710.45</v>
      </c>
    </row>
    <row r="929" spans="1:10">
      <c r="A929">
        <v>127</v>
      </c>
      <c r="B929">
        <v>10</v>
      </c>
      <c r="C929" t="s">
        <v>106</v>
      </c>
      <c r="D929">
        <v>-33.919135018011701</v>
      </c>
      <c r="E929">
        <v>18.845782185900799</v>
      </c>
      <c r="F929">
        <v>6.5750000000000003E-2</v>
      </c>
      <c r="G929">
        <v>0.1643</v>
      </c>
      <c r="H929">
        <v>9.8599999999999993E-2</v>
      </c>
      <c r="I929">
        <v>4299.9089999999997</v>
      </c>
      <c r="J929">
        <v>6217.45</v>
      </c>
    </row>
    <row r="930" spans="1:10">
      <c r="A930">
        <v>128</v>
      </c>
      <c r="B930">
        <v>10</v>
      </c>
      <c r="C930" t="s">
        <v>106</v>
      </c>
      <c r="D930">
        <v>-33.916796853479198</v>
      </c>
      <c r="E930">
        <v>18.845368955047402</v>
      </c>
      <c r="F930">
        <v>6.5750000000000003E-2</v>
      </c>
      <c r="G930">
        <v>0.1643</v>
      </c>
      <c r="H930">
        <v>9.8599999999999993E-2</v>
      </c>
      <c r="I930">
        <v>4289.0129999999999</v>
      </c>
      <c r="J930">
        <v>6206.5540000000001</v>
      </c>
    </row>
    <row r="931" spans="1:10">
      <c r="A931">
        <v>129</v>
      </c>
      <c r="B931">
        <v>10</v>
      </c>
      <c r="C931" t="s">
        <v>106</v>
      </c>
      <c r="D931">
        <v>-33.916803793691898</v>
      </c>
      <c r="E931">
        <v>18.845717231769999</v>
      </c>
      <c r="F931">
        <v>6.5750000000000003E-2</v>
      </c>
      <c r="G931">
        <v>0.1643</v>
      </c>
      <c r="H931">
        <v>9.8599999999999993E-2</v>
      </c>
      <c r="I931">
        <v>4277.9170000000004</v>
      </c>
      <c r="J931">
        <v>6195.4579999999996</v>
      </c>
    </row>
    <row r="932" spans="1:10">
      <c r="A932">
        <v>130</v>
      </c>
      <c r="B932">
        <v>10</v>
      </c>
      <c r="C932" t="s">
        <v>106</v>
      </c>
      <c r="D932">
        <v>-33.912778054126399</v>
      </c>
      <c r="E932">
        <v>18.845867443229601</v>
      </c>
      <c r="F932">
        <v>6.5750000000000003E-2</v>
      </c>
      <c r="G932">
        <v>0.1643</v>
      </c>
      <c r="H932">
        <v>9.8599999999999993E-2</v>
      </c>
      <c r="I932">
        <v>4768.6109999999999</v>
      </c>
      <c r="J932">
        <v>6686.152</v>
      </c>
    </row>
    <row r="933" spans="1:10">
      <c r="A933">
        <v>131</v>
      </c>
      <c r="B933">
        <v>10</v>
      </c>
      <c r="C933" t="s">
        <v>106</v>
      </c>
      <c r="D933">
        <v>-33.916603227708201</v>
      </c>
      <c r="E933">
        <v>18.847608527606202</v>
      </c>
      <c r="F933">
        <v>6.5750000000000003E-2</v>
      </c>
      <c r="G933">
        <v>0.1643</v>
      </c>
      <c r="H933">
        <v>9.8599999999999993E-2</v>
      </c>
      <c r="I933">
        <v>4077.1930000000002</v>
      </c>
      <c r="J933">
        <v>5994.7340000000004</v>
      </c>
    </row>
    <row r="934" spans="1:10">
      <c r="A934">
        <v>132</v>
      </c>
      <c r="B934">
        <v>10</v>
      </c>
      <c r="C934" t="s">
        <v>106</v>
      </c>
      <c r="D934">
        <v>-33.917842587807797</v>
      </c>
      <c r="E934">
        <v>18.845988102897799</v>
      </c>
      <c r="F934">
        <v>6.5750000000000003E-2</v>
      </c>
      <c r="G934">
        <v>0.1643</v>
      </c>
      <c r="H934">
        <v>9.8599999999999993E-2</v>
      </c>
      <c r="I934">
        <v>4432.3419999999996</v>
      </c>
      <c r="J934">
        <v>6349.8819999999996</v>
      </c>
    </row>
    <row r="935" spans="1:10">
      <c r="A935">
        <v>133</v>
      </c>
      <c r="B935">
        <v>10</v>
      </c>
      <c r="C935" t="s">
        <v>106</v>
      </c>
      <c r="D935">
        <v>-33.917882731906197</v>
      </c>
      <c r="E935">
        <v>18.846831345021599</v>
      </c>
      <c r="F935">
        <v>6.5750000000000003E-2</v>
      </c>
      <c r="G935">
        <v>0.1643</v>
      </c>
      <c r="H935">
        <v>9.8599999999999993E-2</v>
      </c>
      <c r="I935">
        <v>4155.2359999999999</v>
      </c>
      <c r="J935">
        <v>6072.777</v>
      </c>
    </row>
    <row r="936" spans="1:10">
      <c r="A936">
        <v>134</v>
      </c>
      <c r="B936">
        <v>10</v>
      </c>
      <c r="C936" t="s">
        <v>106</v>
      </c>
      <c r="D936">
        <v>-33.9189430323595</v>
      </c>
      <c r="E936">
        <v>18.845840302124898</v>
      </c>
      <c r="F936">
        <v>6.5750000000000003E-2</v>
      </c>
      <c r="G936">
        <v>0.1643</v>
      </c>
      <c r="H936">
        <v>9.8599999999999993E-2</v>
      </c>
      <c r="I936">
        <v>4305.9250000000002</v>
      </c>
      <c r="J936">
        <v>6223.4660000000003</v>
      </c>
    </row>
    <row r="937" spans="1:10">
      <c r="A937">
        <v>135</v>
      </c>
      <c r="B937">
        <v>10</v>
      </c>
      <c r="C937" t="s">
        <v>106</v>
      </c>
      <c r="D937">
        <v>-33.916940424121897</v>
      </c>
      <c r="E937">
        <v>18.845050891361101</v>
      </c>
      <c r="F937">
        <v>6.5750000000000003E-2</v>
      </c>
      <c r="G937">
        <v>0.1643</v>
      </c>
      <c r="H937">
        <v>9.8599999999999993E-2</v>
      </c>
      <c r="I937">
        <v>4937.5280000000002</v>
      </c>
      <c r="J937">
        <v>6855.0690000000004</v>
      </c>
    </row>
    <row r="938" spans="1:10">
      <c r="A938">
        <v>136</v>
      </c>
      <c r="B938">
        <v>10</v>
      </c>
      <c r="C938" t="s">
        <v>106</v>
      </c>
      <c r="D938">
        <v>-33.913495949813502</v>
      </c>
      <c r="E938">
        <v>18.844914402592199</v>
      </c>
      <c r="F938">
        <v>6.5750000000000003E-2</v>
      </c>
      <c r="G938">
        <v>0.1643</v>
      </c>
      <c r="H938">
        <v>9.8599999999999993E-2</v>
      </c>
      <c r="I938">
        <v>4894.902</v>
      </c>
      <c r="J938">
        <v>6812.4430000000002</v>
      </c>
    </row>
    <row r="939" spans="1:10">
      <c r="A939">
        <v>137</v>
      </c>
      <c r="B939">
        <v>10</v>
      </c>
      <c r="C939" t="s">
        <v>106</v>
      </c>
      <c r="D939">
        <v>-33.9173541797974</v>
      </c>
      <c r="E939">
        <v>18.847283977323901</v>
      </c>
      <c r="F939">
        <v>6.5750000000000003E-2</v>
      </c>
      <c r="G939">
        <v>0.1643</v>
      </c>
      <c r="H939">
        <v>9.8599999999999993E-2</v>
      </c>
      <c r="I939">
        <v>4125.2929999999997</v>
      </c>
      <c r="J939">
        <v>6042.8329999999996</v>
      </c>
    </row>
    <row r="940" spans="1:10">
      <c r="A940">
        <v>138</v>
      </c>
      <c r="B940">
        <v>10</v>
      </c>
      <c r="C940" t="s">
        <v>106</v>
      </c>
      <c r="D940">
        <v>-33.9174591290545</v>
      </c>
      <c r="E940">
        <v>18.845734235220899</v>
      </c>
      <c r="F940">
        <v>6.5750000000000003E-2</v>
      </c>
      <c r="G940">
        <v>0.1643</v>
      </c>
      <c r="H940">
        <v>9.8599999999999993E-2</v>
      </c>
      <c r="I940">
        <v>5017.5309999999999</v>
      </c>
      <c r="J940">
        <v>6935.0709999999999</v>
      </c>
    </row>
    <row r="941" spans="1:10">
      <c r="A941">
        <v>139</v>
      </c>
      <c r="B941">
        <v>10</v>
      </c>
      <c r="C941" t="s">
        <v>106</v>
      </c>
      <c r="D941">
        <v>-33.913040623460198</v>
      </c>
      <c r="E941">
        <v>18.8461139893767</v>
      </c>
      <c r="F941">
        <v>6.5750000000000003E-2</v>
      </c>
      <c r="G941">
        <v>0.1643</v>
      </c>
      <c r="H941">
        <v>9.8599999999999993E-2</v>
      </c>
      <c r="I941">
        <v>4757.482</v>
      </c>
      <c r="J941">
        <v>6675.0230000000001</v>
      </c>
    </row>
    <row r="942" spans="1:10">
      <c r="A942">
        <v>140</v>
      </c>
      <c r="B942">
        <v>10</v>
      </c>
      <c r="C942" t="s">
        <v>106</v>
      </c>
      <c r="D942">
        <v>-33.918323194644998</v>
      </c>
      <c r="E942">
        <v>18.846267820456902</v>
      </c>
      <c r="F942">
        <v>6.5750000000000003E-2</v>
      </c>
      <c r="G942">
        <v>0.1643</v>
      </c>
      <c r="H942">
        <v>9.8599999999999993E-2</v>
      </c>
      <c r="I942">
        <v>4286.518</v>
      </c>
      <c r="J942">
        <v>6204.0590000000002</v>
      </c>
    </row>
    <row r="943" spans="1:10">
      <c r="A943">
        <v>141</v>
      </c>
      <c r="B943">
        <v>10</v>
      </c>
      <c r="C943" t="s">
        <v>106</v>
      </c>
      <c r="D943">
        <v>-33.912635535885599</v>
      </c>
      <c r="E943">
        <v>18.846262172865998</v>
      </c>
      <c r="F943">
        <v>6.5750000000000003E-2</v>
      </c>
      <c r="G943">
        <v>0.1643</v>
      </c>
      <c r="H943">
        <v>9.8599999999999993E-2</v>
      </c>
      <c r="I943">
        <v>4707.9449999999997</v>
      </c>
      <c r="J943">
        <v>6625.4859999999999</v>
      </c>
    </row>
    <row r="944" spans="1:10">
      <c r="A944">
        <v>142</v>
      </c>
      <c r="B944">
        <v>10</v>
      </c>
      <c r="C944" t="s">
        <v>106</v>
      </c>
      <c r="D944">
        <v>-33.912472307723199</v>
      </c>
      <c r="E944">
        <v>18.845975591729001</v>
      </c>
      <c r="F944">
        <v>6.5750000000000003E-2</v>
      </c>
      <c r="G944">
        <v>0.1643</v>
      </c>
      <c r="H944">
        <v>9.8599999999999993E-2</v>
      </c>
      <c r="I944">
        <v>4734.2830000000004</v>
      </c>
      <c r="J944">
        <v>6651.8239999999996</v>
      </c>
    </row>
    <row r="945" spans="1:10">
      <c r="A945">
        <v>143</v>
      </c>
      <c r="B945">
        <v>10</v>
      </c>
      <c r="C945" t="s">
        <v>106</v>
      </c>
      <c r="D945">
        <v>-33.914991655482503</v>
      </c>
      <c r="E945">
        <v>18.846900735291001</v>
      </c>
      <c r="F945">
        <v>6.5750000000000003E-2</v>
      </c>
      <c r="G945">
        <v>0.1643</v>
      </c>
      <c r="H945">
        <v>9.8599999999999993E-2</v>
      </c>
      <c r="I945">
        <v>4341.32</v>
      </c>
      <c r="J945">
        <v>6258.8609999999999</v>
      </c>
    </row>
    <row r="946" spans="1:10">
      <c r="A946">
        <v>144</v>
      </c>
      <c r="B946">
        <v>10</v>
      </c>
      <c r="C946" t="s">
        <v>106</v>
      </c>
      <c r="D946">
        <v>-33.918781186384798</v>
      </c>
      <c r="E946">
        <v>18.847377880119801</v>
      </c>
      <c r="F946">
        <v>6.5750000000000003E-2</v>
      </c>
      <c r="G946">
        <v>0.1643</v>
      </c>
      <c r="H946">
        <v>9.8599999999999993E-2</v>
      </c>
      <c r="I946">
        <v>4226.2129999999997</v>
      </c>
      <c r="J946">
        <v>6143.7539999999999</v>
      </c>
    </row>
    <row r="947" spans="1:10">
      <c r="A947">
        <v>145</v>
      </c>
      <c r="B947">
        <v>10</v>
      </c>
      <c r="C947" t="s">
        <v>106</v>
      </c>
      <c r="D947">
        <v>-33.914632348955401</v>
      </c>
      <c r="E947">
        <v>18.847195776396401</v>
      </c>
      <c r="F947">
        <v>6.5750000000000003E-2</v>
      </c>
      <c r="G947">
        <v>0.1643</v>
      </c>
      <c r="H947">
        <v>9.8599999999999993E-2</v>
      </c>
      <c r="I947">
        <v>4309.1210000000001</v>
      </c>
      <c r="J947">
        <v>6226.6620000000003</v>
      </c>
    </row>
    <row r="948" spans="1:10">
      <c r="A948">
        <v>146</v>
      </c>
      <c r="B948">
        <v>10</v>
      </c>
      <c r="C948" t="s">
        <v>106</v>
      </c>
      <c r="D948">
        <v>-33.913248170689201</v>
      </c>
      <c r="E948">
        <v>18.8466259172409</v>
      </c>
      <c r="F948">
        <v>6.5750000000000003E-2</v>
      </c>
      <c r="G948">
        <v>0.1643</v>
      </c>
      <c r="H948">
        <v>9.8599999999999993E-2</v>
      </c>
      <c r="I948">
        <v>4450.3339999999998</v>
      </c>
      <c r="J948">
        <v>6367.875</v>
      </c>
    </row>
    <row r="949" spans="1:10">
      <c r="A949">
        <v>147</v>
      </c>
      <c r="B949">
        <v>10</v>
      </c>
      <c r="C949" t="s">
        <v>106</v>
      </c>
      <c r="D949">
        <v>-33.918672128207703</v>
      </c>
      <c r="E949">
        <v>18.845700553590898</v>
      </c>
      <c r="F949">
        <v>6.5750000000000003E-2</v>
      </c>
      <c r="G949">
        <v>0.1643</v>
      </c>
      <c r="H949">
        <v>9.8599999999999993E-2</v>
      </c>
      <c r="I949">
        <v>4335.0709999999999</v>
      </c>
      <c r="J949">
        <v>6252.6120000000001</v>
      </c>
    </row>
    <row r="950" spans="1:10">
      <c r="A950">
        <v>148</v>
      </c>
      <c r="B950">
        <v>10</v>
      </c>
      <c r="C950" t="s">
        <v>106</v>
      </c>
      <c r="D950">
        <v>-33.9146165612785</v>
      </c>
      <c r="E950">
        <v>18.845463114864401</v>
      </c>
      <c r="F950">
        <v>6.5750000000000003E-2</v>
      </c>
      <c r="G950">
        <v>0.1643</v>
      </c>
      <c r="H950">
        <v>9.8599999999999993E-2</v>
      </c>
      <c r="I950">
        <v>4545.6909999999998</v>
      </c>
      <c r="J950">
        <v>6463.232</v>
      </c>
    </row>
    <row r="951" spans="1:10">
      <c r="A951">
        <v>149</v>
      </c>
      <c r="B951">
        <v>10</v>
      </c>
      <c r="C951" t="s">
        <v>106</v>
      </c>
      <c r="D951">
        <v>-33.914027490523701</v>
      </c>
      <c r="E951">
        <v>18.845852090307499</v>
      </c>
      <c r="F951">
        <v>6.5750000000000003E-2</v>
      </c>
      <c r="G951">
        <v>0.1643</v>
      </c>
      <c r="H951">
        <v>9.8599999999999993E-2</v>
      </c>
      <c r="I951">
        <v>4543.4219999999996</v>
      </c>
      <c r="J951">
        <v>6460.9629999999997</v>
      </c>
    </row>
    <row r="952" spans="1:10">
      <c r="A952">
        <v>150</v>
      </c>
      <c r="B952">
        <v>10</v>
      </c>
      <c r="C952" t="s">
        <v>106</v>
      </c>
      <c r="D952">
        <v>-33.916488954460803</v>
      </c>
      <c r="E952">
        <v>18.846665878848601</v>
      </c>
      <c r="F952">
        <v>6.5750000000000003E-2</v>
      </c>
      <c r="G952">
        <v>0.1643</v>
      </c>
      <c r="H952">
        <v>9.8599999999999993E-2</v>
      </c>
      <c r="I952">
        <v>4193.7820000000002</v>
      </c>
      <c r="J952">
        <v>6111.3230000000003</v>
      </c>
    </row>
    <row r="953" spans="1:10">
      <c r="A953">
        <v>151</v>
      </c>
      <c r="B953">
        <v>10</v>
      </c>
      <c r="C953" t="s">
        <v>106</v>
      </c>
      <c r="D953">
        <v>-33.913274057823301</v>
      </c>
      <c r="E953">
        <v>18.845016634731198</v>
      </c>
      <c r="F953">
        <v>6.5750000000000003E-2</v>
      </c>
      <c r="G953">
        <v>0.1643</v>
      </c>
      <c r="H953">
        <v>9.8599999999999993E-2</v>
      </c>
      <c r="I953">
        <v>4869.0259999999998</v>
      </c>
      <c r="J953">
        <v>6786.567</v>
      </c>
    </row>
    <row r="954" spans="1:10">
      <c r="A954">
        <v>152</v>
      </c>
      <c r="B954">
        <v>10</v>
      </c>
      <c r="C954" t="s">
        <v>106</v>
      </c>
      <c r="D954">
        <v>-33.912961804933303</v>
      </c>
      <c r="E954">
        <v>18.8476057149939</v>
      </c>
      <c r="F954">
        <v>6.5750000000000003E-2</v>
      </c>
      <c r="G954">
        <v>0.1643</v>
      </c>
      <c r="H954">
        <v>9.8599999999999993E-2</v>
      </c>
      <c r="I954">
        <v>4427.5169999999998</v>
      </c>
      <c r="J954">
        <v>6345.058</v>
      </c>
    </row>
    <row r="955" spans="1:10">
      <c r="A955">
        <v>153</v>
      </c>
      <c r="B955">
        <v>10</v>
      </c>
      <c r="C955" t="s">
        <v>106</v>
      </c>
      <c r="D955">
        <v>-33.9189384917726</v>
      </c>
      <c r="E955">
        <v>18.845271977549899</v>
      </c>
      <c r="F955">
        <v>6.5750000000000003E-2</v>
      </c>
      <c r="G955">
        <v>0.1643</v>
      </c>
      <c r="H955">
        <v>9.8599999999999993E-2</v>
      </c>
      <c r="I955">
        <v>4351.6090000000004</v>
      </c>
      <c r="J955">
        <v>6269.15</v>
      </c>
    </row>
    <row r="956" spans="1:10">
      <c r="A956">
        <v>154</v>
      </c>
      <c r="B956">
        <v>10</v>
      </c>
      <c r="C956" t="s">
        <v>106</v>
      </c>
      <c r="D956">
        <v>-33.914769938132501</v>
      </c>
      <c r="E956">
        <v>18.847256885123102</v>
      </c>
      <c r="F956">
        <v>6.5750000000000003E-2</v>
      </c>
      <c r="G956">
        <v>0.1643</v>
      </c>
      <c r="H956">
        <v>9.8599999999999993E-2</v>
      </c>
      <c r="I956">
        <v>4305.4449999999997</v>
      </c>
      <c r="J956">
        <v>6222.9859999999999</v>
      </c>
    </row>
    <row r="957" spans="1:10">
      <c r="A957">
        <v>155</v>
      </c>
      <c r="B957">
        <v>10</v>
      </c>
      <c r="C957" t="s">
        <v>106</v>
      </c>
      <c r="D957">
        <v>-33.917506162426598</v>
      </c>
      <c r="E957">
        <v>18.845627135441301</v>
      </c>
      <c r="F957">
        <v>6.5750000000000003E-2</v>
      </c>
      <c r="G957">
        <v>0.1643</v>
      </c>
      <c r="H957">
        <v>9.8599999999999993E-2</v>
      </c>
      <c r="I957">
        <v>5017.5309999999999</v>
      </c>
      <c r="J957">
        <v>6935.0709999999999</v>
      </c>
    </row>
    <row r="958" spans="1:10">
      <c r="A958">
        <v>156</v>
      </c>
      <c r="B958">
        <v>10</v>
      </c>
      <c r="C958" t="s">
        <v>106</v>
      </c>
      <c r="D958">
        <v>-33.912693242622197</v>
      </c>
      <c r="E958">
        <v>18.847166370591101</v>
      </c>
      <c r="F958">
        <v>6.5750000000000003E-2</v>
      </c>
      <c r="G958">
        <v>0.1643</v>
      </c>
      <c r="H958">
        <v>9.8599999999999993E-2</v>
      </c>
      <c r="I958">
        <v>4417.1480000000001</v>
      </c>
      <c r="J958">
        <v>6334.6890000000003</v>
      </c>
    </row>
    <row r="959" spans="1:10">
      <c r="A959">
        <v>157</v>
      </c>
      <c r="B959">
        <v>10</v>
      </c>
      <c r="C959" t="s">
        <v>106</v>
      </c>
      <c r="D959">
        <v>-33.917098044389803</v>
      </c>
      <c r="E959">
        <v>18.847042409296598</v>
      </c>
      <c r="F959">
        <v>6.5750000000000003E-2</v>
      </c>
      <c r="G959">
        <v>0.1643</v>
      </c>
      <c r="H959">
        <v>9.8599999999999993E-2</v>
      </c>
      <c r="I959">
        <v>4176.6469999999999</v>
      </c>
      <c r="J959">
        <v>6094.1880000000001</v>
      </c>
    </row>
    <row r="960" spans="1:10">
      <c r="A960">
        <v>158</v>
      </c>
      <c r="B960">
        <v>10</v>
      </c>
      <c r="C960" t="s">
        <v>106</v>
      </c>
      <c r="D960">
        <v>-33.914020266595799</v>
      </c>
      <c r="E960">
        <v>18.846695401662199</v>
      </c>
      <c r="F960">
        <v>6.5750000000000003E-2</v>
      </c>
      <c r="G960">
        <v>0.1643</v>
      </c>
      <c r="H960">
        <v>9.8599999999999993E-2</v>
      </c>
      <c r="I960">
        <v>4450.8370000000004</v>
      </c>
      <c r="J960">
        <v>6368.3779999999997</v>
      </c>
    </row>
    <row r="961" spans="1:10">
      <c r="A961">
        <v>159</v>
      </c>
      <c r="B961">
        <v>10</v>
      </c>
      <c r="C961" t="s">
        <v>106</v>
      </c>
      <c r="D961">
        <v>-33.918122820154302</v>
      </c>
      <c r="E961">
        <v>18.8449653239967</v>
      </c>
      <c r="F961">
        <v>6.5750000000000003E-2</v>
      </c>
      <c r="G961">
        <v>0.1643</v>
      </c>
      <c r="H961">
        <v>9.8599999999999993E-2</v>
      </c>
      <c r="I961">
        <v>4623.8649999999998</v>
      </c>
      <c r="J961">
        <v>6541.4049999999997</v>
      </c>
    </row>
    <row r="962" spans="1:10">
      <c r="A962">
        <v>160</v>
      </c>
      <c r="B962">
        <v>10</v>
      </c>
      <c r="C962" t="s">
        <v>106</v>
      </c>
      <c r="D962">
        <v>-33.916615945388997</v>
      </c>
      <c r="E962">
        <v>18.8471743098996</v>
      </c>
      <c r="F962">
        <v>6.5750000000000003E-2</v>
      </c>
      <c r="G962">
        <v>0.1643</v>
      </c>
      <c r="H962">
        <v>9.8599999999999993E-2</v>
      </c>
      <c r="I962">
        <v>4115.7169999999996</v>
      </c>
      <c r="J962">
        <v>6033.2579999999998</v>
      </c>
    </row>
    <row r="963" spans="1:10">
      <c r="A963">
        <v>161</v>
      </c>
      <c r="B963">
        <v>10</v>
      </c>
      <c r="C963" t="s">
        <v>106</v>
      </c>
      <c r="D963">
        <v>-33.916232665161402</v>
      </c>
      <c r="E963">
        <v>18.847570458151399</v>
      </c>
      <c r="F963">
        <v>6.5750000000000003E-2</v>
      </c>
      <c r="G963">
        <v>0.1643</v>
      </c>
      <c r="H963">
        <v>9.8599999999999993E-2</v>
      </c>
      <c r="I963">
        <v>4161.2089999999998</v>
      </c>
      <c r="J963">
        <v>6078.7489999999998</v>
      </c>
    </row>
    <row r="964" spans="1:10">
      <c r="A964">
        <v>162</v>
      </c>
      <c r="B964">
        <v>10</v>
      </c>
      <c r="C964" t="s">
        <v>106</v>
      </c>
      <c r="D964">
        <v>-33.9156531880001</v>
      </c>
      <c r="E964">
        <v>18.847534961983701</v>
      </c>
      <c r="F964">
        <v>6.5750000000000003E-2</v>
      </c>
      <c r="G964">
        <v>0.1643</v>
      </c>
      <c r="H964">
        <v>9.8599999999999993E-2</v>
      </c>
      <c r="I964">
        <v>4229.8710000000001</v>
      </c>
      <c r="J964">
        <v>6147.4120000000003</v>
      </c>
    </row>
    <row r="965" spans="1:10">
      <c r="A965">
        <v>163</v>
      </c>
      <c r="B965">
        <v>10</v>
      </c>
      <c r="C965" t="s">
        <v>106</v>
      </c>
      <c r="D965">
        <v>-33.919093690734996</v>
      </c>
      <c r="E965">
        <v>18.846643671410199</v>
      </c>
      <c r="F965">
        <v>6.5750000000000003E-2</v>
      </c>
      <c r="G965">
        <v>0.1643</v>
      </c>
      <c r="H965">
        <v>9.8599999999999993E-2</v>
      </c>
      <c r="I965">
        <v>4405.4089999999997</v>
      </c>
      <c r="J965">
        <v>6322.95</v>
      </c>
    </row>
    <row r="966" spans="1:10">
      <c r="A966">
        <v>164</v>
      </c>
      <c r="B966">
        <v>10</v>
      </c>
      <c r="C966" t="s">
        <v>106</v>
      </c>
      <c r="D966">
        <v>-33.9134205479358</v>
      </c>
      <c r="E966">
        <v>18.847427532531501</v>
      </c>
      <c r="F966">
        <v>6.5750000000000003E-2</v>
      </c>
      <c r="G966">
        <v>0.1643</v>
      </c>
      <c r="H966">
        <v>9.8599999999999993E-2</v>
      </c>
      <c r="I966">
        <v>4358.0590000000002</v>
      </c>
      <c r="J966">
        <v>6275.6</v>
      </c>
    </row>
    <row r="967" spans="1:10">
      <c r="A967">
        <v>165</v>
      </c>
      <c r="B967">
        <v>10</v>
      </c>
      <c r="C967" t="s">
        <v>106</v>
      </c>
      <c r="D967">
        <v>-33.915794524776501</v>
      </c>
      <c r="E967">
        <v>18.846183737003201</v>
      </c>
      <c r="F967">
        <v>6.5750000000000003E-2</v>
      </c>
      <c r="G967">
        <v>0.1643</v>
      </c>
      <c r="H967">
        <v>9.8599999999999993E-2</v>
      </c>
      <c r="I967">
        <v>4281.2460000000001</v>
      </c>
      <c r="J967">
        <v>6198.7870000000003</v>
      </c>
    </row>
    <row r="968" spans="1:10">
      <c r="A968">
        <v>166</v>
      </c>
      <c r="B968">
        <v>10</v>
      </c>
      <c r="C968" t="s">
        <v>106</v>
      </c>
      <c r="D968">
        <v>-33.914570704597899</v>
      </c>
      <c r="E968">
        <v>18.847210873540799</v>
      </c>
      <c r="F968">
        <v>6.5750000000000003E-2</v>
      </c>
      <c r="G968">
        <v>0.1643</v>
      </c>
      <c r="H968">
        <v>9.8599999999999993E-2</v>
      </c>
      <c r="I968">
        <v>4365.6350000000002</v>
      </c>
      <c r="J968">
        <v>6283.1750000000002</v>
      </c>
    </row>
    <row r="969" spans="1:10">
      <c r="A969">
        <v>167</v>
      </c>
      <c r="B969">
        <v>10</v>
      </c>
      <c r="C969" t="s">
        <v>106</v>
      </c>
      <c r="D969">
        <v>-33.913589001330301</v>
      </c>
      <c r="E969">
        <v>18.846996887628801</v>
      </c>
      <c r="F969">
        <v>6.5750000000000003E-2</v>
      </c>
      <c r="G969">
        <v>0.1643</v>
      </c>
      <c r="H969">
        <v>9.8599999999999993E-2</v>
      </c>
      <c r="I969">
        <v>4401.6480000000001</v>
      </c>
      <c r="J969">
        <v>6319.1880000000001</v>
      </c>
    </row>
    <row r="970" spans="1:10">
      <c r="A970">
        <v>168</v>
      </c>
      <c r="B970">
        <v>10</v>
      </c>
      <c r="C970" t="s">
        <v>106</v>
      </c>
      <c r="D970">
        <v>-33.914786983126</v>
      </c>
      <c r="E970">
        <v>18.845808238458101</v>
      </c>
      <c r="F970">
        <v>6.5750000000000003E-2</v>
      </c>
      <c r="G970">
        <v>0.1643</v>
      </c>
      <c r="H970">
        <v>9.8599999999999993E-2</v>
      </c>
      <c r="I970">
        <v>4530.8059999999996</v>
      </c>
      <c r="J970">
        <v>6448.3469999999998</v>
      </c>
    </row>
    <row r="971" spans="1:10">
      <c r="A971">
        <v>169</v>
      </c>
      <c r="B971">
        <v>10</v>
      </c>
      <c r="C971" t="s">
        <v>106</v>
      </c>
      <c r="D971">
        <v>-33.915911441404198</v>
      </c>
      <c r="E971">
        <v>18.8473122824076</v>
      </c>
      <c r="F971">
        <v>6.5750000000000003E-2</v>
      </c>
      <c r="G971">
        <v>0.1643</v>
      </c>
      <c r="H971">
        <v>9.8599999999999993E-2</v>
      </c>
      <c r="I971">
        <v>4180.4629999999997</v>
      </c>
      <c r="J971">
        <v>6098.0039999999999</v>
      </c>
    </row>
    <row r="972" spans="1:10">
      <c r="A972">
        <v>170</v>
      </c>
      <c r="B972">
        <v>10</v>
      </c>
      <c r="C972" t="s">
        <v>106</v>
      </c>
      <c r="D972">
        <v>-33.916457638247202</v>
      </c>
      <c r="E972">
        <v>18.846292619042899</v>
      </c>
      <c r="F972">
        <v>6.5750000000000003E-2</v>
      </c>
      <c r="G972">
        <v>0.1643</v>
      </c>
      <c r="H972">
        <v>9.8599999999999993E-2</v>
      </c>
      <c r="I972">
        <v>4216.433</v>
      </c>
      <c r="J972">
        <v>6133.973</v>
      </c>
    </row>
    <row r="973" spans="1:10">
      <c r="A973">
        <v>171</v>
      </c>
      <c r="B973">
        <v>10</v>
      </c>
      <c r="C973" t="s">
        <v>106</v>
      </c>
      <c r="D973">
        <v>-33.918795496917497</v>
      </c>
      <c r="E973">
        <v>18.846418902673999</v>
      </c>
      <c r="F973">
        <v>6.5750000000000003E-2</v>
      </c>
      <c r="G973">
        <v>0.1643</v>
      </c>
      <c r="H973">
        <v>9.8599999999999993E-2</v>
      </c>
      <c r="I973">
        <v>4370.8119999999999</v>
      </c>
      <c r="J973">
        <v>6288.3530000000001</v>
      </c>
    </row>
    <row r="974" spans="1:10">
      <c r="A974">
        <v>172</v>
      </c>
      <c r="B974">
        <v>10</v>
      </c>
      <c r="C974" t="s">
        <v>106</v>
      </c>
      <c r="D974">
        <v>-33.914450128473099</v>
      </c>
      <c r="E974">
        <v>18.846988451990899</v>
      </c>
      <c r="F974">
        <v>6.5750000000000003E-2</v>
      </c>
      <c r="G974">
        <v>0.1643</v>
      </c>
      <c r="H974">
        <v>9.8599999999999993E-2</v>
      </c>
      <c r="I974">
        <v>4408.43</v>
      </c>
      <c r="J974">
        <v>6325.9709999999995</v>
      </c>
    </row>
    <row r="975" spans="1:10">
      <c r="A975">
        <v>173</v>
      </c>
      <c r="B975">
        <v>10</v>
      </c>
      <c r="C975" t="s">
        <v>106</v>
      </c>
      <c r="D975">
        <v>-33.919160037259203</v>
      </c>
      <c r="E975">
        <v>18.847196884141901</v>
      </c>
      <c r="F975">
        <v>6.5750000000000003E-2</v>
      </c>
      <c r="G975">
        <v>0.1643</v>
      </c>
      <c r="H975">
        <v>9.8599999999999993E-2</v>
      </c>
      <c r="I975">
        <v>4239.25</v>
      </c>
      <c r="J975">
        <v>6156.79</v>
      </c>
    </row>
    <row r="976" spans="1:10">
      <c r="A976">
        <v>174</v>
      </c>
      <c r="B976">
        <v>10</v>
      </c>
      <c r="C976" t="s">
        <v>106</v>
      </c>
      <c r="D976">
        <v>-33.916310109094397</v>
      </c>
      <c r="E976">
        <v>18.845698953589402</v>
      </c>
      <c r="F976">
        <v>6.5750000000000003E-2</v>
      </c>
      <c r="G976">
        <v>0.1643</v>
      </c>
      <c r="H976">
        <v>9.8599999999999993E-2</v>
      </c>
      <c r="I976">
        <v>4296.7250000000004</v>
      </c>
      <c r="J976">
        <v>6214.2659999999996</v>
      </c>
    </row>
    <row r="977" spans="1:10">
      <c r="A977">
        <v>175</v>
      </c>
      <c r="B977">
        <v>10</v>
      </c>
      <c r="C977" t="s">
        <v>106</v>
      </c>
      <c r="D977">
        <v>-33.913058054146603</v>
      </c>
      <c r="E977">
        <v>18.845908793885901</v>
      </c>
      <c r="F977">
        <v>6.5750000000000003E-2</v>
      </c>
      <c r="G977">
        <v>0.1643</v>
      </c>
      <c r="H977">
        <v>9.8599999999999993E-2</v>
      </c>
      <c r="I977">
        <v>4774.29</v>
      </c>
      <c r="J977">
        <v>6691.8310000000001</v>
      </c>
    </row>
    <row r="978" spans="1:10">
      <c r="A978">
        <v>176</v>
      </c>
      <c r="B978">
        <v>10</v>
      </c>
      <c r="C978" t="s">
        <v>106</v>
      </c>
      <c r="D978">
        <v>-33.916072367514602</v>
      </c>
      <c r="E978">
        <v>18.8471308410159</v>
      </c>
      <c r="F978">
        <v>6.5750000000000003E-2</v>
      </c>
      <c r="G978">
        <v>0.1643</v>
      </c>
      <c r="H978">
        <v>9.8599999999999993E-2</v>
      </c>
      <c r="I978">
        <v>4200.4009999999998</v>
      </c>
      <c r="J978">
        <v>6117.942</v>
      </c>
    </row>
    <row r="979" spans="1:10">
      <c r="A979">
        <v>177</v>
      </c>
      <c r="B979">
        <v>10</v>
      </c>
      <c r="C979" t="s">
        <v>106</v>
      </c>
      <c r="D979">
        <v>-33.9149170600422</v>
      </c>
      <c r="E979">
        <v>18.847438859451699</v>
      </c>
      <c r="F979">
        <v>6.5750000000000003E-2</v>
      </c>
      <c r="G979">
        <v>0.1643</v>
      </c>
      <c r="H979">
        <v>9.8599999999999993E-2</v>
      </c>
      <c r="I979">
        <v>4290.8379999999997</v>
      </c>
      <c r="J979">
        <v>6208.3789999999999</v>
      </c>
    </row>
    <row r="980" spans="1:10">
      <c r="A980">
        <v>178</v>
      </c>
      <c r="B980">
        <v>10</v>
      </c>
      <c r="C980" t="s">
        <v>106</v>
      </c>
      <c r="D980">
        <v>-33.9167434299329</v>
      </c>
      <c r="E980">
        <v>18.845160696254201</v>
      </c>
      <c r="F980">
        <v>6.5750000000000003E-2</v>
      </c>
      <c r="G980">
        <v>0.1643</v>
      </c>
      <c r="H980">
        <v>9.8599999999999993E-2</v>
      </c>
      <c r="I980">
        <v>4928.8469999999998</v>
      </c>
      <c r="J980">
        <v>6846.3879999999999</v>
      </c>
    </row>
    <row r="981" spans="1:10">
      <c r="A981">
        <v>179</v>
      </c>
      <c r="B981">
        <v>10</v>
      </c>
      <c r="C981" t="s">
        <v>106</v>
      </c>
      <c r="D981">
        <v>-33.917811959535499</v>
      </c>
      <c r="E981">
        <v>18.846570657866799</v>
      </c>
      <c r="F981">
        <v>6.5750000000000003E-2</v>
      </c>
      <c r="G981">
        <v>0.1643</v>
      </c>
      <c r="H981">
        <v>9.8599999999999993E-2</v>
      </c>
      <c r="I981">
        <v>4217.326</v>
      </c>
      <c r="J981">
        <v>6134.8670000000002</v>
      </c>
    </row>
    <row r="982" spans="1:10">
      <c r="A982">
        <v>180</v>
      </c>
      <c r="B982">
        <v>10</v>
      </c>
      <c r="C982" t="s">
        <v>106</v>
      </c>
      <c r="D982">
        <v>-33.917228065411201</v>
      </c>
      <c r="E982">
        <v>18.845089732154101</v>
      </c>
      <c r="F982">
        <v>6.5750000000000003E-2</v>
      </c>
      <c r="G982">
        <v>0.1643</v>
      </c>
      <c r="H982">
        <v>9.8599999999999993E-2</v>
      </c>
      <c r="I982">
        <v>4963.8959999999997</v>
      </c>
      <c r="J982">
        <v>6881.4369999999999</v>
      </c>
    </row>
    <row r="983" spans="1:10">
      <c r="A983">
        <v>181</v>
      </c>
      <c r="B983">
        <v>10</v>
      </c>
      <c r="C983" t="s">
        <v>106</v>
      </c>
      <c r="D983">
        <v>-33.918003867470702</v>
      </c>
      <c r="E983">
        <v>18.847616272941401</v>
      </c>
      <c r="F983">
        <v>6.5750000000000003E-2</v>
      </c>
      <c r="G983">
        <v>0.1643</v>
      </c>
      <c r="H983">
        <v>9.8599999999999993E-2</v>
      </c>
      <c r="I983">
        <v>4163.1379999999999</v>
      </c>
      <c r="J983">
        <v>6080.6790000000001</v>
      </c>
    </row>
    <row r="984" spans="1:10">
      <c r="A984">
        <v>182</v>
      </c>
      <c r="B984">
        <v>10</v>
      </c>
      <c r="C984" t="s">
        <v>106</v>
      </c>
      <c r="D984">
        <v>-33.9143644127237</v>
      </c>
      <c r="E984">
        <v>18.847026217687699</v>
      </c>
      <c r="F984">
        <v>6.5750000000000003E-2</v>
      </c>
      <c r="G984">
        <v>0.1643</v>
      </c>
      <c r="H984">
        <v>9.8599999999999993E-2</v>
      </c>
      <c r="I984">
        <v>4400.3909999999996</v>
      </c>
      <c r="J984">
        <v>6317.9319999999998</v>
      </c>
    </row>
    <row r="985" spans="1:10">
      <c r="A985">
        <v>183</v>
      </c>
      <c r="B985">
        <v>10</v>
      </c>
      <c r="C985" t="s">
        <v>106</v>
      </c>
      <c r="D985">
        <v>-33.913540851750398</v>
      </c>
      <c r="E985">
        <v>18.845242427878102</v>
      </c>
      <c r="F985">
        <v>6.5750000000000003E-2</v>
      </c>
      <c r="G985">
        <v>0.1643</v>
      </c>
      <c r="H985">
        <v>9.8599999999999993E-2</v>
      </c>
      <c r="I985">
        <v>4855.259</v>
      </c>
      <c r="J985">
        <v>6772.8</v>
      </c>
    </row>
    <row r="986" spans="1:10">
      <c r="A986">
        <v>184</v>
      </c>
      <c r="B986">
        <v>10</v>
      </c>
      <c r="C986" t="s">
        <v>106</v>
      </c>
      <c r="D986">
        <v>-33.914384958514702</v>
      </c>
      <c r="E986">
        <v>18.845987320280699</v>
      </c>
      <c r="F986">
        <v>6.5750000000000003E-2</v>
      </c>
      <c r="G986">
        <v>0.1643</v>
      </c>
      <c r="H986">
        <v>9.8599999999999993E-2</v>
      </c>
      <c r="I986">
        <v>4539.0770000000002</v>
      </c>
      <c r="J986">
        <v>6456.6180000000004</v>
      </c>
    </row>
    <row r="987" spans="1:10">
      <c r="A987">
        <v>185</v>
      </c>
      <c r="B987">
        <v>10</v>
      </c>
      <c r="C987" t="s">
        <v>106</v>
      </c>
      <c r="D987">
        <v>-33.9147790772953</v>
      </c>
      <c r="E987">
        <v>18.8456316016843</v>
      </c>
      <c r="F987">
        <v>6.5750000000000003E-2</v>
      </c>
      <c r="G987">
        <v>0.1643</v>
      </c>
      <c r="H987">
        <v>9.8599999999999993E-2</v>
      </c>
      <c r="I987">
        <v>4530.8680000000004</v>
      </c>
      <c r="J987">
        <v>6448.4089999999997</v>
      </c>
    </row>
    <row r="988" spans="1:10">
      <c r="A988">
        <v>186</v>
      </c>
      <c r="B988">
        <v>10</v>
      </c>
      <c r="C988" t="s">
        <v>106</v>
      </c>
      <c r="D988">
        <v>-33.919093090893398</v>
      </c>
      <c r="E988">
        <v>18.844934622860801</v>
      </c>
      <c r="F988">
        <v>6.5750000000000003E-2</v>
      </c>
      <c r="G988">
        <v>0.1643</v>
      </c>
      <c r="H988">
        <v>9.8599999999999993E-2</v>
      </c>
      <c r="I988">
        <v>4392.5860000000002</v>
      </c>
      <c r="J988">
        <v>6310.1270000000004</v>
      </c>
    </row>
    <row r="989" spans="1:10">
      <c r="A989">
        <v>187</v>
      </c>
      <c r="B989">
        <v>10</v>
      </c>
      <c r="C989" t="s">
        <v>106</v>
      </c>
      <c r="D989">
        <v>-33.914185327511603</v>
      </c>
      <c r="E989">
        <v>18.846728636708701</v>
      </c>
      <c r="F989">
        <v>6.5750000000000003E-2</v>
      </c>
      <c r="G989">
        <v>0.1643</v>
      </c>
      <c r="H989">
        <v>9.8599999999999993E-2</v>
      </c>
      <c r="I989">
        <v>4412.9579999999996</v>
      </c>
      <c r="J989">
        <v>6330.4989999999998</v>
      </c>
    </row>
    <row r="990" spans="1:10">
      <c r="A990">
        <v>188</v>
      </c>
      <c r="B990">
        <v>10</v>
      </c>
      <c r="C990" t="s">
        <v>106</v>
      </c>
      <c r="D990">
        <v>-33.918637457753803</v>
      </c>
      <c r="E990">
        <v>18.847610074173598</v>
      </c>
      <c r="F990">
        <v>6.5750000000000003E-2</v>
      </c>
      <c r="G990">
        <v>0.1643</v>
      </c>
      <c r="H990">
        <v>9.8599999999999993E-2</v>
      </c>
      <c r="I990">
        <v>4225.3540000000003</v>
      </c>
      <c r="J990">
        <v>6142.8950000000004</v>
      </c>
    </row>
    <row r="991" spans="1:10">
      <c r="A991">
        <v>189</v>
      </c>
      <c r="B991">
        <v>10</v>
      </c>
      <c r="C991" t="s">
        <v>106</v>
      </c>
      <c r="D991">
        <v>-33.918164379999602</v>
      </c>
      <c r="E991">
        <v>18.847155845531098</v>
      </c>
      <c r="F991">
        <v>6.5750000000000003E-2</v>
      </c>
      <c r="G991">
        <v>0.1643</v>
      </c>
      <c r="H991">
        <v>9.8599999999999993E-2</v>
      </c>
      <c r="I991">
        <v>4182.165</v>
      </c>
      <c r="J991">
        <v>6099.7060000000001</v>
      </c>
    </row>
    <row r="992" spans="1:10">
      <c r="A992">
        <v>190</v>
      </c>
      <c r="B992">
        <v>10</v>
      </c>
      <c r="C992" t="s">
        <v>106</v>
      </c>
      <c r="D992">
        <v>-33.9142288539988</v>
      </c>
      <c r="E992">
        <v>18.845131628930499</v>
      </c>
      <c r="F992">
        <v>6.5750000000000003E-2</v>
      </c>
      <c r="G992">
        <v>0.1643</v>
      </c>
      <c r="H992">
        <v>9.8599999999999993E-2</v>
      </c>
      <c r="I992">
        <v>4594.4260000000004</v>
      </c>
      <c r="J992">
        <v>6511.9669999999996</v>
      </c>
    </row>
    <row r="993" spans="1:10">
      <c r="A993">
        <v>191</v>
      </c>
      <c r="B993">
        <v>10</v>
      </c>
      <c r="C993" t="s">
        <v>106</v>
      </c>
      <c r="D993">
        <v>-33.9165572125004</v>
      </c>
      <c r="E993">
        <v>18.847592124712499</v>
      </c>
      <c r="F993">
        <v>6.5750000000000003E-2</v>
      </c>
      <c r="G993">
        <v>0.1643</v>
      </c>
      <c r="H993">
        <v>9.8599999999999993E-2</v>
      </c>
      <c r="I993">
        <v>4079.2440000000001</v>
      </c>
      <c r="J993">
        <v>5996.7849999999999</v>
      </c>
    </row>
    <row r="994" spans="1:10">
      <c r="A994">
        <v>192</v>
      </c>
      <c r="B994">
        <v>10</v>
      </c>
      <c r="C994" t="s">
        <v>106</v>
      </c>
      <c r="D994">
        <v>-33.917306865990199</v>
      </c>
      <c r="E994">
        <v>18.8464803370086</v>
      </c>
      <c r="F994">
        <v>6.5750000000000003E-2</v>
      </c>
      <c r="G994">
        <v>0.1643</v>
      </c>
      <c r="H994">
        <v>9.8599999999999993E-2</v>
      </c>
      <c r="I994">
        <v>4210.442</v>
      </c>
      <c r="J994">
        <v>6127.9830000000002</v>
      </c>
    </row>
    <row r="995" spans="1:10">
      <c r="A995">
        <v>193</v>
      </c>
      <c r="B995">
        <v>10</v>
      </c>
      <c r="C995" t="s">
        <v>106</v>
      </c>
      <c r="D995">
        <v>-33.916458516475501</v>
      </c>
      <c r="E995">
        <v>18.847314083042701</v>
      </c>
      <c r="F995">
        <v>6.5750000000000003E-2</v>
      </c>
      <c r="G995">
        <v>0.1643</v>
      </c>
      <c r="H995">
        <v>9.8599999999999993E-2</v>
      </c>
      <c r="I995">
        <v>4101.317</v>
      </c>
      <c r="J995">
        <v>6018.8580000000002</v>
      </c>
    </row>
    <row r="996" spans="1:10">
      <c r="A996">
        <v>194</v>
      </c>
      <c r="B996">
        <v>10</v>
      </c>
      <c r="C996" t="s">
        <v>106</v>
      </c>
      <c r="D996">
        <v>-33.917765998269502</v>
      </c>
      <c r="E996">
        <v>18.845353138411198</v>
      </c>
      <c r="F996">
        <v>6.5750000000000003E-2</v>
      </c>
      <c r="G996">
        <v>0.1643</v>
      </c>
      <c r="H996">
        <v>9.8599999999999993E-2</v>
      </c>
      <c r="I996">
        <v>5017.5309999999999</v>
      </c>
      <c r="J996">
        <v>6935.0709999999999</v>
      </c>
    </row>
    <row r="997" spans="1:10">
      <c r="A997">
        <v>195</v>
      </c>
      <c r="B997">
        <v>10</v>
      </c>
      <c r="C997" t="s">
        <v>106</v>
      </c>
      <c r="D997">
        <v>-33.9125844950781</v>
      </c>
      <c r="E997">
        <v>18.847469693073901</v>
      </c>
      <c r="F997">
        <v>6.5750000000000003E-2</v>
      </c>
      <c r="G997">
        <v>0.1643</v>
      </c>
      <c r="H997">
        <v>9.8599999999999993E-2</v>
      </c>
      <c r="I997">
        <v>4443.3670000000002</v>
      </c>
      <c r="J997">
        <v>6360.9080000000004</v>
      </c>
    </row>
    <row r="998" spans="1:10">
      <c r="A998">
        <v>196</v>
      </c>
      <c r="B998">
        <v>10</v>
      </c>
      <c r="C998" t="s">
        <v>106</v>
      </c>
      <c r="D998">
        <v>-33.914593510412097</v>
      </c>
      <c r="E998">
        <v>18.845858122414601</v>
      </c>
      <c r="F998">
        <v>6.5750000000000003E-2</v>
      </c>
      <c r="G998">
        <v>0.1643</v>
      </c>
      <c r="H998">
        <v>9.8599999999999993E-2</v>
      </c>
      <c r="I998">
        <v>4514.2020000000002</v>
      </c>
      <c r="J998">
        <v>6431.7430000000004</v>
      </c>
    </row>
    <row r="999" spans="1:10">
      <c r="A999">
        <v>197</v>
      </c>
      <c r="B999">
        <v>10</v>
      </c>
      <c r="C999" t="s">
        <v>106</v>
      </c>
      <c r="D999">
        <v>-33.917424419605098</v>
      </c>
      <c r="E999">
        <v>18.846037472175201</v>
      </c>
      <c r="F999">
        <v>6.5750000000000003E-2</v>
      </c>
      <c r="G999">
        <v>0.1643</v>
      </c>
      <c r="H999">
        <v>9.8599999999999993E-2</v>
      </c>
      <c r="I999">
        <v>4212.4179999999997</v>
      </c>
      <c r="J999">
        <v>6129.9579999999996</v>
      </c>
    </row>
    <row r="1000" spans="1:10">
      <c r="A1000">
        <v>198</v>
      </c>
      <c r="B1000">
        <v>10</v>
      </c>
      <c r="C1000" t="s">
        <v>106</v>
      </c>
      <c r="D1000">
        <v>-33.916153689721199</v>
      </c>
      <c r="E1000">
        <v>18.846351508240499</v>
      </c>
      <c r="F1000">
        <v>6.5750000000000003E-2</v>
      </c>
      <c r="G1000">
        <v>0.1643</v>
      </c>
      <c r="H1000">
        <v>9.8599999999999993E-2</v>
      </c>
      <c r="I1000">
        <v>4238.4369999999999</v>
      </c>
      <c r="J1000">
        <v>6155.9780000000001</v>
      </c>
    </row>
    <row r="1001" spans="1:10">
      <c r="A1001">
        <v>199</v>
      </c>
      <c r="B1001">
        <v>10</v>
      </c>
      <c r="C1001" t="s">
        <v>106</v>
      </c>
      <c r="D1001">
        <v>-33.9131619254116</v>
      </c>
      <c r="E1001">
        <v>18.845596702607502</v>
      </c>
      <c r="F1001">
        <v>6.5750000000000003E-2</v>
      </c>
      <c r="G1001">
        <v>0.1643</v>
      </c>
      <c r="H1001">
        <v>9.8599999999999993E-2</v>
      </c>
      <c r="I1001">
        <v>4804.643</v>
      </c>
      <c r="J1001">
        <v>6722.1840000000002</v>
      </c>
    </row>
    <row r="1002" spans="1:10">
      <c r="A1002">
        <v>200</v>
      </c>
      <c r="B1002">
        <v>10</v>
      </c>
      <c r="C1002" t="s">
        <v>106</v>
      </c>
      <c r="D1002">
        <v>-33.918095787168099</v>
      </c>
      <c r="E1002">
        <v>18.845198105700899</v>
      </c>
      <c r="F1002">
        <v>6.5750000000000003E-2</v>
      </c>
      <c r="G1002">
        <v>0.1643</v>
      </c>
      <c r="H1002">
        <v>9.8599999999999993E-2</v>
      </c>
      <c r="I1002">
        <v>4643.6210000000001</v>
      </c>
      <c r="J1002">
        <v>6561.1620000000003</v>
      </c>
    </row>
    <row r="1003" spans="1:10">
      <c r="A1003">
        <v>201</v>
      </c>
      <c r="B1003">
        <v>10</v>
      </c>
      <c r="C1003" t="s">
        <v>106</v>
      </c>
      <c r="D1003">
        <v>-33.913484519188103</v>
      </c>
      <c r="E1003">
        <v>18.846576696995999</v>
      </c>
      <c r="F1003">
        <v>6.5750000000000003E-2</v>
      </c>
      <c r="G1003">
        <v>0.1643</v>
      </c>
      <c r="H1003">
        <v>9.8599999999999993E-2</v>
      </c>
      <c r="I1003">
        <v>4468.1869999999999</v>
      </c>
      <c r="J1003">
        <v>6385.7280000000001</v>
      </c>
    </row>
    <row r="1004" spans="1:10">
      <c r="A1004">
        <v>202</v>
      </c>
      <c r="B1004">
        <v>10</v>
      </c>
      <c r="C1004" t="s">
        <v>106</v>
      </c>
      <c r="D1004">
        <v>-33.912965341722099</v>
      </c>
      <c r="E1004">
        <v>18.8455595131738</v>
      </c>
      <c r="F1004">
        <v>6.5750000000000003E-2</v>
      </c>
      <c r="G1004">
        <v>0.1643</v>
      </c>
      <c r="H1004">
        <v>9.8599999999999993E-2</v>
      </c>
      <c r="I1004">
        <v>4797.4539999999997</v>
      </c>
      <c r="J1004">
        <v>6714.9949999999999</v>
      </c>
    </row>
    <row r="1005" spans="1:10">
      <c r="A1005">
        <v>203</v>
      </c>
      <c r="B1005">
        <v>10</v>
      </c>
      <c r="C1005" t="s">
        <v>106</v>
      </c>
      <c r="D1005">
        <v>-33.918722277514199</v>
      </c>
      <c r="E1005">
        <v>18.845745617948602</v>
      </c>
      <c r="F1005">
        <v>6.5750000000000003E-2</v>
      </c>
      <c r="G1005">
        <v>0.1643</v>
      </c>
      <c r="H1005">
        <v>9.8599999999999993E-2</v>
      </c>
      <c r="I1005">
        <v>4328.7049999999999</v>
      </c>
      <c r="J1005">
        <v>6246.2460000000001</v>
      </c>
    </row>
    <row r="1006" spans="1:10">
      <c r="A1006">
        <v>204</v>
      </c>
      <c r="B1006">
        <v>10</v>
      </c>
      <c r="C1006" t="s">
        <v>106</v>
      </c>
      <c r="D1006">
        <v>-33.915591121853801</v>
      </c>
      <c r="E1006">
        <v>18.845186810482101</v>
      </c>
      <c r="F1006">
        <v>6.5750000000000003E-2</v>
      </c>
      <c r="G1006">
        <v>0.1643</v>
      </c>
      <c r="H1006">
        <v>9.8599999999999993E-2</v>
      </c>
      <c r="I1006">
        <v>4668.6149999999998</v>
      </c>
      <c r="J1006">
        <v>6586.1559999999999</v>
      </c>
    </row>
    <row r="1007" spans="1:10">
      <c r="A1007">
        <v>205</v>
      </c>
      <c r="B1007">
        <v>10</v>
      </c>
      <c r="C1007" t="s">
        <v>106</v>
      </c>
      <c r="D1007">
        <v>-33.914869211692903</v>
      </c>
      <c r="E1007">
        <v>18.846731859191699</v>
      </c>
      <c r="F1007">
        <v>6.5750000000000003E-2</v>
      </c>
      <c r="G1007">
        <v>0.1643</v>
      </c>
      <c r="H1007">
        <v>9.8599999999999993E-2</v>
      </c>
      <c r="I1007">
        <v>4656.6409999999996</v>
      </c>
      <c r="J1007">
        <v>6574.1819999999998</v>
      </c>
    </row>
    <row r="1008" spans="1:10">
      <c r="A1008">
        <v>206</v>
      </c>
      <c r="B1008">
        <v>10</v>
      </c>
      <c r="C1008" t="s">
        <v>106</v>
      </c>
      <c r="D1008">
        <v>-33.918312407674101</v>
      </c>
      <c r="E1008">
        <v>18.847017005399</v>
      </c>
      <c r="F1008">
        <v>6.5750000000000003E-2</v>
      </c>
      <c r="G1008">
        <v>0.1643</v>
      </c>
      <c r="H1008">
        <v>9.8599999999999993E-2</v>
      </c>
      <c r="I1008">
        <v>4200.0370000000003</v>
      </c>
      <c r="J1008">
        <v>6117.5780000000004</v>
      </c>
    </row>
    <row r="1009" spans="1:10">
      <c r="A1009">
        <v>207</v>
      </c>
      <c r="B1009">
        <v>10</v>
      </c>
      <c r="C1009" t="s">
        <v>106</v>
      </c>
      <c r="D1009">
        <v>-33.915073275879003</v>
      </c>
      <c r="E1009">
        <v>18.846373496424398</v>
      </c>
      <c r="F1009">
        <v>6.5750000000000003E-2</v>
      </c>
      <c r="G1009">
        <v>0.1643</v>
      </c>
      <c r="H1009">
        <v>9.8599999999999993E-2</v>
      </c>
      <c r="I1009">
        <v>4609.8310000000001</v>
      </c>
      <c r="J1009">
        <v>6527.3720000000003</v>
      </c>
    </row>
    <row r="1010" spans="1:10">
      <c r="A1010">
        <v>208</v>
      </c>
      <c r="B1010">
        <v>10</v>
      </c>
      <c r="C1010" t="s">
        <v>106</v>
      </c>
      <c r="D1010">
        <v>-33.913793843561102</v>
      </c>
      <c r="E1010">
        <v>18.845154990433699</v>
      </c>
      <c r="F1010">
        <v>6.5750000000000003E-2</v>
      </c>
      <c r="G1010">
        <v>0.1643</v>
      </c>
      <c r="H1010">
        <v>9.8599999999999993E-2</v>
      </c>
      <c r="I1010">
        <v>4625.51</v>
      </c>
      <c r="J1010">
        <v>6543.05</v>
      </c>
    </row>
    <row r="1011" spans="1:10">
      <c r="A1011">
        <v>209</v>
      </c>
      <c r="B1011">
        <v>10</v>
      </c>
      <c r="C1011" t="s">
        <v>106</v>
      </c>
      <c r="D1011">
        <v>-33.917533494370602</v>
      </c>
      <c r="E1011">
        <v>18.846003814997999</v>
      </c>
      <c r="F1011">
        <v>6.5750000000000003E-2</v>
      </c>
      <c r="G1011">
        <v>0.1643</v>
      </c>
      <c r="H1011">
        <v>9.8599999999999993E-2</v>
      </c>
      <c r="I1011">
        <v>5017.5309999999999</v>
      </c>
      <c r="J1011">
        <v>6935.0709999999999</v>
      </c>
    </row>
    <row r="1012" spans="1:10">
      <c r="A1012">
        <v>210</v>
      </c>
      <c r="B1012">
        <v>10</v>
      </c>
      <c r="C1012" t="s">
        <v>106</v>
      </c>
      <c r="D1012">
        <v>-33.916567585807002</v>
      </c>
      <c r="E1012">
        <v>18.8452452688873</v>
      </c>
      <c r="F1012">
        <v>6.5750000000000003E-2</v>
      </c>
      <c r="G1012">
        <v>0.1643</v>
      </c>
      <c r="H1012">
        <v>9.8599999999999993E-2</v>
      </c>
      <c r="I1012">
        <v>4316.9409999999998</v>
      </c>
      <c r="J1012">
        <v>6234.4809999999998</v>
      </c>
    </row>
    <row r="1013" spans="1:10">
      <c r="A1013">
        <v>211</v>
      </c>
      <c r="B1013">
        <v>10</v>
      </c>
      <c r="C1013" t="s">
        <v>106</v>
      </c>
      <c r="D1013">
        <v>-33.918405186348998</v>
      </c>
      <c r="E1013">
        <v>18.847373423047799</v>
      </c>
      <c r="F1013">
        <v>6.5750000000000003E-2</v>
      </c>
      <c r="G1013">
        <v>0.1643</v>
      </c>
      <c r="H1013">
        <v>9.8599999999999993E-2</v>
      </c>
      <c r="I1013">
        <v>4184.4769999999999</v>
      </c>
      <c r="J1013">
        <v>6102.018</v>
      </c>
    </row>
    <row r="1014" spans="1:10">
      <c r="A1014">
        <v>212</v>
      </c>
      <c r="B1014">
        <v>10</v>
      </c>
      <c r="C1014" t="s">
        <v>106</v>
      </c>
      <c r="D1014">
        <v>-33.912734972031998</v>
      </c>
      <c r="E1014">
        <v>18.845150206730398</v>
      </c>
      <c r="F1014">
        <v>6.5750000000000003E-2</v>
      </c>
      <c r="G1014">
        <v>0.1643</v>
      </c>
      <c r="H1014">
        <v>9.8599999999999993E-2</v>
      </c>
      <c r="I1014">
        <v>4815.0739999999996</v>
      </c>
      <c r="J1014">
        <v>6732.6149999999998</v>
      </c>
    </row>
    <row r="1015" spans="1:10">
      <c r="A1015">
        <v>213</v>
      </c>
      <c r="B1015">
        <v>10</v>
      </c>
      <c r="C1015" t="s">
        <v>106</v>
      </c>
      <c r="D1015">
        <v>-33.918536762257901</v>
      </c>
      <c r="E1015">
        <v>18.845461957531398</v>
      </c>
      <c r="F1015">
        <v>6.5750000000000003E-2</v>
      </c>
      <c r="G1015">
        <v>0.1643</v>
      </c>
      <c r="H1015">
        <v>9.8599999999999993E-2</v>
      </c>
      <c r="I1015">
        <v>4361.6450000000004</v>
      </c>
      <c r="J1015">
        <v>6279.1859999999997</v>
      </c>
    </row>
    <row r="1016" spans="1:10">
      <c r="A1016">
        <v>214</v>
      </c>
      <c r="B1016">
        <v>10</v>
      </c>
      <c r="C1016" t="s">
        <v>106</v>
      </c>
      <c r="D1016">
        <v>-33.918262439900801</v>
      </c>
      <c r="E1016">
        <v>18.847224069434802</v>
      </c>
      <c r="F1016">
        <v>6.5750000000000003E-2</v>
      </c>
      <c r="G1016">
        <v>0.1643</v>
      </c>
      <c r="H1016">
        <v>9.8599999999999993E-2</v>
      </c>
      <c r="I1016">
        <v>4168.5069999999996</v>
      </c>
      <c r="J1016">
        <v>6086.0479999999998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>
      <selection activeCell="L18" sqref="L18"/>
    </sheetView>
  </sheetViews>
  <sheetFormatPr defaultRowHeight="13.8"/>
  <cols>
    <col min="15" max="15" width="11.8984375" bestFit="1" customWidth="1"/>
  </cols>
  <sheetData>
    <row r="1" spans="1:22">
      <c r="A1" t="s">
        <v>108</v>
      </c>
      <c r="B1" t="s">
        <v>115</v>
      </c>
      <c r="C1" t="s">
        <v>109</v>
      </c>
      <c r="D1" t="s">
        <v>110</v>
      </c>
      <c r="E1" t="s">
        <v>111</v>
      </c>
      <c r="F1" t="s">
        <v>102</v>
      </c>
      <c r="G1" t="s">
        <v>103</v>
      </c>
      <c r="H1" t="s">
        <v>112</v>
      </c>
      <c r="I1" t="s">
        <v>113</v>
      </c>
      <c r="J1" t="s">
        <v>114</v>
      </c>
      <c r="N1" t="s">
        <v>153</v>
      </c>
    </row>
    <row r="2" spans="1:22">
      <c r="A2">
        <v>4</v>
      </c>
      <c r="B2">
        <v>0</v>
      </c>
      <c r="C2" t="s">
        <v>46</v>
      </c>
      <c r="D2" s="24">
        <v>-33.927951134337697</v>
      </c>
      <c r="E2" s="24">
        <v>18.882125687391401</v>
      </c>
      <c r="F2" s="24">
        <v>4.3799999999999999E-2</v>
      </c>
      <c r="G2" s="24">
        <v>0.1096</v>
      </c>
      <c r="H2" s="24">
        <v>6.5750000000000003E-2</v>
      </c>
      <c r="I2" s="24">
        <v>1551.655</v>
      </c>
      <c r="J2" s="24">
        <v>6597.28</v>
      </c>
      <c r="M2">
        <v>0</v>
      </c>
      <c r="N2">
        <v>0</v>
      </c>
      <c r="O2" t="s">
        <v>46</v>
      </c>
      <c r="P2" s="24">
        <v>-33.932354676737397</v>
      </c>
      <c r="Q2" s="24">
        <v>18.891066105438</v>
      </c>
      <c r="R2" s="24">
        <v>4.3799999999999999E-2</v>
      </c>
      <c r="S2" s="24">
        <v>0.1096</v>
      </c>
      <c r="T2" s="24">
        <v>6.5750000000000003E-2</v>
      </c>
      <c r="U2" s="24">
        <v>2564.17</v>
      </c>
      <c r="V2" s="24">
        <v>7201.4210000000003</v>
      </c>
    </row>
    <row r="3" spans="1:22">
      <c r="A3">
        <v>5</v>
      </c>
      <c r="B3">
        <v>0</v>
      </c>
      <c r="C3" t="s">
        <v>46</v>
      </c>
      <c r="D3" s="24">
        <v>-33.933051306022797</v>
      </c>
      <c r="E3" s="24">
        <v>18.887937387077301</v>
      </c>
      <c r="F3" s="24">
        <v>4.3799999999999999E-2</v>
      </c>
      <c r="G3" s="24">
        <v>0.1096</v>
      </c>
      <c r="H3" s="24">
        <v>6.5750000000000003E-2</v>
      </c>
      <c r="I3" s="24">
        <v>2202.5749999999998</v>
      </c>
      <c r="J3" s="24">
        <v>6839.826</v>
      </c>
      <c r="M3">
        <v>1</v>
      </c>
      <c r="N3">
        <v>1</v>
      </c>
      <c r="O3" t="s">
        <v>42</v>
      </c>
      <c r="P3" s="24">
        <v>-33.927268041894997</v>
      </c>
      <c r="Q3" s="24">
        <v>18.875581945684601</v>
      </c>
      <c r="R3" s="24">
        <v>4.3799999999999999E-2</v>
      </c>
      <c r="S3" s="24">
        <v>0.1096</v>
      </c>
      <c r="T3" s="24">
        <v>6.5750000000000003E-2</v>
      </c>
      <c r="U3" s="24">
        <v>1346.0440000000001</v>
      </c>
      <c r="V3" s="24">
        <v>6391.6679999999997</v>
      </c>
    </row>
    <row r="4" spans="1:22">
      <c r="A4">
        <v>6</v>
      </c>
      <c r="B4">
        <v>0</v>
      </c>
      <c r="C4" t="s">
        <v>46</v>
      </c>
      <c r="D4" s="24">
        <v>-33.931363696359497</v>
      </c>
      <c r="E4" s="24">
        <v>18.886147679039698</v>
      </c>
      <c r="F4" s="24">
        <v>4.3799999999999999E-2</v>
      </c>
      <c r="G4" s="24">
        <v>0.1096</v>
      </c>
      <c r="H4" s="24">
        <v>6.5750000000000003E-2</v>
      </c>
      <c r="I4" s="24">
        <v>2549.797</v>
      </c>
      <c r="J4" s="24">
        <v>7187.0469999999996</v>
      </c>
      <c r="M4">
        <v>7</v>
      </c>
      <c r="N4">
        <v>2</v>
      </c>
      <c r="O4" t="s">
        <v>10</v>
      </c>
      <c r="P4" s="24">
        <v>-33.955495569692999</v>
      </c>
      <c r="Q4" s="24">
        <v>18.874760754725202</v>
      </c>
      <c r="R4" s="24">
        <v>4.3799999999999999E-2</v>
      </c>
      <c r="S4" s="24">
        <v>0.1096</v>
      </c>
      <c r="T4" s="24">
        <v>6.5750000000000003E-2</v>
      </c>
      <c r="U4" s="24">
        <v>4413.3239999999996</v>
      </c>
      <c r="V4" s="24">
        <v>6494.1549999999997</v>
      </c>
    </row>
    <row r="5" spans="1:22">
      <c r="A5">
        <v>7</v>
      </c>
      <c r="B5">
        <v>0</v>
      </c>
      <c r="C5" t="s">
        <v>46</v>
      </c>
      <c r="D5" s="24">
        <v>-33.9305061101417</v>
      </c>
      <c r="E5" s="24">
        <v>18.891216355450101</v>
      </c>
      <c r="F5" s="24">
        <v>4.3799999999999999E-2</v>
      </c>
      <c r="G5" s="24">
        <v>0.1096</v>
      </c>
      <c r="H5" s="24">
        <v>6.5750000000000003E-2</v>
      </c>
      <c r="I5" s="24">
        <v>2626.2049999999999</v>
      </c>
      <c r="J5" s="24">
        <v>7263.4560000000001</v>
      </c>
      <c r="M5">
        <v>1</v>
      </c>
      <c r="N5">
        <v>3</v>
      </c>
      <c r="O5" t="s">
        <v>35</v>
      </c>
      <c r="P5" s="24">
        <v>-33.962913743990697</v>
      </c>
      <c r="Q5" s="24">
        <v>18.8513523559178</v>
      </c>
      <c r="R5" s="24">
        <v>4.3799999999999999E-2</v>
      </c>
      <c r="S5" s="24">
        <v>0.1096</v>
      </c>
      <c r="T5" s="24">
        <v>6.5750000000000003E-2</v>
      </c>
      <c r="U5" s="24">
        <v>5074.384</v>
      </c>
      <c r="V5" s="24">
        <v>5917.2790000000005</v>
      </c>
    </row>
    <row r="6" spans="1:22">
      <c r="A6">
        <v>8</v>
      </c>
      <c r="B6">
        <v>0</v>
      </c>
      <c r="C6" t="s">
        <v>46</v>
      </c>
      <c r="D6" s="24">
        <v>-33.930482768375803</v>
      </c>
      <c r="E6" s="24">
        <v>18.8864136027582</v>
      </c>
      <c r="F6" s="24">
        <v>4.3799999999999999E-2</v>
      </c>
      <c r="G6" s="24">
        <v>0.1096</v>
      </c>
      <c r="H6" s="24">
        <v>6.5750000000000003E-2</v>
      </c>
      <c r="I6" s="24">
        <v>2338.279</v>
      </c>
      <c r="J6" s="24">
        <v>7383.9030000000002</v>
      </c>
      <c r="M6">
        <v>19</v>
      </c>
      <c r="N6">
        <v>4</v>
      </c>
      <c r="O6" t="s">
        <v>21</v>
      </c>
      <c r="P6" s="24">
        <v>-33.978065767261697</v>
      </c>
      <c r="Q6" s="24">
        <v>18.852456674030702</v>
      </c>
      <c r="R6" s="24">
        <v>4.3799999999999999E-2</v>
      </c>
      <c r="S6" s="24">
        <v>0.1096</v>
      </c>
      <c r="T6" s="24">
        <v>6.5750000000000003E-2</v>
      </c>
      <c r="U6" s="24">
        <v>7756.8459999999995</v>
      </c>
      <c r="V6" s="24">
        <v>8599.741</v>
      </c>
    </row>
    <row r="7" spans="1:22">
      <c r="A7">
        <v>9</v>
      </c>
      <c r="B7">
        <v>0</v>
      </c>
      <c r="C7" t="s">
        <v>46</v>
      </c>
      <c r="D7" s="24">
        <v>-33.929094173734001</v>
      </c>
      <c r="E7" s="24">
        <v>18.890870329291001</v>
      </c>
      <c r="F7" s="24">
        <v>4.3799999999999999E-2</v>
      </c>
      <c r="G7" s="24">
        <v>0.1096</v>
      </c>
      <c r="H7" s="24">
        <v>6.5750000000000003E-2</v>
      </c>
      <c r="I7" s="24">
        <v>3109.1669999999999</v>
      </c>
      <c r="J7" s="24">
        <v>8167.5820000000003</v>
      </c>
      <c r="M7">
        <v>37</v>
      </c>
      <c r="N7">
        <v>5</v>
      </c>
      <c r="O7" t="s">
        <v>50</v>
      </c>
      <c r="P7" s="24">
        <v>-33.899013003517197</v>
      </c>
      <c r="Q7" s="24">
        <v>18.855863283680598</v>
      </c>
      <c r="R7" s="24">
        <v>4.3799999999999999E-2</v>
      </c>
      <c r="S7" s="24">
        <v>0.1096</v>
      </c>
      <c r="T7" s="24">
        <v>6.5750000000000003E-2</v>
      </c>
      <c r="U7" s="24">
        <v>6323.7420000000002</v>
      </c>
      <c r="V7" s="24">
        <v>8241.2819999999992</v>
      </c>
    </row>
    <row r="8" spans="1:22">
      <c r="A8">
        <v>10</v>
      </c>
      <c r="B8">
        <v>0</v>
      </c>
      <c r="C8" t="s">
        <v>46</v>
      </c>
      <c r="D8" s="24">
        <v>-33.930209287480302</v>
      </c>
      <c r="E8" s="24">
        <v>18.887019397299699</v>
      </c>
      <c r="F8" s="24">
        <v>4.3799999999999999E-2</v>
      </c>
      <c r="G8" s="24">
        <v>0.1096</v>
      </c>
      <c r="H8" s="24">
        <v>6.5750000000000003E-2</v>
      </c>
      <c r="I8" s="24">
        <v>2679.127</v>
      </c>
      <c r="J8" s="24">
        <v>7316.3770000000004</v>
      </c>
      <c r="M8">
        <v>9</v>
      </c>
      <c r="N8">
        <v>6</v>
      </c>
      <c r="O8" t="s">
        <v>52</v>
      </c>
      <c r="P8" s="24">
        <v>-33.9451193030947</v>
      </c>
      <c r="Q8" s="24">
        <v>18.854801947807299</v>
      </c>
      <c r="R8" s="24">
        <v>4.3799999999999999E-2</v>
      </c>
      <c r="S8" s="24">
        <v>0.1096</v>
      </c>
      <c r="T8" s="24">
        <v>6.5750000000000003E-2</v>
      </c>
      <c r="U8" s="24">
        <v>3220.779</v>
      </c>
      <c r="V8" s="24">
        <v>4063.6729999999998</v>
      </c>
    </row>
    <row r="9" spans="1:22">
      <c r="A9">
        <v>11</v>
      </c>
      <c r="B9">
        <v>0</v>
      </c>
      <c r="C9" t="s">
        <v>46</v>
      </c>
      <c r="D9" s="24">
        <v>-33.9292154791396</v>
      </c>
      <c r="E9" s="24">
        <v>18.8836994662305</v>
      </c>
      <c r="F9" s="24">
        <v>4.3799999999999999E-2</v>
      </c>
      <c r="G9" s="24">
        <v>0.1096</v>
      </c>
      <c r="H9" s="24">
        <v>6.5750000000000003E-2</v>
      </c>
      <c r="I9" s="24">
        <v>2034.8109999999999</v>
      </c>
      <c r="J9" s="24">
        <v>7080.4359999999997</v>
      </c>
      <c r="M9">
        <v>13</v>
      </c>
      <c r="N9">
        <v>7</v>
      </c>
      <c r="O9" t="s">
        <v>51</v>
      </c>
      <c r="P9" s="24">
        <v>-33.924881921723497</v>
      </c>
      <c r="Q9" s="24">
        <v>18.885988501394898</v>
      </c>
      <c r="R9" s="24">
        <v>4.3799999999999999E-2</v>
      </c>
      <c r="S9" s="24">
        <v>0.1096</v>
      </c>
      <c r="T9" s="24">
        <v>6.5750000000000003E-2</v>
      </c>
      <c r="U9" s="24">
        <v>1770.8092617866901</v>
      </c>
      <c r="V9" s="24">
        <v>6496.7750693325997</v>
      </c>
    </row>
    <row r="10" spans="1:22">
      <c r="A10">
        <v>12</v>
      </c>
      <c r="B10">
        <v>0</v>
      </c>
      <c r="C10" t="s">
        <v>46</v>
      </c>
      <c r="D10" s="24">
        <v>-33.932354676737397</v>
      </c>
      <c r="E10" s="24">
        <v>18.891066105438</v>
      </c>
      <c r="F10" s="24">
        <v>4.3799999999999999E-2</v>
      </c>
      <c r="G10" s="24">
        <v>0.1096</v>
      </c>
      <c r="H10" s="24">
        <v>6.5750000000000003E-2</v>
      </c>
      <c r="I10" s="24">
        <v>2564.17</v>
      </c>
      <c r="J10" s="24">
        <v>7201.4210000000003</v>
      </c>
      <c r="M10">
        <v>58</v>
      </c>
      <c r="N10">
        <v>8</v>
      </c>
      <c r="O10" t="s">
        <v>11</v>
      </c>
      <c r="P10" s="24">
        <v>-33.900983845297198</v>
      </c>
      <c r="Q10" s="24">
        <v>18.8450696522386</v>
      </c>
      <c r="R10" s="24">
        <v>6.5750000000000003E-2</v>
      </c>
      <c r="S10" s="24">
        <v>0.1643</v>
      </c>
      <c r="T10" s="24">
        <v>9.8599999999999993E-2</v>
      </c>
      <c r="U10" s="24">
        <v>6055.6210000000001</v>
      </c>
      <c r="V10" s="24">
        <v>7973.1620000000003</v>
      </c>
    </row>
    <row r="11" spans="1:22">
      <c r="A11">
        <v>13</v>
      </c>
      <c r="B11">
        <v>0</v>
      </c>
      <c r="C11" t="s">
        <v>46</v>
      </c>
      <c r="D11" s="24">
        <v>-33.932764765338099</v>
      </c>
      <c r="E11" s="24">
        <v>18.887795638178702</v>
      </c>
      <c r="F11" s="24">
        <v>4.3799999999999999E-2</v>
      </c>
      <c r="G11" s="24">
        <v>0.1096</v>
      </c>
      <c r="H11" s="24">
        <v>6.5750000000000003E-2</v>
      </c>
      <c r="I11" s="24">
        <v>2335.444</v>
      </c>
      <c r="J11" s="24">
        <v>6972.6949999999997</v>
      </c>
      <c r="M11">
        <v>195</v>
      </c>
      <c r="N11">
        <v>9</v>
      </c>
      <c r="O11" t="s">
        <v>105</v>
      </c>
      <c r="P11" s="24">
        <v>-33.919450322257497</v>
      </c>
      <c r="Q11" s="24">
        <v>18.844400538984502</v>
      </c>
      <c r="R11" s="24">
        <v>6.5750000000000003E-2</v>
      </c>
      <c r="S11" s="24">
        <v>0.1643</v>
      </c>
      <c r="T11" s="24">
        <v>9.8599999999999993E-2</v>
      </c>
      <c r="U11" s="24">
        <v>4483.9440000000004</v>
      </c>
      <c r="V11" s="24">
        <v>6401.4849999999997</v>
      </c>
    </row>
    <row r="12" spans="1:22">
      <c r="A12">
        <v>4</v>
      </c>
      <c r="B12">
        <v>1</v>
      </c>
      <c r="C12" t="s">
        <v>42</v>
      </c>
      <c r="D12">
        <v>-33.925856153342401</v>
      </c>
      <c r="E12">
        <v>18.874465357542199</v>
      </c>
      <c r="F12">
        <v>4.3799999999999999E-2</v>
      </c>
      <c r="G12">
        <v>0.1096</v>
      </c>
      <c r="H12">
        <v>6.5750000000000003E-2</v>
      </c>
      <c r="I12">
        <v>1496.2249999999999</v>
      </c>
      <c r="J12">
        <v>6326.2389999999996</v>
      </c>
    </row>
    <row r="13" spans="1:22">
      <c r="A13">
        <v>5</v>
      </c>
      <c r="B13">
        <v>1</v>
      </c>
      <c r="C13" t="s">
        <v>42</v>
      </c>
      <c r="D13">
        <v>-33.929935212592902</v>
      </c>
      <c r="E13">
        <v>18.879150092320199</v>
      </c>
      <c r="F13">
        <v>4.3799999999999999E-2</v>
      </c>
      <c r="G13">
        <v>0.1096</v>
      </c>
      <c r="H13">
        <v>6.5750000000000003E-2</v>
      </c>
      <c r="I13">
        <v>1149.9780000000001</v>
      </c>
      <c r="J13">
        <v>6195.6030000000001</v>
      </c>
      <c r="N13" t="s">
        <v>154</v>
      </c>
    </row>
    <row r="14" spans="1:22">
      <c r="A14">
        <v>6</v>
      </c>
      <c r="B14">
        <v>1</v>
      </c>
      <c r="C14" t="s">
        <v>42</v>
      </c>
      <c r="D14">
        <v>-33.928585481596897</v>
      </c>
      <c r="E14">
        <v>18.877707432179498</v>
      </c>
      <c r="F14">
        <v>4.3799999999999999E-2</v>
      </c>
      <c r="G14">
        <v>0.1096</v>
      </c>
      <c r="H14">
        <v>6.5750000000000003E-2</v>
      </c>
      <c r="I14">
        <v>1261.3720000000001</v>
      </c>
      <c r="J14">
        <v>6306.9970000000003</v>
      </c>
    </row>
    <row r="15" spans="1:22">
      <c r="A15">
        <v>7</v>
      </c>
      <c r="B15">
        <v>1</v>
      </c>
      <c r="C15" t="s">
        <v>42</v>
      </c>
      <c r="D15">
        <v>-33.927899593903099</v>
      </c>
      <c r="E15">
        <v>18.881793225654999</v>
      </c>
      <c r="F15">
        <v>4.3799999999999999E-2</v>
      </c>
      <c r="G15">
        <v>0.1096</v>
      </c>
      <c r="H15">
        <v>6.5750000000000003E-2</v>
      </c>
      <c r="I15">
        <v>1550.4770000000001</v>
      </c>
      <c r="J15">
        <v>6596.1019999999999</v>
      </c>
      <c r="M15" t="s">
        <v>152</v>
      </c>
      <c r="N15" t="s">
        <v>116</v>
      </c>
      <c r="O15" t="s">
        <v>151</v>
      </c>
      <c r="P15" t="s">
        <v>118</v>
      </c>
      <c r="Q15" t="s">
        <v>111</v>
      </c>
      <c r="R15" t="s">
        <v>119</v>
      </c>
    </row>
    <row r="16" spans="1:22">
      <c r="A16">
        <v>8</v>
      </c>
      <c r="B16">
        <v>1</v>
      </c>
      <c r="C16" t="s">
        <v>42</v>
      </c>
      <c r="D16">
        <v>-33.927880925424503</v>
      </c>
      <c r="E16">
        <v>18.877921789796002</v>
      </c>
      <c r="F16">
        <v>4.3799999999999999E-2</v>
      </c>
      <c r="G16">
        <v>0.1096</v>
      </c>
      <c r="H16">
        <v>6.5750000000000003E-2</v>
      </c>
      <c r="I16">
        <v>1277.3789999999999</v>
      </c>
      <c r="J16">
        <v>6323.0039999999999</v>
      </c>
      <c r="M16">
        <v>3</v>
      </c>
      <c r="N16">
        <v>0</v>
      </c>
      <c r="O16" t="s">
        <v>46</v>
      </c>
      <c r="P16">
        <v>-33.932354676737397</v>
      </c>
      <c r="Q16">
        <v>18.891066105438</v>
      </c>
      <c r="R16">
        <v>1.38824349832085</v>
      </c>
    </row>
    <row r="17" spans="1:18">
      <c r="A17">
        <v>9</v>
      </c>
      <c r="B17">
        <v>1</v>
      </c>
      <c r="C17" t="s">
        <v>42</v>
      </c>
      <c r="D17">
        <v>-33.926770343238601</v>
      </c>
      <c r="E17">
        <v>18.881514298513299</v>
      </c>
      <c r="F17">
        <v>4.3799999999999999E-2</v>
      </c>
      <c r="G17">
        <v>0.1096</v>
      </c>
      <c r="H17">
        <v>6.5750000000000003E-2</v>
      </c>
      <c r="I17">
        <v>2013.66</v>
      </c>
      <c r="J17">
        <v>7072.0749999999998</v>
      </c>
      <c r="M17">
        <v>3</v>
      </c>
      <c r="N17">
        <v>7</v>
      </c>
      <c r="O17" t="s">
        <v>46</v>
      </c>
      <c r="P17">
        <v>-33.924881921723497</v>
      </c>
      <c r="Q17">
        <v>18.885988501394898</v>
      </c>
      <c r="R17">
        <v>1.0940934882206701</v>
      </c>
    </row>
    <row r="18" spans="1:18">
      <c r="A18">
        <v>10</v>
      </c>
      <c r="B18">
        <v>1</v>
      </c>
      <c r="C18" t="s">
        <v>42</v>
      </c>
      <c r="D18">
        <v>-33.927662198517801</v>
      </c>
      <c r="E18">
        <v>18.8784101128185</v>
      </c>
      <c r="F18">
        <v>4.3799999999999999E-2</v>
      </c>
      <c r="G18">
        <v>0.1096</v>
      </c>
      <c r="H18">
        <v>6.5750000000000003E-2</v>
      </c>
      <c r="I18">
        <v>1309.905</v>
      </c>
      <c r="J18">
        <v>6355.53</v>
      </c>
      <c r="M18">
        <v>3</v>
      </c>
      <c r="N18">
        <v>1</v>
      </c>
      <c r="O18" t="s">
        <v>46</v>
      </c>
      <c r="P18">
        <v>-33.927268041894997</v>
      </c>
      <c r="Q18">
        <v>18.875581945684601</v>
      </c>
      <c r="R18">
        <v>1.71690948461347</v>
      </c>
    </row>
    <row r="19" spans="1:18">
      <c r="A19">
        <v>11</v>
      </c>
      <c r="B19">
        <v>1</v>
      </c>
      <c r="C19" t="s">
        <v>42</v>
      </c>
      <c r="D19">
        <v>-33.926867361920898</v>
      </c>
      <c r="E19">
        <v>18.8757339599922</v>
      </c>
      <c r="F19">
        <v>4.3799999999999999E-2</v>
      </c>
      <c r="G19">
        <v>0.1096</v>
      </c>
      <c r="H19">
        <v>6.5750000000000003E-2</v>
      </c>
      <c r="I19">
        <v>1310.53</v>
      </c>
      <c r="J19">
        <v>6356.1540000000005</v>
      </c>
      <c r="M19">
        <v>3</v>
      </c>
      <c r="N19">
        <v>5</v>
      </c>
      <c r="O19" t="s">
        <v>46</v>
      </c>
      <c r="P19">
        <v>-33.899013003517197</v>
      </c>
      <c r="Q19">
        <v>18.855863283680598</v>
      </c>
      <c r="R19">
        <v>0.98794147905957996</v>
      </c>
    </row>
    <row r="20" spans="1:18">
      <c r="A20">
        <v>12</v>
      </c>
      <c r="B20">
        <v>1</v>
      </c>
      <c r="C20" t="s">
        <v>42</v>
      </c>
      <c r="D20">
        <v>-33.929378056421299</v>
      </c>
      <c r="E20">
        <v>18.881672111093899</v>
      </c>
      <c r="F20">
        <v>4.3799999999999999E-2</v>
      </c>
      <c r="G20">
        <v>0.1096</v>
      </c>
      <c r="H20">
        <v>6.5750000000000003E-2</v>
      </c>
      <c r="I20">
        <v>1393.259</v>
      </c>
      <c r="J20">
        <v>6438.884</v>
      </c>
      <c r="M20">
        <v>3</v>
      </c>
      <c r="N20">
        <v>8</v>
      </c>
      <c r="O20" t="s">
        <v>46</v>
      </c>
      <c r="P20">
        <v>-33.900983845297198</v>
      </c>
      <c r="Q20">
        <v>18.8450696522386</v>
      </c>
      <c r="R20">
        <v>1.01088936215575</v>
      </c>
    </row>
    <row r="21" spans="1:18">
      <c r="A21">
        <v>13</v>
      </c>
      <c r="B21">
        <v>1</v>
      </c>
      <c r="C21" t="s">
        <v>42</v>
      </c>
      <c r="D21">
        <v>-33.9297060406154</v>
      </c>
      <c r="E21">
        <v>18.879035830394901</v>
      </c>
      <c r="F21">
        <v>4.3799999999999999E-2</v>
      </c>
      <c r="G21">
        <v>0.1096</v>
      </c>
      <c r="H21">
        <v>6.5750000000000003E-2</v>
      </c>
      <c r="I21">
        <v>1142.778</v>
      </c>
      <c r="J21">
        <v>6188.4030000000002</v>
      </c>
      <c r="M21">
        <v>3</v>
      </c>
      <c r="N21">
        <v>9</v>
      </c>
      <c r="O21" t="s">
        <v>46</v>
      </c>
      <c r="P21">
        <v>-33.919450322257497</v>
      </c>
      <c r="Q21">
        <v>18.844400538984502</v>
      </c>
      <c r="R21">
        <v>1.0471538057754499</v>
      </c>
    </row>
    <row r="22" spans="1:18">
      <c r="A22">
        <v>8</v>
      </c>
      <c r="B22">
        <v>2</v>
      </c>
      <c r="C22" t="s">
        <v>10</v>
      </c>
      <c r="D22">
        <v>-33.955468784637802</v>
      </c>
      <c r="E22">
        <v>18.865177073114602</v>
      </c>
      <c r="F22">
        <v>4.3799999999999999E-2</v>
      </c>
      <c r="G22">
        <v>0.1096</v>
      </c>
      <c r="H22">
        <v>6.5750000000000003E-2</v>
      </c>
      <c r="I22">
        <v>3851.9630000000002</v>
      </c>
      <c r="J22">
        <v>5647.0879999999997</v>
      </c>
      <c r="M22">
        <v>3</v>
      </c>
      <c r="N22">
        <v>4</v>
      </c>
      <c r="O22" t="s">
        <v>46</v>
      </c>
      <c r="P22">
        <v>-33.978065767261697</v>
      </c>
      <c r="Q22">
        <v>18.852456674030702</v>
      </c>
      <c r="R22">
        <v>0.93091985954719803</v>
      </c>
    </row>
    <row r="23" spans="1:18">
      <c r="A23">
        <v>9</v>
      </c>
      <c r="B23">
        <v>2</v>
      </c>
      <c r="C23" t="s">
        <v>10</v>
      </c>
      <c r="D23">
        <v>-33.953875349747598</v>
      </c>
      <c r="E23">
        <v>18.874070274754501</v>
      </c>
      <c r="F23">
        <v>4.3799999999999999E-2</v>
      </c>
      <c r="G23">
        <v>0.1096</v>
      </c>
      <c r="H23">
        <v>6.5750000000000003E-2</v>
      </c>
      <c r="I23">
        <v>3324.2950000000001</v>
      </c>
      <c r="J23">
        <v>6979.0680000000002</v>
      </c>
      <c r="M23">
        <v>3</v>
      </c>
      <c r="N23">
        <v>3</v>
      </c>
      <c r="O23" t="s">
        <v>46</v>
      </c>
      <c r="P23">
        <v>-33.962913743990697</v>
      </c>
      <c r="Q23">
        <v>18.8513523559178</v>
      </c>
      <c r="R23">
        <v>1.0945572187232799</v>
      </c>
    </row>
    <row r="24" spans="1:18">
      <c r="A24">
        <v>10</v>
      </c>
      <c r="B24">
        <v>2</v>
      </c>
      <c r="C24" t="s">
        <v>10</v>
      </c>
      <c r="D24">
        <v>-33.955154960871297</v>
      </c>
      <c r="E24">
        <v>18.866385909458899</v>
      </c>
      <c r="F24">
        <v>4.3799999999999999E-2</v>
      </c>
      <c r="G24">
        <v>0.1096</v>
      </c>
      <c r="H24">
        <v>6.5750000000000003E-2</v>
      </c>
      <c r="I24">
        <v>3813.944</v>
      </c>
      <c r="J24">
        <v>5609.0690000000004</v>
      </c>
      <c r="M24">
        <v>3</v>
      </c>
      <c r="N24">
        <v>2</v>
      </c>
      <c r="O24" t="s">
        <v>46</v>
      </c>
      <c r="P24">
        <v>-33.955495569692999</v>
      </c>
      <c r="Q24">
        <v>18.874760754725202</v>
      </c>
      <c r="R24">
        <v>0.98110423464166896</v>
      </c>
    </row>
    <row r="25" spans="1:18">
      <c r="A25">
        <v>11</v>
      </c>
      <c r="B25">
        <v>2</v>
      </c>
      <c r="C25" t="s">
        <v>10</v>
      </c>
      <c r="D25">
        <v>-33.954014549669402</v>
      </c>
      <c r="E25">
        <v>18.859761133132299</v>
      </c>
      <c r="F25">
        <v>4.3799999999999999E-2</v>
      </c>
      <c r="G25">
        <v>0.1096</v>
      </c>
      <c r="H25">
        <v>6.5750000000000003E-2</v>
      </c>
      <c r="I25">
        <v>3575.721</v>
      </c>
      <c r="J25">
        <v>5087.8909999999996</v>
      </c>
      <c r="M25">
        <v>3</v>
      </c>
      <c r="N25">
        <v>6</v>
      </c>
      <c r="O25" t="s">
        <v>46</v>
      </c>
      <c r="P25">
        <v>-33.9451193030947</v>
      </c>
      <c r="Q25">
        <v>18.854801947807299</v>
      </c>
      <c r="R25">
        <v>0.92082538783224099</v>
      </c>
    </row>
    <row r="26" spans="1:18">
      <c r="A26">
        <v>12</v>
      </c>
      <c r="B26">
        <v>2</v>
      </c>
      <c r="C26" t="s">
        <v>10</v>
      </c>
      <c r="D26">
        <v>-33.957616829866303</v>
      </c>
      <c r="E26">
        <v>18.874460937439199</v>
      </c>
      <c r="F26">
        <v>4.3799999999999999E-2</v>
      </c>
      <c r="G26">
        <v>0.1096</v>
      </c>
      <c r="H26">
        <v>6.5750000000000003E-2</v>
      </c>
      <c r="I26">
        <v>4559.5169999999998</v>
      </c>
      <c r="J26">
        <v>6640.348</v>
      </c>
    </row>
    <row r="27" spans="1:18">
      <c r="A27">
        <v>13</v>
      </c>
      <c r="B27">
        <v>2</v>
      </c>
      <c r="C27" t="s">
        <v>10</v>
      </c>
      <c r="D27">
        <v>-33.958087413191798</v>
      </c>
      <c r="E27">
        <v>18.867934863967999</v>
      </c>
      <c r="F27">
        <v>4.3799999999999999E-2</v>
      </c>
      <c r="G27">
        <v>0.1096</v>
      </c>
      <c r="H27">
        <v>6.5750000000000003E-2</v>
      </c>
      <c r="I27">
        <v>4411.2830000000004</v>
      </c>
      <c r="J27">
        <v>6206.4080000000004</v>
      </c>
    </row>
    <row r="28" spans="1:18">
      <c r="A28">
        <v>14</v>
      </c>
      <c r="B28">
        <v>2</v>
      </c>
      <c r="C28" t="s">
        <v>10</v>
      </c>
      <c r="D28">
        <v>-33.957746367359199</v>
      </c>
      <c r="E28">
        <v>18.872520786610899</v>
      </c>
      <c r="F28">
        <v>4.3799999999999999E-2</v>
      </c>
      <c r="G28">
        <v>0.1096</v>
      </c>
      <c r="H28">
        <v>6.5750000000000003E-2</v>
      </c>
      <c r="I28">
        <v>4663.1040000000003</v>
      </c>
      <c r="J28">
        <v>6458.2290000000003</v>
      </c>
    </row>
    <row r="29" spans="1:18">
      <c r="A29">
        <v>15</v>
      </c>
      <c r="B29">
        <v>2</v>
      </c>
      <c r="C29" t="s">
        <v>10</v>
      </c>
      <c r="D29">
        <v>-33.955454853810501</v>
      </c>
      <c r="E29">
        <v>18.874536449673599</v>
      </c>
      <c r="F29">
        <v>4.3799999999999999E-2</v>
      </c>
      <c r="G29">
        <v>0.1096</v>
      </c>
      <c r="H29">
        <v>6.5750000000000003E-2</v>
      </c>
      <c r="I29">
        <v>4392.4759999999997</v>
      </c>
      <c r="J29">
        <v>6473.3069999999998</v>
      </c>
    </row>
    <row r="30" spans="1:18">
      <c r="A30">
        <v>16</v>
      </c>
      <c r="B30">
        <v>2</v>
      </c>
      <c r="C30" t="s">
        <v>10</v>
      </c>
      <c r="D30">
        <v>-33.953064745346502</v>
      </c>
      <c r="E30">
        <v>18.858232283807801</v>
      </c>
      <c r="F30">
        <v>4.3799999999999999E-2</v>
      </c>
      <c r="G30">
        <v>0.1096</v>
      </c>
      <c r="H30">
        <v>6.5750000000000003E-2</v>
      </c>
      <c r="I30">
        <v>3776.1239999999998</v>
      </c>
      <c r="J30">
        <v>4837.1809999999996</v>
      </c>
    </row>
    <row r="31" spans="1:18">
      <c r="A31">
        <v>17</v>
      </c>
      <c r="B31">
        <v>2</v>
      </c>
      <c r="C31" t="s">
        <v>10</v>
      </c>
      <c r="D31">
        <v>-33.958568897861902</v>
      </c>
      <c r="E31">
        <v>18.867550565838201</v>
      </c>
      <c r="F31">
        <v>4.3799999999999999E-2</v>
      </c>
      <c r="G31">
        <v>0.1096</v>
      </c>
      <c r="H31">
        <v>6.5750000000000003E-2</v>
      </c>
      <c r="I31">
        <v>5345.4340000000002</v>
      </c>
      <c r="J31">
        <v>6188.3289999999997</v>
      </c>
    </row>
    <row r="32" spans="1:18">
      <c r="A32">
        <v>49</v>
      </c>
      <c r="B32">
        <v>3</v>
      </c>
      <c r="C32" t="s">
        <v>35</v>
      </c>
      <c r="D32">
        <v>-33.961346925436501</v>
      </c>
      <c r="E32">
        <v>18.854739113268501</v>
      </c>
      <c r="F32">
        <v>4.3799999999999999E-2</v>
      </c>
      <c r="G32">
        <v>0.1096</v>
      </c>
      <c r="H32">
        <v>6.5750000000000003E-2</v>
      </c>
      <c r="I32">
        <v>4905.13</v>
      </c>
      <c r="J32">
        <v>5748.0240000000003</v>
      </c>
    </row>
    <row r="33" spans="1:10">
      <c r="A33">
        <v>50</v>
      </c>
      <c r="B33">
        <v>3</v>
      </c>
      <c r="C33" t="s">
        <v>35</v>
      </c>
      <c r="D33">
        <v>-33.963058002284598</v>
      </c>
      <c r="E33">
        <v>18.8564477353959</v>
      </c>
      <c r="F33">
        <v>4.3799999999999999E-2</v>
      </c>
      <c r="G33">
        <v>0.1096</v>
      </c>
      <c r="H33">
        <v>6.5750000000000003E-2</v>
      </c>
      <c r="I33">
        <v>5199.0780000000004</v>
      </c>
      <c r="J33">
        <v>6041.973</v>
      </c>
    </row>
    <row r="34" spans="1:10">
      <c r="A34">
        <v>51</v>
      </c>
      <c r="B34">
        <v>3</v>
      </c>
      <c r="C34" t="s">
        <v>35</v>
      </c>
      <c r="D34">
        <v>-33.960203666939798</v>
      </c>
      <c r="E34">
        <v>18.856498032062099</v>
      </c>
      <c r="F34">
        <v>4.3799999999999999E-2</v>
      </c>
      <c r="G34">
        <v>0.1096</v>
      </c>
      <c r="H34">
        <v>6.5750000000000003E-2</v>
      </c>
      <c r="I34">
        <v>5136.6130000000003</v>
      </c>
      <c r="J34">
        <v>5979.5069999999996</v>
      </c>
    </row>
    <row r="35" spans="1:10">
      <c r="A35">
        <v>52</v>
      </c>
      <c r="B35">
        <v>3</v>
      </c>
      <c r="C35" t="s">
        <v>35</v>
      </c>
      <c r="D35">
        <v>-33.962206046228196</v>
      </c>
      <c r="E35">
        <v>18.8497636053925</v>
      </c>
      <c r="F35">
        <v>4.3799999999999999E-2</v>
      </c>
      <c r="G35">
        <v>0.1096</v>
      </c>
      <c r="H35">
        <v>6.5750000000000003E-2</v>
      </c>
      <c r="I35">
        <v>4899.7529999999997</v>
      </c>
      <c r="J35">
        <v>5742.6480000000001</v>
      </c>
    </row>
    <row r="36" spans="1:10">
      <c r="A36">
        <v>53</v>
      </c>
      <c r="B36">
        <v>3</v>
      </c>
      <c r="C36" t="s">
        <v>35</v>
      </c>
      <c r="D36">
        <v>-33.961297529971802</v>
      </c>
      <c r="E36">
        <v>18.851053614481899</v>
      </c>
      <c r="F36">
        <v>4.3799999999999999E-2</v>
      </c>
      <c r="G36">
        <v>0.1096</v>
      </c>
      <c r="H36">
        <v>6.5750000000000003E-2</v>
      </c>
      <c r="I36">
        <v>4747.6360000000004</v>
      </c>
      <c r="J36">
        <v>5590.5309999999999</v>
      </c>
    </row>
    <row r="37" spans="1:10">
      <c r="A37">
        <v>54</v>
      </c>
      <c r="B37">
        <v>3</v>
      </c>
      <c r="C37" t="s">
        <v>35</v>
      </c>
      <c r="D37">
        <v>-33.963532582758098</v>
      </c>
      <c r="E37">
        <v>18.854814290832099</v>
      </c>
      <c r="F37">
        <v>4.3799999999999999E-2</v>
      </c>
      <c r="G37">
        <v>0.1096</v>
      </c>
      <c r="H37">
        <v>6.5750000000000003E-2</v>
      </c>
      <c r="I37">
        <v>5737.0649999999996</v>
      </c>
      <c r="J37">
        <v>6579.96</v>
      </c>
    </row>
    <row r="38" spans="1:10">
      <c r="A38">
        <v>55</v>
      </c>
      <c r="B38">
        <v>3</v>
      </c>
      <c r="C38" t="s">
        <v>35</v>
      </c>
      <c r="D38">
        <v>-33.967353029796598</v>
      </c>
      <c r="E38">
        <v>18.859291535412201</v>
      </c>
      <c r="F38">
        <v>4.3799999999999999E-2</v>
      </c>
      <c r="G38">
        <v>0.1096</v>
      </c>
      <c r="H38">
        <v>6.5750000000000003E-2</v>
      </c>
      <c r="I38">
        <v>6120.8779999999997</v>
      </c>
      <c r="J38">
        <v>6963.7719999999999</v>
      </c>
    </row>
    <row r="39" spans="1:10">
      <c r="A39">
        <v>56</v>
      </c>
      <c r="B39">
        <v>3</v>
      </c>
      <c r="C39" t="s">
        <v>35</v>
      </c>
      <c r="D39">
        <v>-33.967438345075998</v>
      </c>
      <c r="E39">
        <v>18.849994601966401</v>
      </c>
      <c r="F39">
        <v>4.3799999999999999E-2</v>
      </c>
      <c r="G39">
        <v>0.1096</v>
      </c>
      <c r="H39">
        <v>6.5750000000000003E-2</v>
      </c>
      <c r="I39">
        <v>6351.1639999999998</v>
      </c>
      <c r="J39">
        <v>7194.0590000000002</v>
      </c>
    </row>
    <row r="40" spans="1:10">
      <c r="A40">
        <v>57</v>
      </c>
      <c r="B40">
        <v>3</v>
      </c>
      <c r="C40" t="s">
        <v>35</v>
      </c>
      <c r="D40">
        <v>-33.960009583122797</v>
      </c>
      <c r="E40">
        <v>18.853047453205999</v>
      </c>
      <c r="F40">
        <v>4.3799999999999999E-2</v>
      </c>
      <c r="G40">
        <v>0.1096</v>
      </c>
      <c r="H40">
        <v>6.5750000000000003E-2</v>
      </c>
      <c r="I40">
        <v>5380.1509999999998</v>
      </c>
      <c r="J40">
        <v>6223.0460000000003</v>
      </c>
    </row>
    <row r="41" spans="1:10">
      <c r="A41">
        <v>58</v>
      </c>
      <c r="B41">
        <v>3</v>
      </c>
      <c r="C41" t="s">
        <v>35</v>
      </c>
      <c r="D41">
        <v>-33.961480203914803</v>
      </c>
      <c r="E41">
        <v>18.850487449792499</v>
      </c>
      <c r="F41">
        <v>4.3799999999999999E-2</v>
      </c>
      <c r="G41">
        <v>0.1096</v>
      </c>
      <c r="H41">
        <v>6.5750000000000003E-2</v>
      </c>
      <c r="I41">
        <v>4791.1760000000004</v>
      </c>
      <c r="J41">
        <v>5634.0709999999999</v>
      </c>
    </row>
    <row r="42" spans="1:10">
      <c r="A42">
        <v>62</v>
      </c>
      <c r="B42">
        <v>5</v>
      </c>
      <c r="C42" t="s">
        <v>50</v>
      </c>
      <c r="D42">
        <v>-33.902200971592301</v>
      </c>
      <c r="E42">
        <v>18.856566359635501</v>
      </c>
      <c r="F42">
        <v>4.3799999999999999E-2</v>
      </c>
      <c r="G42">
        <v>0.1096</v>
      </c>
      <c r="H42">
        <v>6.5750000000000003E-2</v>
      </c>
      <c r="I42">
        <v>5654.3450000000003</v>
      </c>
      <c r="J42">
        <v>7571.8860000000004</v>
      </c>
    </row>
    <row r="43" spans="1:10">
      <c r="A43">
        <v>63</v>
      </c>
      <c r="B43">
        <v>5</v>
      </c>
      <c r="C43" t="s">
        <v>50</v>
      </c>
      <c r="D43">
        <v>-33.899029335788498</v>
      </c>
      <c r="E43">
        <v>18.8561634553941</v>
      </c>
      <c r="F43">
        <v>4.3799999999999999E-2</v>
      </c>
      <c r="G43">
        <v>0.1096</v>
      </c>
      <c r="H43">
        <v>6.5750000000000003E-2</v>
      </c>
      <c r="I43">
        <v>6299.2269999999999</v>
      </c>
      <c r="J43">
        <v>8216.7669999999998</v>
      </c>
    </row>
    <row r="44" spans="1:10">
      <c r="A44">
        <v>64</v>
      </c>
      <c r="B44">
        <v>5</v>
      </c>
      <c r="C44" t="s">
        <v>50</v>
      </c>
      <c r="D44">
        <v>-33.900331092205903</v>
      </c>
      <c r="E44">
        <v>18.8554222185962</v>
      </c>
      <c r="F44">
        <v>4.3799999999999999E-2</v>
      </c>
      <c r="G44">
        <v>0.1096</v>
      </c>
      <c r="H44">
        <v>6.5750000000000003E-2</v>
      </c>
      <c r="I44">
        <v>6274.4269999999997</v>
      </c>
      <c r="J44">
        <v>8191.9669999999996</v>
      </c>
    </row>
    <row r="45" spans="1:10">
      <c r="A45">
        <v>65</v>
      </c>
      <c r="B45">
        <v>5</v>
      </c>
      <c r="C45" t="s">
        <v>50</v>
      </c>
      <c r="D45">
        <v>-33.901232526928403</v>
      </c>
      <c r="E45">
        <v>18.8571767523216</v>
      </c>
      <c r="F45">
        <v>4.3799999999999999E-2</v>
      </c>
      <c r="G45">
        <v>0.1096</v>
      </c>
      <c r="H45">
        <v>6.5750000000000003E-2</v>
      </c>
      <c r="I45">
        <v>6415.2640000000001</v>
      </c>
      <c r="J45">
        <v>8332.8050000000003</v>
      </c>
    </row>
    <row r="46" spans="1:10">
      <c r="A46">
        <v>66</v>
      </c>
      <c r="B46">
        <v>5</v>
      </c>
      <c r="C46" t="s">
        <v>50</v>
      </c>
      <c r="D46">
        <v>-33.903105298355598</v>
      </c>
      <c r="E46">
        <v>18.848952444774799</v>
      </c>
      <c r="F46">
        <v>4.3799999999999999E-2</v>
      </c>
      <c r="G46">
        <v>0.1096</v>
      </c>
      <c r="H46">
        <v>6.5750000000000003E-2</v>
      </c>
      <c r="I46">
        <v>5801.759</v>
      </c>
      <c r="J46">
        <v>7719.3</v>
      </c>
    </row>
    <row r="47" spans="1:10">
      <c r="A47">
        <v>67</v>
      </c>
      <c r="B47">
        <v>5</v>
      </c>
      <c r="C47" t="s">
        <v>50</v>
      </c>
      <c r="D47">
        <v>-33.901706767820002</v>
      </c>
      <c r="E47">
        <v>18.857217931427101</v>
      </c>
      <c r="F47">
        <v>4.3799999999999999E-2</v>
      </c>
      <c r="G47">
        <v>0.1096</v>
      </c>
      <c r="H47">
        <v>6.5750000000000003E-2</v>
      </c>
      <c r="I47">
        <v>5611.8469999999998</v>
      </c>
      <c r="J47">
        <v>7529.3869999999997</v>
      </c>
    </row>
    <row r="48" spans="1:10">
      <c r="A48">
        <v>68</v>
      </c>
      <c r="B48">
        <v>5</v>
      </c>
      <c r="C48" t="s">
        <v>50</v>
      </c>
      <c r="D48">
        <v>-33.902401750326703</v>
      </c>
      <c r="E48">
        <v>18.850439656111</v>
      </c>
      <c r="F48">
        <v>4.3799999999999999E-2</v>
      </c>
      <c r="G48">
        <v>0.1096</v>
      </c>
      <c r="H48">
        <v>6.5750000000000003E-2</v>
      </c>
      <c r="I48">
        <v>5779.1329999999998</v>
      </c>
      <c r="J48">
        <v>7696.674</v>
      </c>
    </row>
    <row r="49" spans="1:10">
      <c r="A49">
        <v>69</v>
      </c>
      <c r="B49">
        <v>5</v>
      </c>
      <c r="C49" t="s">
        <v>50</v>
      </c>
      <c r="D49">
        <v>-33.898522380797097</v>
      </c>
      <c r="E49">
        <v>18.8549813418255</v>
      </c>
      <c r="F49">
        <v>4.3799999999999999E-2</v>
      </c>
      <c r="G49">
        <v>0.1096</v>
      </c>
      <c r="H49">
        <v>6.5750000000000003E-2</v>
      </c>
      <c r="I49">
        <v>6358</v>
      </c>
      <c r="J49">
        <v>8275.5400000000009</v>
      </c>
    </row>
    <row r="50" spans="1:10">
      <c r="A50">
        <v>70</v>
      </c>
      <c r="B50">
        <v>5</v>
      </c>
      <c r="C50" t="s">
        <v>50</v>
      </c>
      <c r="D50">
        <v>-33.903040064911202</v>
      </c>
      <c r="E50">
        <v>18.852105632158398</v>
      </c>
      <c r="F50">
        <v>4.3799999999999999E-2</v>
      </c>
      <c r="G50">
        <v>0.1096</v>
      </c>
      <c r="H50">
        <v>6.5750000000000003E-2</v>
      </c>
      <c r="I50">
        <v>5987.9660000000003</v>
      </c>
      <c r="J50">
        <v>7905.5060000000003</v>
      </c>
    </row>
    <row r="51" spans="1:10">
      <c r="A51">
        <v>71</v>
      </c>
      <c r="B51">
        <v>5</v>
      </c>
      <c r="C51" t="s">
        <v>50</v>
      </c>
      <c r="D51">
        <v>-33.900693944249902</v>
      </c>
      <c r="E51">
        <v>18.852124300617199</v>
      </c>
      <c r="F51">
        <v>4.3799999999999999E-2</v>
      </c>
      <c r="G51">
        <v>0.1096</v>
      </c>
      <c r="H51">
        <v>6.5750000000000003E-2</v>
      </c>
      <c r="I51">
        <v>7004.4279999999999</v>
      </c>
      <c r="J51">
        <v>8921.9680000000008</v>
      </c>
    </row>
    <row r="52" spans="1:10">
      <c r="A52">
        <v>64</v>
      </c>
      <c r="B52">
        <v>6</v>
      </c>
      <c r="C52" t="s">
        <v>52</v>
      </c>
      <c r="D52">
        <v>-33.947724628911601</v>
      </c>
      <c r="E52">
        <v>18.851712499719</v>
      </c>
      <c r="F52">
        <v>4.3799999999999999E-2</v>
      </c>
      <c r="G52">
        <v>0.1096</v>
      </c>
      <c r="H52">
        <v>6.5750000000000003E-2</v>
      </c>
      <c r="I52">
        <v>3198.797</v>
      </c>
      <c r="J52">
        <v>4041.692</v>
      </c>
    </row>
    <row r="53" spans="1:10">
      <c r="A53">
        <v>65</v>
      </c>
      <c r="B53">
        <v>6</v>
      </c>
      <c r="C53" t="s">
        <v>52</v>
      </c>
      <c r="D53">
        <v>-33.949521509704503</v>
      </c>
      <c r="E53">
        <v>18.853673342650101</v>
      </c>
      <c r="F53">
        <v>4.3799999999999999E-2</v>
      </c>
      <c r="G53">
        <v>0.1096</v>
      </c>
      <c r="H53">
        <v>6.5750000000000003E-2</v>
      </c>
      <c r="I53">
        <v>3648.5770000000002</v>
      </c>
      <c r="J53">
        <v>4491.4709999999995</v>
      </c>
    </row>
    <row r="54" spans="1:10">
      <c r="A54">
        <v>66</v>
      </c>
      <c r="B54">
        <v>6</v>
      </c>
      <c r="C54" t="s">
        <v>52</v>
      </c>
      <c r="D54">
        <v>-33.953254610863297</v>
      </c>
      <c r="E54">
        <v>18.844481968848701</v>
      </c>
      <c r="F54">
        <v>4.3799999999999999E-2</v>
      </c>
      <c r="G54">
        <v>0.1096</v>
      </c>
      <c r="H54">
        <v>6.5750000000000003E-2</v>
      </c>
      <c r="I54">
        <v>3945.9609999999998</v>
      </c>
      <c r="J54">
        <v>4788.8559999999998</v>
      </c>
    </row>
    <row r="55" spans="1:10">
      <c r="A55">
        <v>67</v>
      </c>
      <c r="B55">
        <v>6</v>
      </c>
      <c r="C55" t="s">
        <v>52</v>
      </c>
      <c r="D55">
        <v>-33.950466840883799</v>
      </c>
      <c r="E55">
        <v>18.853719363856101</v>
      </c>
      <c r="F55">
        <v>4.3799999999999999E-2</v>
      </c>
      <c r="G55">
        <v>0.1096</v>
      </c>
      <c r="H55">
        <v>6.5750000000000003E-2</v>
      </c>
      <c r="I55">
        <v>3534.1030000000001</v>
      </c>
      <c r="J55">
        <v>4376.9979999999996</v>
      </c>
    </row>
    <row r="56" spans="1:10">
      <c r="A56">
        <v>68</v>
      </c>
      <c r="B56">
        <v>6</v>
      </c>
      <c r="C56" t="s">
        <v>52</v>
      </c>
      <c r="D56">
        <v>-33.951852188803898</v>
      </c>
      <c r="E56">
        <v>18.846144055928399</v>
      </c>
      <c r="F56">
        <v>4.3799999999999999E-2</v>
      </c>
      <c r="G56">
        <v>0.1096</v>
      </c>
      <c r="H56">
        <v>6.5750000000000003E-2</v>
      </c>
      <c r="I56">
        <v>3910.7109999999998</v>
      </c>
      <c r="J56">
        <v>4753.6059999999998</v>
      </c>
    </row>
    <row r="57" spans="1:10">
      <c r="A57">
        <v>69</v>
      </c>
      <c r="B57">
        <v>6</v>
      </c>
      <c r="C57" t="s">
        <v>52</v>
      </c>
      <c r="D57">
        <v>-33.944119222208997</v>
      </c>
      <c r="E57">
        <v>18.851219781860799</v>
      </c>
      <c r="F57">
        <v>4.3799999999999999E-2</v>
      </c>
      <c r="G57">
        <v>0.1096</v>
      </c>
      <c r="H57">
        <v>6.5750000000000003E-2</v>
      </c>
      <c r="I57">
        <v>3028.4670000000001</v>
      </c>
      <c r="J57">
        <v>3871.3620000000001</v>
      </c>
    </row>
    <row r="58" spans="1:10">
      <c r="A58">
        <v>70</v>
      </c>
      <c r="B58">
        <v>6</v>
      </c>
      <c r="C58" t="s">
        <v>52</v>
      </c>
      <c r="D58">
        <v>-33.9531245773507</v>
      </c>
      <c r="E58">
        <v>18.848005928008099</v>
      </c>
      <c r="F58">
        <v>4.3799999999999999E-2</v>
      </c>
      <c r="G58">
        <v>0.1096</v>
      </c>
      <c r="H58">
        <v>6.5750000000000003E-2</v>
      </c>
      <c r="I58">
        <v>3943.7750000000001</v>
      </c>
      <c r="J58">
        <v>4786.67</v>
      </c>
    </row>
    <row r="59" spans="1:10">
      <c r="A59">
        <v>71</v>
      </c>
      <c r="B59">
        <v>6</v>
      </c>
      <c r="C59" t="s">
        <v>52</v>
      </c>
      <c r="D59">
        <v>-33.948447922403901</v>
      </c>
      <c r="E59">
        <v>18.848026791622701</v>
      </c>
      <c r="F59">
        <v>4.3799999999999999E-2</v>
      </c>
      <c r="G59">
        <v>0.1096</v>
      </c>
      <c r="H59">
        <v>6.5750000000000003E-2</v>
      </c>
      <c r="I59">
        <v>3785.817</v>
      </c>
      <c r="J59">
        <v>4628.7120000000004</v>
      </c>
    </row>
    <row r="60" spans="1:10">
      <c r="A60">
        <v>72</v>
      </c>
      <c r="B60">
        <v>6</v>
      </c>
      <c r="C60" t="s">
        <v>52</v>
      </c>
      <c r="D60">
        <v>-33.942902411105599</v>
      </c>
      <c r="E60">
        <v>18.8534219626729</v>
      </c>
      <c r="F60">
        <v>4.3799999999999999E-2</v>
      </c>
      <c r="G60">
        <v>0.1096</v>
      </c>
      <c r="H60">
        <v>6.5750000000000003E-2</v>
      </c>
      <c r="I60">
        <v>2419.029</v>
      </c>
      <c r="J60">
        <v>3533.9459999999999</v>
      </c>
    </row>
    <row r="61" spans="1:10">
      <c r="A61">
        <v>73</v>
      </c>
      <c r="B61">
        <v>6</v>
      </c>
      <c r="C61" t="s">
        <v>52</v>
      </c>
      <c r="D61">
        <v>-33.952521135284201</v>
      </c>
      <c r="E61">
        <v>18.853810707013398</v>
      </c>
      <c r="F61">
        <v>4.3799999999999999E-2</v>
      </c>
      <c r="G61">
        <v>0.1096</v>
      </c>
      <c r="H61">
        <v>6.5750000000000003E-2</v>
      </c>
      <c r="I61">
        <v>3804.277</v>
      </c>
      <c r="J61">
        <v>4647.1719999999996</v>
      </c>
    </row>
    <row r="62" spans="1:10">
      <c r="A62">
        <v>97</v>
      </c>
      <c r="B62">
        <v>7</v>
      </c>
      <c r="C62" t="s">
        <v>51</v>
      </c>
      <c r="D62">
        <v>-33.925601305169401</v>
      </c>
      <c r="E62">
        <v>18.883646579144699</v>
      </c>
      <c r="F62">
        <v>4.3799999999999999E-2</v>
      </c>
      <c r="G62">
        <v>0.1096</v>
      </c>
      <c r="H62">
        <v>6.5750000000000003E-2</v>
      </c>
      <c r="I62">
        <v>1922.452</v>
      </c>
      <c r="J62">
        <v>6980.8670000000002</v>
      </c>
    </row>
    <row r="63" spans="1:10">
      <c r="A63">
        <v>98</v>
      </c>
      <c r="B63">
        <v>7</v>
      </c>
      <c r="C63" t="s">
        <v>51</v>
      </c>
      <c r="D63">
        <v>-33.9254851836547</v>
      </c>
      <c r="E63">
        <v>18.8842683992216</v>
      </c>
      <c r="F63">
        <v>4.3799999999999999E-2</v>
      </c>
      <c r="G63">
        <v>0.1096</v>
      </c>
      <c r="H63">
        <v>6.5750000000000003E-2</v>
      </c>
      <c r="I63">
        <v>2025.55</v>
      </c>
      <c r="J63">
        <v>7083.9650000000001</v>
      </c>
    </row>
    <row r="64" spans="1:10">
      <c r="A64">
        <v>99</v>
      </c>
      <c r="B64">
        <v>7</v>
      </c>
      <c r="C64" t="s">
        <v>51</v>
      </c>
      <c r="D64">
        <v>-33.9233514571592</v>
      </c>
      <c r="E64">
        <v>18.8822343017973</v>
      </c>
      <c r="F64">
        <v>4.3799999999999999E-2</v>
      </c>
      <c r="G64">
        <v>0.1096</v>
      </c>
      <c r="H64">
        <v>6.5750000000000003E-2</v>
      </c>
      <c r="I64">
        <v>2025.799</v>
      </c>
      <c r="J64">
        <v>7084.2139999999999</v>
      </c>
    </row>
    <row r="65" spans="1:10">
      <c r="A65">
        <v>100</v>
      </c>
      <c r="B65">
        <v>7</v>
      </c>
      <c r="C65" t="s">
        <v>51</v>
      </c>
      <c r="D65">
        <v>-33.920017549557301</v>
      </c>
      <c r="E65">
        <v>18.871864668125198</v>
      </c>
      <c r="F65">
        <v>4.3799999999999999E-2</v>
      </c>
      <c r="G65">
        <v>0.1096</v>
      </c>
      <c r="H65">
        <v>6.5750000000000003E-2</v>
      </c>
      <c r="I65">
        <v>3597.0430000000001</v>
      </c>
      <c r="J65">
        <v>6823.2439999999997</v>
      </c>
    </row>
    <row r="66" spans="1:10">
      <c r="A66">
        <v>101</v>
      </c>
      <c r="B66">
        <v>7</v>
      </c>
      <c r="C66" t="s">
        <v>51</v>
      </c>
      <c r="D66">
        <v>-33.924602633173301</v>
      </c>
      <c r="E66">
        <v>18.884915542174099</v>
      </c>
      <c r="F66">
        <v>4.3799999999999999E-2</v>
      </c>
      <c r="G66">
        <v>0.1096</v>
      </c>
      <c r="H66">
        <v>6.5750000000000003E-2</v>
      </c>
      <c r="I66">
        <v>2112.3879999999999</v>
      </c>
      <c r="J66">
        <v>7170.8019999999997</v>
      </c>
    </row>
    <row r="67" spans="1:10">
      <c r="A67">
        <v>102</v>
      </c>
      <c r="B67">
        <v>7</v>
      </c>
      <c r="C67" t="s">
        <v>51</v>
      </c>
      <c r="D67">
        <v>-33.922057066595201</v>
      </c>
      <c r="E67">
        <v>18.8926268547931</v>
      </c>
      <c r="F67">
        <v>4.3799999999999999E-2</v>
      </c>
      <c r="G67">
        <v>0.1096</v>
      </c>
      <c r="H67">
        <v>6.5750000000000003E-2</v>
      </c>
      <c r="I67">
        <v>3016.8119999999999</v>
      </c>
      <c r="J67">
        <v>8075.2269999999999</v>
      </c>
    </row>
    <row r="68" spans="1:10">
      <c r="A68">
        <v>103</v>
      </c>
      <c r="B68">
        <v>7</v>
      </c>
      <c r="C68" t="s">
        <v>51</v>
      </c>
      <c r="D68">
        <v>-33.919140305735603</v>
      </c>
      <c r="E68">
        <v>18.8831008684548</v>
      </c>
      <c r="F68">
        <v>4.3799999999999999E-2</v>
      </c>
      <c r="G68">
        <v>0.1096</v>
      </c>
      <c r="H68">
        <v>6.5750000000000003E-2</v>
      </c>
      <c r="I68">
        <v>2241.3809999999999</v>
      </c>
      <c r="J68">
        <v>7299.7960000000003</v>
      </c>
    </row>
    <row r="69" spans="1:10">
      <c r="A69">
        <v>104</v>
      </c>
      <c r="B69">
        <v>7</v>
      </c>
      <c r="C69" t="s">
        <v>51</v>
      </c>
      <c r="D69">
        <v>-33.926144492389199</v>
      </c>
      <c r="E69">
        <v>18.893637161898599</v>
      </c>
      <c r="F69">
        <v>4.3799999999999999E-2</v>
      </c>
      <c r="G69">
        <v>0.1096</v>
      </c>
      <c r="H69">
        <v>6.5750000000000003E-2</v>
      </c>
      <c r="I69">
        <v>2881.134</v>
      </c>
      <c r="J69">
        <v>7939.5479999999998</v>
      </c>
    </row>
    <row r="70" spans="1:10">
      <c r="A70">
        <v>105</v>
      </c>
      <c r="B70">
        <v>7</v>
      </c>
      <c r="C70" t="s">
        <v>51</v>
      </c>
      <c r="D70">
        <v>-33.918456016802999</v>
      </c>
      <c r="E70">
        <v>18.885497048947201</v>
      </c>
      <c r="F70">
        <v>4.3799999999999999E-2</v>
      </c>
      <c r="G70">
        <v>0.1096</v>
      </c>
      <c r="H70">
        <v>6.5750000000000003E-2</v>
      </c>
      <c r="I70">
        <v>2462.2759999999998</v>
      </c>
      <c r="J70">
        <v>7520.6909999999998</v>
      </c>
    </row>
    <row r="71" spans="1:10">
      <c r="A71">
        <v>106</v>
      </c>
      <c r="B71">
        <v>7</v>
      </c>
      <c r="C71" t="s">
        <v>51</v>
      </c>
      <c r="D71">
        <v>-33.924591661463701</v>
      </c>
      <c r="E71">
        <v>18.8821379579115</v>
      </c>
      <c r="F71">
        <v>4.3799999999999999E-2</v>
      </c>
      <c r="G71">
        <v>0.1096</v>
      </c>
      <c r="H71">
        <v>6.5750000000000003E-2</v>
      </c>
      <c r="I71">
        <v>1820.46</v>
      </c>
      <c r="J71">
        <v>6878.875</v>
      </c>
    </row>
    <row r="72" spans="1:10">
      <c r="A72">
        <v>157</v>
      </c>
      <c r="B72">
        <v>8</v>
      </c>
      <c r="C72" t="s">
        <v>11</v>
      </c>
      <c r="D72">
        <v>-33.912657272976197</v>
      </c>
      <c r="E72">
        <v>18.8559801077717</v>
      </c>
      <c r="F72">
        <v>6.5750000000000003E-2</v>
      </c>
      <c r="G72">
        <v>0.1643</v>
      </c>
      <c r="H72">
        <v>9.8599999999999993E-2</v>
      </c>
      <c r="I72">
        <v>4396.2290000000003</v>
      </c>
      <c r="J72">
        <v>6313.77</v>
      </c>
    </row>
    <row r="73" spans="1:10">
      <c r="A73">
        <v>158</v>
      </c>
      <c r="B73">
        <v>8</v>
      </c>
      <c r="C73" t="s">
        <v>11</v>
      </c>
      <c r="D73">
        <v>-33.9018719825335</v>
      </c>
      <c r="E73">
        <v>18.853964539984901</v>
      </c>
      <c r="F73">
        <v>6.5750000000000003E-2</v>
      </c>
      <c r="G73">
        <v>0.1643</v>
      </c>
      <c r="H73">
        <v>9.8599999999999993E-2</v>
      </c>
      <c r="I73">
        <v>6048.7039999999997</v>
      </c>
      <c r="J73">
        <v>7966.2439999999997</v>
      </c>
    </row>
    <row r="74" spans="1:10">
      <c r="A74">
        <v>159</v>
      </c>
      <c r="B74">
        <v>8</v>
      </c>
      <c r="C74" t="s">
        <v>11</v>
      </c>
      <c r="D74">
        <v>-33.916248339322699</v>
      </c>
      <c r="E74">
        <v>18.8439155137788</v>
      </c>
      <c r="F74">
        <v>6.5750000000000003E-2</v>
      </c>
      <c r="G74">
        <v>0.1643</v>
      </c>
      <c r="H74">
        <v>9.8599999999999993E-2</v>
      </c>
      <c r="I74">
        <v>4810.3190000000004</v>
      </c>
      <c r="J74">
        <v>6727.86</v>
      </c>
    </row>
    <row r="75" spans="1:10">
      <c r="A75">
        <v>160</v>
      </c>
      <c r="B75">
        <v>8</v>
      </c>
      <c r="C75" t="s">
        <v>11</v>
      </c>
      <c r="D75">
        <v>-33.910967879493597</v>
      </c>
      <c r="E75">
        <v>18.856746242519801</v>
      </c>
      <c r="F75">
        <v>6.5750000000000003E-2</v>
      </c>
      <c r="G75">
        <v>0.1643</v>
      </c>
      <c r="H75">
        <v>9.8599999999999993E-2</v>
      </c>
      <c r="I75">
        <v>4505.25</v>
      </c>
      <c r="J75">
        <v>6422.7910000000002</v>
      </c>
    </row>
    <row r="76" spans="1:10">
      <c r="A76">
        <v>161</v>
      </c>
      <c r="B76">
        <v>8</v>
      </c>
      <c r="C76" t="s">
        <v>11</v>
      </c>
      <c r="D76">
        <v>-33.9096247712991</v>
      </c>
      <c r="E76">
        <v>18.8590472398927</v>
      </c>
      <c r="F76">
        <v>6.5750000000000003E-2</v>
      </c>
      <c r="G76">
        <v>0.1643</v>
      </c>
      <c r="H76">
        <v>9.8599999999999993E-2</v>
      </c>
      <c r="I76">
        <v>4626.1059999999998</v>
      </c>
      <c r="J76">
        <v>6543.6459999999997</v>
      </c>
    </row>
    <row r="77" spans="1:10">
      <c r="A77">
        <v>162</v>
      </c>
      <c r="B77">
        <v>8</v>
      </c>
      <c r="C77" t="s">
        <v>11</v>
      </c>
      <c r="D77">
        <v>-33.907594140789797</v>
      </c>
      <c r="E77">
        <v>18.858841063067999</v>
      </c>
      <c r="F77">
        <v>6.5750000000000003E-2</v>
      </c>
      <c r="G77">
        <v>0.1643</v>
      </c>
      <c r="H77">
        <v>9.8599999999999993E-2</v>
      </c>
      <c r="I77">
        <v>5053.6549999999997</v>
      </c>
      <c r="J77">
        <v>6971.1949999999997</v>
      </c>
    </row>
    <row r="78" spans="1:10">
      <c r="A78">
        <v>163</v>
      </c>
      <c r="B78">
        <v>8</v>
      </c>
      <c r="C78" t="s">
        <v>11</v>
      </c>
      <c r="D78">
        <v>-33.9196505086462</v>
      </c>
      <c r="E78">
        <v>18.8536640687005</v>
      </c>
      <c r="F78">
        <v>6.5750000000000003E-2</v>
      </c>
      <c r="G78">
        <v>0.1643</v>
      </c>
      <c r="H78">
        <v>9.8599999999999993E-2</v>
      </c>
      <c r="I78">
        <v>3822.7420000000002</v>
      </c>
      <c r="J78">
        <v>5740.2830000000004</v>
      </c>
    </row>
    <row r="79" spans="1:10">
      <c r="A79">
        <v>164</v>
      </c>
      <c r="B79">
        <v>8</v>
      </c>
      <c r="C79" t="s">
        <v>11</v>
      </c>
      <c r="D79">
        <v>-33.899770420833903</v>
      </c>
      <c r="E79">
        <v>18.858217067161998</v>
      </c>
      <c r="F79">
        <v>6.5750000000000003E-2</v>
      </c>
      <c r="G79">
        <v>0.1643</v>
      </c>
      <c r="H79">
        <v>9.8599999999999993E-2</v>
      </c>
      <c r="I79">
        <v>6321.1710000000003</v>
      </c>
      <c r="J79">
        <v>8238.7119999999995</v>
      </c>
    </row>
    <row r="80" spans="1:10">
      <c r="A80">
        <v>165</v>
      </c>
      <c r="B80">
        <v>8</v>
      </c>
      <c r="C80" t="s">
        <v>11</v>
      </c>
      <c r="D80">
        <v>-33.908089419619699</v>
      </c>
      <c r="E80">
        <v>18.850992574234901</v>
      </c>
      <c r="F80">
        <v>6.5750000000000003E-2</v>
      </c>
      <c r="G80">
        <v>0.1643</v>
      </c>
      <c r="H80">
        <v>9.8599999999999993E-2</v>
      </c>
      <c r="I80">
        <v>5293.13</v>
      </c>
      <c r="J80">
        <v>7210.6710000000003</v>
      </c>
    </row>
    <row r="81" spans="1:10">
      <c r="A81">
        <v>166</v>
      </c>
      <c r="B81">
        <v>8</v>
      </c>
      <c r="C81" t="s">
        <v>11</v>
      </c>
      <c r="D81">
        <v>-33.903800852686203</v>
      </c>
      <c r="E81">
        <v>18.856958619683901</v>
      </c>
      <c r="F81">
        <v>6.5750000000000003E-2</v>
      </c>
      <c r="G81">
        <v>0.1643</v>
      </c>
      <c r="H81">
        <v>9.8599999999999993E-2</v>
      </c>
      <c r="I81">
        <v>5802.4089999999997</v>
      </c>
      <c r="J81">
        <v>7719.95</v>
      </c>
    </row>
    <row r="82" spans="1:10">
      <c r="A82">
        <v>205</v>
      </c>
      <c r="B82">
        <v>9</v>
      </c>
      <c r="C82" t="s">
        <v>105</v>
      </c>
      <c r="D82">
        <v>-33.922099656897203</v>
      </c>
      <c r="E82">
        <v>18.841997849162802</v>
      </c>
      <c r="F82">
        <v>6.5750000000000003E-2</v>
      </c>
      <c r="G82">
        <v>0.1643</v>
      </c>
      <c r="H82">
        <v>9.8599999999999993E-2</v>
      </c>
      <c r="I82">
        <v>4370.0940000000001</v>
      </c>
      <c r="J82">
        <v>5928.9709999999995</v>
      </c>
    </row>
    <row r="83" spans="1:10">
      <c r="A83">
        <v>206</v>
      </c>
      <c r="B83">
        <v>9</v>
      </c>
      <c r="C83" t="s">
        <v>105</v>
      </c>
      <c r="D83">
        <v>-33.926092352676299</v>
      </c>
      <c r="E83">
        <v>18.842926402196699</v>
      </c>
      <c r="F83">
        <v>6.5750000000000003E-2</v>
      </c>
      <c r="G83">
        <v>0.1643</v>
      </c>
      <c r="H83">
        <v>9.8599999999999993E-2</v>
      </c>
      <c r="I83">
        <v>4153.7330000000002</v>
      </c>
      <c r="J83">
        <v>5712.61</v>
      </c>
    </row>
    <row r="84" spans="1:10">
      <c r="A84">
        <v>207</v>
      </c>
      <c r="B84">
        <v>9</v>
      </c>
      <c r="C84" t="s">
        <v>105</v>
      </c>
      <c r="D84">
        <v>-33.9223362876957</v>
      </c>
      <c r="E84">
        <v>18.8408308729718</v>
      </c>
      <c r="F84">
        <v>6.5750000000000003E-2</v>
      </c>
      <c r="G84">
        <v>0.1643</v>
      </c>
      <c r="H84">
        <v>9.8599999999999993E-2</v>
      </c>
      <c r="I84">
        <v>4569.2920000000004</v>
      </c>
      <c r="J84">
        <v>6128.1689999999999</v>
      </c>
    </row>
    <row r="85" spans="1:10">
      <c r="A85">
        <v>208</v>
      </c>
      <c r="B85">
        <v>9</v>
      </c>
      <c r="C85" t="s">
        <v>105</v>
      </c>
      <c r="D85">
        <v>-33.920852670717998</v>
      </c>
      <c r="E85">
        <v>18.8368629175663</v>
      </c>
      <c r="F85">
        <v>6.5750000000000003E-2</v>
      </c>
      <c r="G85">
        <v>0.1643</v>
      </c>
      <c r="H85">
        <v>9.8599999999999993E-2</v>
      </c>
      <c r="I85">
        <v>4887.4189999999999</v>
      </c>
      <c r="J85">
        <v>6446.2950000000001</v>
      </c>
    </row>
    <row r="86" spans="1:10">
      <c r="A86">
        <v>209</v>
      </c>
      <c r="B86">
        <v>9</v>
      </c>
      <c r="C86" t="s">
        <v>105</v>
      </c>
      <c r="D86">
        <v>-33.925189132564398</v>
      </c>
      <c r="E86">
        <v>18.839627038583298</v>
      </c>
      <c r="F86">
        <v>6.5750000000000003E-2</v>
      </c>
      <c r="G86">
        <v>0.1643</v>
      </c>
      <c r="H86">
        <v>9.8599999999999993E-2</v>
      </c>
      <c r="I86">
        <v>4706.8149999999996</v>
      </c>
      <c r="J86">
        <v>6265.692</v>
      </c>
    </row>
    <row r="87" spans="1:10">
      <c r="A87">
        <v>210</v>
      </c>
      <c r="B87">
        <v>9</v>
      </c>
      <c r="C87" t="s">
        <v>105</v>
      </c>
      <c r="D87">
        <v>-33.924069074610699</v>
      </c>
      <c r="E87">
        <v>18.837156901248399</v>
      </c>
      <c r="F87">
        <v>6.5750000000000003E-2</v>
      </c>
      <c r="G87">
        <v>0.1643</v>
      </c>
      <c r="H87">
        <v>9.8599999999999993E-2</v>
      </c>
      <c r="I87">
        <v>4975.4539999999997</v>
      </c>
      <c r="J87">
        <v>6534.3310000000001</v>
      </c>
    </row>
    <row r="88" spans="1:10">
      <c r="A88">
        <v>211</v>
      </c>
      <c r="B88">
        <v>9</v>
      </c>
      <c r="C88" t="s">
        <v>105</v>
      </c>
      <c r="D88">
        <v>-33.926199937904002</v>
      </c>
      <c r="E88">
        <v>18.844087044284102</v>
      </c>
      <c r="F88">
        <v>6.5750000000000003E-2</v>
      </c>
      <c r="G88">
        <v>0.1643</v>
      </c>
      <c r="H88">
        <v>9.8599999999999993E-2</v>
      </c>
      <c r="I88">
        <v>4071.1109999999999</v>
      </c>
      <c r="J88">
        <v>5629.9880000000003</v>
      </c>
    </row>
    <row r="89" spans="1:10">
      <c r="A89">
        <v>212</v>
      </c>
      <c r="B89">
        <v>9</v>
      </c>
      <c r="C89" t="s">
        <v>105</v>
      </c>
      <c r="D89">
        <v>-33.9196248138351</v>
      </c>
      <c r="E89">
        <v>18.836847339865901</v>
      </c>
      <c r="F89">
        <v>6.5750000000000003E-2</v>
      </c>
      <c r="G89">
        <v>0.1643</v>
      </c>
      <c r="H89">
        <v>9.8599999999999993E-2</v>
      </c>
      <c r="I89">
        <v>5333.2479999999996</v>
      </c>
      <c r="J89">
        <v>6607.3850000000002</v>
      </c>
    </row>
    <row r="90" spans="1:10">
      <c r="A90">
        <v>213</v>
      </c>
      <c r="B90">
        <v>9</v>
      </c>
      <c r="C90" t="s">
        <v>105</v>
      </c>
      <c r="D90">
        <v>-33.9263525120179</v>
      </c>
      <c r="E90">
        <v>18.837862528371598</v>
      </c>
      <c r="F90">
        <v>6.5750000000000003E-2</v>
      </c>
      <c r="G90">
        <v>0.1643</v>
      </c>
      <c r="H90">
        <v>9.8599999999999993E-2</v>
      </c>
      <c r="I90">
        <v>5998.85</v>
      </c>
      <c r="J90">
        <v>3509.857</v>
      </c>
    </row>
    <row r="91" spans="1:10">
      <c r="A91">
        <v>214</v>
      </c>
      <c r="B91">
        <v>9</v>
      </c>
      <c r="C91" t="s">
        <v>105</v>
      </c>
      <c r="D91">
        <v>-33.926034410543799</v>
      </c>
      <c r="E91">
        <v>18.843600687646902</v>
      </c>
      <c r="F91">
        <v>6.5750000000000003E-2</v>
      </c>
      <c r="G91">
        <v>0.1643</v>
      </c>
      <c r="H91">
        <v>9.8599999999999993E-2</v>
      </c>
      <c r="I91">
        <v>4094.0569999999998</v>
      </c>
      <c r="J91">
        <v>5652.9340000000002</v>
      </c>
    </row>
    <row r="92" spans="1:10">
      <c r="A92">
        <v>205</v>
      </c>
      <c r="B92">
        <v>10</v>
      </c>
      <c r="C92" t="s">
        <v>106</v>
      </c>
      <c r="D92">
        <v>-33.914869211692903</v>
      </c>
      <c r="E92">
        <v>18.846731859191699</v>
      </c>
      <c r="F92">
        <v>6.5750000000000003E-2</v>
      </c>
      <c r="G92">
        <v>0.1643</v>
      </c>
      <c r="H92">
        <v>9.8599999999999993E-2</v>
      </c>
      <c r="I92">
        <v>4656.6409999999996</v>
      </c>
      <c r="J92">
        <v>6574.1819999999998</v>
      </c>
    </row>
    <row r="93" spans="1:10">
      <c r="A93">
        <v>206</v>
      </c>
      <c r="B93">
        <v>10</v>
      </c>
      <c r="C93" t="s">
        <v>106</v>
      </c>
      <c r="D93">
        <v>-33.918312407674101</v>
      </c>
      <c r="E93">
        <v>18.847017005399</v>
      </c>
      <c r="F93">
        <v>6.5750000000000003E-2</v>
      </c>
      <c r="G93">
        <v>0.1643</v>
      </c>
      <c r="H93">
        <v>9.8599999999999993E-2</v>
      </c>
      <c r="I93">
        <v>4200.0370000000003</v>
      </c>
      <c r="J93">
        <v>6117.5780000000004</v>
      </c>
    </row>
    <row r="94" spans="1:10">
      <c r="A94">
        <v>207</v>
      </c>
      <c r="B94">
        <v>10</v>
      </c>
      <c r="C94" t="s">
        <v>106</v>
      </c>
      <c r="D94">
        <v>-33.915073275879003</v>
      </c>
      <c r="E94">
        <v>18.846373496424398</v>
      </c>
      <c r="F94">
        <v>6.5750000000000003E-2</v>
      </c>
      <c r="G94">
        <v>0.1643</v>
      </c>
      <c r="H94">
        <v>9.8599999999999993E-2</v>
      </c>
      <c r="I94">
        <v>4609.8310000000001</v>
      </c>
      <c r="J94">
        <v>6527.3720000000003</v>
      </c>
    </row>
    <row r="95" spans="1:10">
      <c r="A95">
        <v>208</v>
      </c>
      <c r="B95">
        <v>10</v>
      </c>
      <c r="C95" t="s">
        <v>106</v>
      </c>
      <c r="D95">
        <v>-33.913793843561102</v>
      </c>
      <c r="E95">
        <v>18.845154990433699</v>
      </c>
      <c r="F95">
        <v>6.5750000000000003E-2</v>
      </c>
      <c r="G95">
        <v>0.1643</v>
      </c>
      <c r="H95">
        <v>9.8599999999999993E-2</v>
      </c>
      <c r="I95">
        <v>4625.51</v>
      </c>
      <c r="J95">
        <v>6543.05</v>
      </c>
    </row>
    <row r="96" spans="1:10">
      <c r="A96">
        <v>209</v>
      </c>
      <c r="B96">
        <v>10</v>
      </c>
      <c r="C96" t="s">
        <v>106</v>
      </c>
      <c r="D96">
        <v>-33.917533494370602</v>
      </c>
      <c r="E96">
        <v>18.846003814997999</v>
      </c>
      <c r="F96">
        <v>6.5750000000000003E-2</v>
      </c>
      <c r="G96">
        <v>0.1643</v>
      </c>
      <c r="H96">
        <v>9.8599999999999993E-2</v>
      </c>
      <c r="I96">
        <v>5017.5309999999999</v>
      </c>
      <c r="J96">
        <v>6935.0709999999999</v>
      </c>
    </row>
    <row r="97" spans="1:10">
      <c r="A97">
        <v>210</v>
      </c>
      <c r="B97">
        <v>10</v>
      </c>
      <c r="C97" t="s">
        <v>106</v>
      </c>
      <c r="D97">
        <v>-33.916567585807002</v>
      </c>
      <c r="E97">
        <v>18.8452452688873</v>
      </c>
      <c r="F97">
        <v>6.5750000000000003E-2</v>
      </c>
      <c r="G97">
        <v>0.1643</v>
      </c>
      <c r="H97">
        <v>9.8599999999999993E-2</v>
      </c>
      <c r="I97">
        <v>4316.9409999999998</v>
      </c>
      <c r="J97">
        <v>6234.4809999999998</v>
      </c>
    </row>
    <row r="98" spans="1:10">
      <c r="A98">
        <v>211</v>
      </c>
      <c r="B98">
        <v>10</v>
      </c>
      <c r="C98" t="s">
        <v>106</v>
      </c>
      <c r="D98">
        <v>-33.918405186348998</v>
      </c>
      <c r="E98">
        <v>18.847373423047799</v>
      </c>
      <c r="F98">
        <v>6.5750000000000003E-2</v>
      </c>
      <c r="G98">
        <v>0.1643</v>
      </c>
      <c r="H98">
        <v>9.8599999999999993E-2</v>
      </c>
      <c r="I98">
        <v>4184.4769999999999</v>
      </c>
      <c r="J98">
        <v>6102.018</v>
      </c>
    </row>
    <row r="99" spans="1:10">
      <c r="A99">
        <v>212</v>
      </c>
      <c r="B99">
        <v>10</v>
      </c>
      <c r="C99" t="s">
        <v>106</v>
      </c>
      <c r="D99">
        <v>-33.912734972031998</v>
      </c>
      <c r="E99">
        <v>18.845150206730398</v>
      </c>
      <c r="F99">
        <v>6.5750000000000003E-2</v>
      </c>
      <c r="G99">
        <v>0.1643</v>
      </c>
      <c r="H99">
        <v>9.8599999999999993E-2</v>
      </c>
      <c r="I99">
        <v>4815.0739999999996</v>
      </c>
      <c r="J99">
        <v>6732.6149999999998</v>
      </c>
    </row>
    <row r="100" spans="1:10">
      <c r="A100">
        <v>213</v>
      </c>
      <c r="B100">
        <v>10</v>
      </c>
      <c r="C100" t="s">
        <v>106</v>
      </c>
      <c r="D100">
        <v>-33.918536762257901</v>
      </c>
      <c r="E100">
        <v>18.845461957531398</v>
      </c>
      <c r="F100">
        <v>6.5750000000000003E-2</v>
      </c>
      <c r="G100">
        <v>0.1643</v>
      </c>
      <c r="H100">
        <v>9.8599999999999993E-2</v>
      </c>
      <c r="I100">
        <v>4361.6450000000004</v>
      </c>
      <c r="J100">
        <v>6279.1859999999997</v>
      </c>
    </row>
    <row r="101" spans="1:10">
      <c r="A101">
        <v>214</v>
      </c>
      <c r="B101">
        <v>10</v>
      </c>
      <c r="C101" t="s">
        <v>106</v>
      </c>
      <c r="D101">
        <v>-33.918262439900801</v>
      </c>
      <c r="E101">
        <v>18.847224069434802</v>
      </c>
      <c r="F101">
        <v>6.5750000000000003E-2</v>
      </c>
      <c r="G101">
        <v>0.1643</v>
      </c>
      <c r="H101">
        <v>9.8599999999999993E-2</v>
      </c>
      <c r="I101">
        <v>4168.5069999999996</v>
      </c>
      <c r="J101">
        <v>6086.0479999999998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topLeftCell="D1" workbookViewId="0">
      <selection activeCell="H29" sqref="H29"/>
    </sheetView>
  </sheetViews>
  <sheetFormatPr defaultRowHeight="13.8"/>
  <cols>
    <col min="2" max="2" width="22.796875" bestFit="1" customWidth="1"/>
    <col min="3" max="3" width="16.19921875" customWidth="1"/>
    <col min="4" max="5" width="8.796875" customWidth="1"/>
    <col min="6" max="7" width="10.19921875" customWidth="1"/>
    <col min="8" max="8" width="10" customWidth="1"/>
    <col min="9" max="9" width="8.796875" customWidth="1"/>
    <col min="10" max="10" width="18" customWidth="1"/>
    <col min="11" max="11" width="13" customWidth="1"/>
    <col min="12" max="12" width="17.796875" bestFit="1" customWidth="1"/>
    <col min="13" max="13" width="18.296875" bestFit="1" customWidth="1"/>
    <col min="14" max="14" width="19.5" bestFit="1" customWidth="1"/>
    <col min="15" max="15" width="10.3984375" bestFit="1" customWidth="1"/>
    <col min="16" max="16" width="14.296875" bestFit="1" customWidth="1"/>
  </cols>
  <sheetData>
    <row r="1" spans="1:16">
      <c r="A1" t="s">
        <v>107</v>
      </c>
      <c r="B1" s="7" t="s">
        <v>61</v>
      </c>
      <c r="C1" s="7" t="s">
        <v>60</v>
      </c>
      <c r="D1" s="7" t="s">
        <v>58</v>
      </c>
      <c r="E1" s="7" t="s">
        <v>59</v>
      </c>
      <c r="F1" s="7" t="s">
        <v>57</v>
      </c>
      <c r="G1" s="7" t="s">
        <v>56</v>
      </c>
      <c r="H1" s="7" t="s">
        <v>55</v>
      </c>
      <c r="I1" s="7" t="s">
        <v>54</v>
      </c>
      <c r="J1" s="7" t="s">
        <v>53</v>
      </c>
      <c r="K1" s="7" t="s">
        <v>62</v>
      </c>
      <c r="L1" s="7" t="s">
        <v>102</v>
      </c>
      <c r="M1" s="7" t="s">
        <v>103</v>
      </c>
      <c r="N1" s="7" t="s">
        <v>104</v>
      </c>
      <c r="O1" s="7" t="s">
        <v>87</v>
      </c>
      <c r="P1" s="7" t="s">
        <v>93</v>
      </c>
    </row>
    <row r="2" spans="1:16">
      <c r="A2">
        <v>0</v>
      </c>
      <c r="B2" s="8" t="s">
        <v>46</v>
      </c>
      <c r="C2" s="9">
        <v>138</v>
      </c>
      <c r="D2" s="4">
        <v>34</v>
      </c>
      <c r="E2" s="10">
        <v>13.8</v>
      </c>
      <c r="F2" s="12">
        <v>-33.933844999999998</v>
      </c>
      <c r="G2" s="12">
        <v>-33.927222</v>
      </c>
      <c r="H2" s="12">
        <v>18.881762999999999</v>
      </c>
      <c r="I2" s="12">
        <v>18.891226</v>
      </c>
      <c r="J2" s="4">
        <v>3</v>
      </c>
      <c r="K2">
        <f t="shared" ref="K2:K12" si="0">C2*J2</f>
        <v>414</v>
      </c>
      <c r="L2" s="24">
        <v>4.3799999999999999E-2</v>
      </c>
      <c r="M2" s="24">
        <v>0.1096</v>
      </c>
      <c r="N2" s="24">
        <v>6.5750000000000003E-2</v>
      </c>
      <c r="O2" t="s">
        <v>92</v>
      </c>
      <c r="P2">
        <v>3</v>
      </c>
    </row>
    <row r="3" spans="1:16">
      <c r="A3">
        <v>1</v>
      </c>
      <c r="B3" s="13" t="s">
        <v>42</v>
      </c>
      <c r="C3" s="14">
        <v>138</v>
      </c>
      <c r="D3" s="4">
        <v>272</v>
      </c>
      <c r="E3" s="17">
        <v>13.8</v>
      </c>
      <c r="F3" s="16">
        <v>-33.930570000000003</v>
      </c>
      <c r="G3" s="16">
        <v>-33.925272999999997</v>
      </c>
      <c r="H3" s="16">
        <v>18.874172999999999</v>
      </c>
      <c r="I3" s="16">
        <v>18.881800999999999</v>
      </c>
      <c r="J3" s="4">
        <v>3</v>
      </c>
      <c r="K3">
        <f t="shared" si="0"/>
        <v>414</v>
      </c>
      <c r="L3" s="24">
        <v>4.3799999999999999E-2</v>
      </c>
      <c r="M3" s="24">
        <v>0.1096</v>
      </c>
      <c r="N3" s="24">
        <v>6.5750000000000003E-2</v>
      </c>
      <c r="O3" t="s">
        <v>88</v>
      </c>
      <c r="P3">
        <v>1</v>
      </c>
    </row>
    <row r="4" spans="1:16">
      <c r="A4">
        <v>2</v>
      </c>
      <c r="B4" s="8" t="s">
        <v>10</v>
      </c>
      <c r="C4" s="9">
        <v>182</v>
      </c>
      <c r="D4" s="4">
        <v>45</v>
      </c>
      <c r="E4" s="10">
        <v>18.2</v>
      </c>
      <c r="F4" s="12">
        <v>-33.959327000000002</v>
      </c>
      <c r="G4" s="12">
        <v>-33.951726999999998</v>
      </c>
      <c r="H4" s="12">
        <v>18.855896999999999</v>
      </c>
      <c r="I4" s="12">
        <v>18.874780000000001</v>
      </c>
      <c r="J4" s="4">
        <v>3</v>
      </c>
      <c r="K4">
        <f t="shared" si="0"/>
        <v>546</v>
      </c>
      <c r="L4" s="24">
        <v>4.3799999999999999E-2</v>
      </c>
      <c r="M4" s="24">
        <v>0.1096</v>
      </c>
      <c r="N4" s="24">
        <v>6.5750000000000003E-2</v>
      </c>
      <c r="O4" t="s">
        <v>90</v>
      </c>
      <c r="P4">
        <v>4</v>
      </c>
    </row>
    <row r="5" spans="1:16">
      <c r="A5">
        <v>3</v>
      </c>
      <c r="B5" s="13" t="s">
        <v>35</v>
      </c>
      <c r="C5" s="14">
        <v>593</v>
      </c>
      <c r="D5" s="4">
        <v>148.25</v>
      </c>
      <c r="E5" s="10">
        <v>59.3</v>
      </c>
      <c r="F5" s="16">
        <v>-33.968150000000001</v>
      </c>
      <c r="G5" s="16">
        <v>-33.95975</v>
      </c>
      <c r="H5" s="16">
        <v>18.849457999999998</v>
      </c>
      <c r="I5" s="16">
        <v>18.859714</v>
      </c>
      <c r="J5" s="4">
        <v>3</v>
      </c>
      <c r="K5">
        <f t="shared" si="0"/>
        <v>1779</v>
      </c>
      <c r="L5" s="24">
        <v>4.3799999999999999E-2</v>
      </c>
      <c r="M5" s="24">
        <v>0.1096</v>
      </c>
      <c r="N5" s="24">
        <v>6.5750000000000003E-2</v>
      </c>
      <c r="O5" t="s">
        <v>88</v>
      </c>
      <c r="P5">
        <v>1</v>
      </c>
    </row>
    <row r="6" spans="1:16">
      <c r="A6">
        <v>4</v>
      </c>
      <c r="B6" s="8" t="s">
        <v>21</v>
      </c>
      <c r="C6" s="9">
        <v>601</v>
      </c>
      <c r="D6" s="4">
        <v>150</v>
      </c>
      <c r="E6" s="17">
        <v>60.1</v>
      </c>
      <c r="F6" s="12">
        <v>-33.983074000000002</v>
      </c>
      <c r="G6" s="12">
        <v>-33.974781999999998</v>
      </c>
      <c r="H6" s="12">
        <v>18.839621999999999</v>
      </c>
      <c r="I6" s="12">
        <v>18.854728000000001</v>
      </c>
      <c r="J6" s="4">
        <v>5</v>
      </c>
      <c r="K6">
        <f t="shared" si="0"/>
        <v>3005</v>
      </c>
      <c r="L6" s="24">
        <v>4.3799999999999999E-2</v>
      </c>
      <c r="M6" s="24">
        <v>0.1096</v>
      </c>
      <c r="N6" s="24">
        <v>6.5750000000000003E-2</v>
      </c>
      <c r="O6" t="s">
        <v>89</v>
      </c>
      <c r="P6">
        <v>2</v>
      </c>
    </row>
    <row r="7" spans="1:16">
      <c r="A7">
        <v>5</v>
      </c>
      <c r="B7" s="13" t="s">
        <v>50</v>
      </c>
      <c r="C7" s="14">
        <v>1070</v>
      </c>
      <c r="D7" s="4">
        <v>148</v>
      </c>
      <c r="E7" s="17">
        <v>71.333333333333329</v>
      </c>
      <c r="F7" s="16">
        <v>-33.903559000000001</v>
      </c>
      <c r="G7" s="16">
        <v>-33.897236999999997</v>
      </c>
      <c r="H7" s="16">
        <v>18.846064999999999</v>
      </c>
      <c r="I7" s="16">
        <v>18.85866</v>
      </c>
      <c r="J7" s="4">
        <v>3</v>
      </c>
      <c r="K7">
        <f t="shared" si="0"/>
        <v>3210</v>
      </c>
      <c r="L7" s="24">
        <v>4.3799999999999999E-2</v>
      </c>
      <c r="M7" s="24">
        <v>0.1096</v>
      </c>
      <c r="N7" s="24">
        <v>6.5750000000000003E-2</v>
      </c>
      <c r="O7" t="s">
        <v>92</v>
      </c>
      <c r="P7">
        <v>3</v>
      </c>
    </row>
    <row r="8" spans="1:16">
      <c r="A8">
        <v>6</v>
      </c>
      <c r="B8" s="8" t="s">
        <v>52</v>
      </c>
      <c r="C8" s="9">
        <v>1089</v>
      </c>
      <c r="D8" s="4">
        <v>267</v>
      </c>
      <c r="E8" s="10">
        <v>72.599999999999994</v>
      </c>
      <c r="F8" s="12">
        <v>-33.954158999999997</v>
      </c>
      <c r="G8" s="12">
        <v>-33.941557000000003</v>
      </c>
      <c r="H8" s="12">
        <v>18.841255</v>
      </c>
      <c r="I8" s="12">
        <v>18.855331</v>
      </c>
      <c r="J8" s="4">
        <v>2</v>
      </c>
      <c r="K8">
        <f t="shared" si="0"/>
        <v>2178</v>
      </c>
      <c r="L8" s="24">
        <v>4.3799999999999999E-2</v>
      </c>
      <c r="M8" s="24">
        <v>0.1096</v>
      </c>
      <c r="N8" s="24">
        <v>6.5750000000000003E-2</v>
      </c>
      <c r="O8" t="s">
        <v>89</v>
      </c>
      <c r="P8">
        <v>2</v>
      </c>
    </row>
    <row r="9" spans="1:16">
      <c r="A9">
        <v>7</v>
      </c>
      <c r="B9" s="13" t="s">
        <v>51</v>
      </c>
      <c r="C9" s="14">
        <v>2128</v>
      </c>
      <c r="D9" s="4">
        <v>34</v>
      </c>
      <c r="E9" s="17">
        <v>106.4</v>
      </c>
      <c r="F9" s="16">
        <v>-33.926304999999999</v>
      </c>
      <c r="G9" s="16">
        <v>-33.917580000000001</v>
      </c>
      <c r="H9" s="16">
        <v>18.870832</v>
      </c>
      <c r="I9" s="16">
        <v>18.894607000000001</v>
      </c>
      <c r="J9" s="4">
        <v>3</v>
      </c>
      <c r="K9">
        <f t="shared" si="0"/>
        <v>6384</v>
      </c>
      <c r="L9" s="24">
        <v>4.3799999999999999E-2</v>
      </c>
      <c r="M9" s="24">
        <v>0.1096</v>
      </c>
      <c r="N9" s="24">
        <v>6.5750000000000003E-2</v>
      </c>
      <c r="O9" t="s">
        <v>91</v>
      </c>
      <c r="P9">
        <v>5</v>
      </c>
    </row>
    <row r="10" spans="1:16">
      <c r="A10">
        <v>8</v>
      </c>
      <c r="B10" s="8" t="s">
        <v>11</v>
      </c>
      <c r="C10" s="9">
        <v>3327</v>
      </c>
      <c r="D10" s="4">
        <v>831</v>
      </c>
      <c r="E10" s="10">
        <v>166.35</v>
      </c>
      <c r="F10" s="12">
        <v>-33.919987999999996</v>
      </c>
      <c r="G10" s="12">
        <v>-33.896053999999999</v>
      </c>
      <c r="H10" s="12">
        <v>18.843478000000001</v>
      </c>
      <c r="I10" s="12">
        <v>18.859335000000002</v>
      </c>
      <c r="J10" s="4">
        <v>5</v>
      </c>
      <c r="K10">
        <f t="shared" si="0"/>
        <v>16635</v>
      </c>
      <c r="L10" s="24">
        <v>6.5750000000000003E-2</v>
      </c>
      <c r="M10" s="24">
        <v>0.1643</v>
      </c>
      <c r="N10" s="24">
        <v>9.8599999999999993E-2</v>
      </c>
      <c r="O10" t="s">
        <v>88</v>
      </c>
      <c r="P10">
        <v>1</v>
      </c>
    </row>
    <row r="11" spans="1:16">
      <c r="A11">
        <v>9</v>
      </c>
      <c r="B11" s="13" t="s">
        <v>105</v>
      </c>
      <c r="C11" s="14">
        <v>4282</v>
      </c>
      <c r="D11" s="4">
        <v>2141</v>
      </c>
      <c r="E11" s="17">
        <v>214.1</v>
      </c>
      <c r="F11" s="16">
        <v>-33.927109999999999</v>
      </c>
      <c r="G11" s="16">
        <v>-33.91919</v>
      </c>
      <c r="H11" s="16">
        <v>18.835999999999999</v>
      </c>
      <c r="I11" s="16">
        <v>18.844889999999999</v>
      </c>
      <c r="J11" s="4">
        <v>3</v>
      </c>
      <c r="K11">
        <f t="shared" si="0"/>
        <v>12846</v>
      </c>
      <c r="L11" s="24">
        <v>6.5750000000000003E-2</v>
      </c>
      <c r="M11" s="24">
        <v>0.1643</v>
      </c>
      <c r="N11" s="24">
        <v>9.8599999999999993E-2</v>
      </c>
      <c r="O11" t="s">
        <v>90</v>
      </c>
      <c r="P11">
        <v>4</v>
      </c>
    </row>
    <row r="12" spans="1:16">
      <c r="A12">
        <v>10</v>
      </c>
      <c r="B12" s="8" t="s">
        <v>106</v>
      </c>
      <c r="C12" s="9">
        <v>4282</v>
      </c>
      <c r="D12">
        <v>532</v>
      </c>
      <c r="E12" s="10">
        <v>214.1</v>
      </c>
      <c r="F12" s="12">
        <v>-33.91919</v>
      </c>
      <c r="G12" s="12">
        <v>-33.91236</v>
      </c>
      <c r="H12" s="12">
        <v>18.844889999999999</v>
      </c>
      <c r="I12" s="12">
        <v>18.847619999999999</v>
      </c>
      <c r="J12" s="4">
        <v>4</v>
      </c>
      <c r="K12">
        <f t="shared" si="0"/>
        <v>17128</v>
      </c>
      <c r="L12" s="24">
        <v>6.5750000000000003E-2</v>
      </c>
      <c r="M12" s="24">
        <v>0.1643</v>
      </c>
      <c r="N12" s="24">
        <v>9.8599999999999993E-2</v>
      </c>
      <c r="O12" t="s">
        <v>91</v>
      </c>
      <c r="P12">
        <v>5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16" sqref="G16"/>
    </sheetView>
  </sheetViews>
  <sheetFormatPr defaultRowHeight="13.8"/>
  <cols>
    <col min="1" max="1" width="15.59765625" bestFit="1" customWidth="1"/>
    <col min="2" max="2" width="5.59765625" bestFit="1" customWidth="1"/>
    <col min="3" max="3" width="11.8984375" bestFit="1" customWidth="1"/>
    <col min="4" max="4" width="9" bestFit="1" customWidth="1"/>
    <col min="5" max="5" width="8.5" bestFit="1" customWidth="1"/>
    <col min="6" max="6" width="8.3984375" bestFit="1" customWidth="1"/>
  </cols>
  <sheetData>
    <row r="1" spans="1:6">
      <c r="A1" t="s">
        <v>152</v>
      </c>
      <c r="B1" t="s">
        <v>116</v>
      </c>
      <c r="C1" t="s">
        <v>151</v>
      </c>
      <c r="D1" t="s">
        <v>118</v>
      </c>
      <c r="E1" t="s">
        <v>111</v>
      </c>
      <c r="F1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6"/>
  <sheetViews>
    <sheetView workbookViewId="0">
      <selection activeCell="M17" sqref="M17"/>
    </sheetView>
  </sheetViews>
  <sheetFormatPr defaultRowHeight="13.8"/>
  <cols>
    <col min="3" max="3" width="11.69921875" customWidth="1"/>
    <col min="8" max="8" width="16.69921875" bestFit="1" customWidth="1"/>
    <col min="9" max="9" width="14" bestFit="1" customWidth="1"/>
    <col min="10" max="10" width="10.59765625" bestFit="1" customWidth="1"/>
  </cols>
  <sheetData>
    <row r="1" spans="1:17">
      <c r="A1" t="s">
        <v>108</v>
      </c>
      <c r="B1" t="s">
        <v>115</v>
      </c>
      <c r="C1" t="s">
        <v>109</v>
      </c>
      <c r="D1" t="s">
        <v>110</v>
      </c>
      <c r="E1" t="s">
        <v>111</v>
      </c>
      <c r="F1" t="s">
        <v>102</v>
      </c>
      <c r="G1" t="s">
        <v>103</v>
      </c>
      <c r="H1" t="s">
        <v>112</v>
      </c>
      <c r="I1" t="s">
        <v>113</v>
      </c>
      <c r="J1" t="s">
        <v>114</v>
      </c>
      <c r="L1" s="32" t="s">
        <v>121</v>
      </c>
      <c r="M1" s="32"/>
      <c r="N1" s="32"/>
      <c r="O1" s="32"/>
      <c r="P1" s="32"/>
      <c r="Q1" s="32"/>
    </row>
    <row r="2" spans="1:17">
      <c r="A2">
        <v>0</v>
      </c>
      <c r="B2">
        <v>0</v>
      </c>
      <c r="C2" t="s">
        <v>46</v>
      </c>
      <c r="D2" s="24">
        <v>-33.930654513458599</v>
      </c>
      <c r="E2" s="24">
        <v>18.886916122156499</v>
      </c>
      <c r="F2" s="24">
        <v>4.3799999999999999E-2</v>
      </c>
      <c r="G2" s="24">
        <v>0.1096</v>
      </c>
      <c r="H2" s="24">
        <v>6.5750000000000003E-2</v>
      </c>
      <c r="I2" s="24">
        <v>2679.127</v>
      </c>
      <c r="J2" s="24">
        <v>7316.3770000000004</v>
      </c>
      <c r="L2" t="s">
        <v>116</v>
      </c>
      <c r="M2" t="s">
        <v>117</v>
      </c>
      <c r="N2" t="s">
        <v>118</v>
      </c>
      <c r="O2" t="s">
        <v>111</v>
      </c>
      <c r="P2" t="s">
        <v>119</v>
      </c>
      <c r="Q2" t="s">
        <v>120</v>
      </c>
    </row>
    <row r="3" spans="1:17">
      <c r="A3">
        <v>1</v>
      </c>
      <c r="B3">
        <v>0</v>
      </c>
      <c r="C3" t="s">
        <v>46</v>
      </c>
      <c r="D3" s="24">
        <v>-33.929716461482101</v>
      </c>
      <c r="E3" s="24">
        <v>18.883510883195299</v>
      </c>
      <c r="F3" s="24">
        <v>4.3799999999999999E-2</v>
      </c>
      <c r="G3" s="24">
        <v>0.1096</v>
      </c>
      <c r="H3" s="24">
        <v>6.5750000000000003E-2</v>
      </c>
      <c r="I3" s="24">
        <v>1697.1479999999999</v>
      </c>
      <c r="J3" s="24">
        <v>6742.7730000000001</v>
      </c>
      <c r="L3">
        <v>0</v>
      </c>
      <c r="M3">
        <v>1</v>
      </c>
      <c r="N3">
        <v>-33.930654513458599</v>
      </c>
      <c r="O3">
        <v>18.886916122156499</v>
      </c>
      <c r="P3">
        <v>0.5</v>
      </c>
      <c r="Q3">
        <v>0</v>
      </c>
    </row>
    <row r="4" spans="1:17">
      <c r="A4">
        <v>2</v>
      </c>
      <c r="B4">
        <v>0</v>
      </c>
      <c r="C4" t="s">
        <v>46</v>
      </c>
      <c r="D4" s="24">
        <v>-33.9326657427507</v>
      </c>
      <c r="E4" s="24">
        <v>18.886876777424</v>
      </c>
      <c r="F4" s="24">
        <v>4.3799999999999999E-2</v>
      </c>
      <c r="G4" s="24">
        <v>0.1096</v>
      </c>
      <c r="H4" s="24">
        <v>6.5750000000000003E-2</v>
      </c>
      <c r="I4" s="24">
        <v>2266.078</v>
      </c>
      <c r="J4" s="24">
        <v>6903.3289999999997</v>
      </c>
      <c r="L4">
        <v>1</v>
      </c>
      <c r="M4">
        <v>1</v>
      </c>
      <c r="N4">
        <v>-33.931232088037603</v>
      </c>
      <c r="O4">
        <v>18.883822168908001</v>
      </c>
      <c r="P4">
        <v>0.8</v>
      </c>
      <c r="Q4">
        <v>0</v>
      </c>
    </row>
    <row r="5" spans="1:17">
      <c r="A5">
        <v>3</v>
      </c>
      <c r="B5">
        <v>0</v>
      </c>
      <c r="C5" t="s">
        <v>46</v>
      </c>
      <c r="D5" s="24">
        <v>-33.931232088037603</v>
      </c>
      <c r="E5" s="24">
        <v>18.883822168908001</v>
      </c>
      <c r="F5" s="24">
        <v>4.3799999999999999E-2</v>
      </c>
      <c r="G5" s="24">
        <v>0.1096</v>
      </c>
      <c r="H5" s="24">
        <v>6.5750000000000003E-2</v>
      </c>
      <c r="I5" s="24">
        <v>1645.222</v>
      </c>
      <c r="J5" s="24">
        <v>6690.8469999999998</v>
      </c>
      <c r="L5">
        <v>2</v>
      </c>
      <c r="M5">
        <v>1</v>
      </c>
      <c r="N5">
        <v>-33.927951134337697</v>
      </c>
      <c r="O5">
        <v>18.882125687391401</v>
      </c>
      <c r="P5">
        <v>0.65</v>
      </c>
      <c r="Q5">
        <v>0</v>
      </c>
    </row>
    <row r="6" spans="1:17">
      <c r="A6">
        <v>4</v>
      </c>
      <c r="B6">
        <v>0</v>
      </c>
      <c r="C6" t="s">
        <v>46</v>
      </c>
      <c r="D6" s="24">
        <v>-33.927951134337697</v>
      </c>
      <c r="E6" s="24">
        <v>18.882125687391401</v>
      </c>
      <c r="F6" s="24">
        <v>4.3799999999999999E-2</v>
      </c>
      <c r="G6" s="24">
        <v>0.1096</v>
      </c>
      <c r="H6" s="24">
        <v>6.5750000000000003E-2</v>
      </c>
      <c r="I6" s="24">
        <v>1551.655</v>
      </c>
      <c r="J6" s="24">
        <v>6597.28</v>
      </c>
      <c r="L6">
        <v>3</v>
      </c>
      <c r="M6">
        <v>1</v>
      </c>
      <c r="N6">
        <v>-33.933051306022797</v>
      </c>
      <c r="O6">
        <v>18.887937387077301</v>
      </c>
      <c r="P6">
        <v>0.41</v>
      </c>
      <c r="Q6">
        <v>0</v>
      </c>
    </row>
    <row r="7" spans="1:17">
      <c r="A7">
        <v>5</v>
      </c>
      <c r="B7">
        <v>0</v>
      </c>
      <c r="C7" t="s">
        <v>46</v>
      </c>
      <c r="D7" s="24">
        <v>-33.933051306022797</v>
      </c>
      <c r="E7" s="24">
        <v>18.887937387077301</v>
      </c>
      <c r="F7" s="24">
        <v>4.3799999999999999E-2</v>
      </c>
      <c r="G7" s="24">
        <v>0.1096</v>
      </c>
      <c r="H7" s="24">
        <v>6.5750000000000003E-2</v>
      </c>
      <c r="I7" s="24">
        <v>2202.5749999999998</v>
      </c>
      <c r="J7" s="24">
        <v>6839.826</v>
      </c>
    </row>
    <row r="8" spans="1:17">
      <c r="A8">
        <v>6</v>
      </c>
      <c r="B8">
        <v>0</v>
      </c>
      <c r="C8" t="s">
        <v>46</v>
      </c>
      <c r="D8" s="24">
        <v>-33.931363696359497</v>
      </c>
      <c r="E8" s="24">
        <v>18.886147679039698</v>
      </c>
      <c r="F8" s="24">
        <v>4.3799999999999999E-2</v>
      </c>
      <c r="G8" s="24">
        <v>0.1096</v>
      </c>
      <c r="H8" s="24">
        <v>6.5750000000000003E-2</v>
      </c>
      <c r="I8" s="24">
        <v>2549.797</v>
      </c>
      <c r="J8" s="24">
        <v>7187.0469999999996</v>
      </c>
    </row>
    <row r="9" spans="1:17">
      <c r="A9">
        <v>7</v>
      </c>
      <c r="B9">
        <v>0</v>
      </c>
      <c r="C9" t="s">
        <v>46</v>
      </c>
      <c r="D9" s="24">
        <v>-33.9305061101417</v>
      </c>
      <c r="E9" s="24">
        <v>18.891216355450101</v>
      </c>
      <c r="F9" s="24">
        <v>4.3799999999999999E-2</v>
      </c>
      <c r="G9" s="24">
        <v>0.1096</v>
      </c>
      <c r="H9" s="24">
        <v>6.5750000000000003E-2</v>
      </c>
      <c r="I9" s="24">
        <v>2626.2049999999999</v>
      </c>
      <c r="J9" s="24">
        <v>7263.4560000000001</v>
      </c>
    </row>
    <row r="10" spans="1:17">
      <c r="A10">
        <v>8</v>
      </c>
      <c r="B10">
        <v>0</v>
      </c>
      <c r="C10" t="s">
        <v>46</v>
      </c>
      <c r="D10" s="24">
        <v>-33.930482768375803</v>
      </c>
      <c r="E10" s="24">
        <v>18.8864136027582</v>
      </c>
      <c r="F10" s="24">
        <v>4.3799999999999999E-2</v>
      </c>
      <c r="G10" s="24">
        <v>0.1096</v>
      </c>
      <c r="H10" s="24">
        <v>6.5750000000000003E-2</v>
      </c>
      <c r="I10" s="24">
        <v>2338.279</v>
      </c>
      <c r="J10" s="24">
        <v>7383.9030000000002</v>
      </c>
    </row>
    <row r="11" spans="1:17">
      <c r="A11">
        <v>9</v>
      </c>
      <c r="B11">
        <v>0</v>
      </c>
      <c r="C11" t="s">
        <v>46</v>
      </c>
      <c r="D11" s="24">
        <v>-33.929094173734001</v>
      </c>
      <c r="E11" s="24">
        <v>18.890870329291001</v>
      </c>
      <c r="F11" s="24">
        <v>4.3799999999999999E-2</v>
      </c>
      <c r="G11" s="24">
        <v>0.1096</v>
      </c>
      <c r="H11" s="24">
        <v>6.5750000000000003E-2</v>
      </c>
      <c r="I11" s="24">
        <v>3109.1669999999999</v>
      </c>
      <c r="J11" s="24">
        <v>8167.5820000000003</v>
      </c>
    </row>
    <row r="12" spans="1:17">
      <c r="A12">
        <v>10</v>
      </c>
      <c r="B12">
        <v>0</v>
      </c>
      <c r="C12" t="s">
        <v>46</v>
      </c>
      <c r="D12" s="24">
        <v>-33.930209287480302</v>
      </c>
      <c r="E12" s="24">
        <v>18.887019397299699</v>
      </c>
      <c r="F12" s="24">
        <v>4.3799999999999999E-2</v>
      </c>
      <c r="G12" s="24">
        <v>0.1096</v>
      </c>
      <c r="H12" s="24">
        <v>6.5750000000000003E-2</v>
      </c>
      <c r="I12" s="24">
        <v>2679.127</v>
      </c>
      <c r="J12" s="24">
        <v>7316.3770000000004</v>
      </c>
    </row>
    <row r="13" spans="1:17">
      <c r="A13">
        <v>11</v>
      </c>
      <c r="B13">
        <v>0</v>
      </c>
      <c r="C13" t="s">
        <v>46</v>
      </c>
      <c r="D13" s="24">
        <v>-33.9292154791396</v>
      </c>
      <c r="E13" s="24">
        <v>18.8836994662305</v>
      </c>
      <c r="F13" s="24">
        <v>4.3799999999999999E-2</v>
      </c>
      <c r="G13" s="24">
        <v>0.1096</v>
      </c>
      <c r="H13" s="24">
        <v>6.5750000000000003E-2</v>
      </c>
      <c r="I13" s="24">
        <v>2034.8109999999999</v>
      </c>
      <c r="J13" s="24">
        <v>7080.4359999999997</v>
      </c>
    </row>
    <row r="14" spans="1:17">
      <c r="A14">
        <v>12</v>
      </c>
      <c r="B14">
        <v>0</v>
      </c>
      <c r="C14" t="s">
        <v>46</v>
      </c>
      <c r="D14" s="24">
        <v>-33.932354676737397</v>
      </c>
      <c r="E14" s="24">
        <v>18.891066105438</v>
      </c>
      <c r="F14" s="24">
        <v>4.3799999999999999E-2</v>
      </c>
      <c r="G14" s="24">
        <v>0.1096</v>
      </c>
      <c r="H14" s="24">
        <v>6.5750000000000003E-2</v>
      </c>
      <c r="I14" s="24">
        <v>2564.17</v>
      </c>
      <c r="J14" s="24">
        <v>7201.4210000000003</v>
      </c>
    </row>
    <row r="15" spans="1:17">
      <c r="A15">
        <v>13</v>
      </c>
      <c r="B15">
        <v>0</v>
      </c>
      <c r="C15" t="s">
        <v>46</v>
      </c>
      <c r="D15" s="24">
        <v>-33.932764765338099</v>
      </c>
      <c r="E15" s="24">
        <v>18.887795638178702</v>
      </c>
      <c r="F15" s="24">
        <v>4.3799999999999999E-2</v>
      </c>
      <c r="G15" s="24">
        <v>0.1096</v>
      </c>
      <c r="H15" s="24">
        <v>6.5750000000000003E-2</v>
      </c>
      <c r="I15" s="24">
        <v>2335.444</v>
      </c>
      <c r="J15" s="24">
        <v>6972.6949999999997</v>
      </c>
    </row>
    <row r="16" spans="1:17">
      <c r="A16">
        <v>0</v>
      </c>
      <c r="B16">
        <v>1</v>
      </c>
      <c r="C16" t="s">
        <v>42</v>
      </c>
      <c r="D16">
        <v>-33.928018285186504</v>
      </c>
      <c r="E16">
        <v>18.878326864082201</v>
      </c>
      <c r="F16">
        <v>4.3799999999999999E-2</v>
      </c>
      <c r="G16">
        <v>0.1096</v>
      </c>
      <c r="H16">
        <v>6.5750000000000003E-2</v>
      </c>
      <c r="I16">
        <v>1337.307</v>
      </c>
      <c r="J16">
        <v>6382.9319999999998</v>
      </c>
    </row>
    <row r="17" spans="1:10">
      <c r="A17">
        <v>1</v>
      </c>
      <c r="B17">
        <v>1</v>
      </c>
      <c r="C17" t="s">
        <v>42</v>
      </c>
      <c r="D17">
        <v>-33.927268041894997</v>
      </c>
      <c r="E17">
        <v>18.875581945684601</v>
      </c>
      <c r="F17">
        <v>4.3799999999999999E-2</v>
      </c>
      <c r="G17">
        <v>0.1096</v>
      </c>
      <c r="H17">
        <v>6.5750000000000003E-2</v>
      </c>
      <c r="I17">
        <v>1346.0440000000001</v>
      </c>
      <c r="J17">
        <v>6391.6679999999997</v>
      </c>
    </row>
    <row r="18" spans="1:10">
      <c r="A18">
        <v>2</v>
      </c>
      <c r="B18">
        <v>1</v>
      </c>
      <c r="C18" t="s">
        <v>42</v>
      </c>
      <c r="D18">
        <v>-33.929626843477301</v>
      </c>
      <c r="E18">
        <v>18.8782951488101</v>
      </c>
      <c r="F18">
        <v>4.3799999999999999E-2</v>
      </c>
      <c r="G18">
        <v>0.1096</v>
      </c>
      <c r="H18">
        <v>6.5750000000000003E-2</v>
      </c>
      <c r="I18">
        <v>1070.133</v>
      </c>
      <c r="J18">
        <v>6115.7569999999996</v>
      </c>
    </row>
    <row r="19" spans="1:10">
      <c r="A19">
        <v>3</v>
      </c>
      <c r="B19">
        <v>1</v>
      </c>
      <c r="C19" t="s">
        <v>42</v>
      </c>
      <c r="D19">
        <v>-33.928480222759298</v>
      </c>
      <c r="E19">
        <v>18.8758328690087</v>
      </c>
      <c r="F19">
        <v>4.3799999999999999E-2</v>
      </c>
      <c r="G19">
        <v>0.1096</v>
      </c>
      <c r="H19">
        <v>6.5750000000000003E-2</v>
      </c>
      <c r="I19">
        <v>978.024</v>
      </c>
      <c r="J19">
        <v>6023.6480000000001</v>
      </c>
    </row>
    <row r="20" spans="1:10">
      <c r="A20">
        <v>4</v>
      </c>
      <c r="B20">
        <v>1</v>
      </c>
      <c r="C20" t="s">
        <v>42</v>
      </c>
      <c r="D20">
        <v>-33.925856153342401</v>
      </c>
      <c r="E20">
        <v>18.874465357542199</v>
      </c>
      <c r="F20">
        <v>4.3799999999999999E-2</v>
      </c>
      <c r="G20">
        <v>0.1096</v>
      </c>
      <c r="H20">
        <v>6.5750000000000003E-2</v>
      </c>
      <c r="I20">
        <v>1496.2249999999999</v>
      </c>
      <c r="J20">
        <v>6326.2389999999996</v>
      </c>
    </row>
    <row r="21" spans="1:10">
      <c r="A21">
        <v>5</v>
      </c>
      <c r="B21">
        <v>1</v>
      </c>
      <c r="C21" t="s">
        <v>42</v>
      </c>
      <c r="D21">
        <v>-33.929935212592902</v>
      </c>
      <c r="E21">
        <v>18.879150092320199</v>
      </c>
      <c r="F21">
        <v>4.3799999999999999E-2</v>
      </c>
      <c r="G21">
        <v>0.1096</v>
      </c>
      <c r="H21">
        <v>6.5750000000000003E-2</v>
      </c>
      <c r="I21">
        <v>1149.9780000000001</v>
      </c>
      <c r="J21">
        <v>6195.6030000000001</v>
      </c>
    </row>
    <row r="22" spans="1:10">
      <c r="A22">
        <v>6</v>
      </c>
      <c r="B22">
        <v>1</v>
      </c>
      <c r="C22" t="s">
        <v>42</v>
      </c>
      <c r="D22">
        <v>-33.928585481596897</v>
      </c>
      <c r="E22">
        <v>18.877707432179498</v>
      </c>
      <c r="F22">
        <v>4.3799999999999999E-2</v>
      </c>
      <c r="G22">
        <v>0.1096</v>
      </c>
      <c r="H22">
        <v>6.5750000000000003E-2</v>
      </c>
      <c r="I22">
        <v>1261.3720000000001</v>
      </c>
      <c r="J22">
        <v>6306.9970000000003</v>
      </c>
    </row>
    <row r="23" spans="1:10">
      <c r="A23">
        <v>7</v>
      </c>
      <c r="B23">
        <v>1</v>
      </c>
      <c r="C23" t="s">
        <v>42</v>
      </c>
      <c r="D23">
        <v>-33.927899593903099</v>
      </c>
      <c r="E23">
        <v>18.881793225654999</v>
      </c>
      <c r="F23">
        <v>4.3799999999999999E-2</v>
      </c>
      <c r="G23">
        <v>0.1096</v>
      </c>
      <c r="H23">
        <v>6.5750000000000003E-2</v>
      </c>
      <c r="I23">
        <v>1550.4770000000001</v>
      </c>
      <c r="J23">
        <v>6596.1019999999999</v>
      </c>
    </row>
    <row r="24" spans="1:10">
      <c r="A24">
        <v>8</v>
      </c>
      <c r="B24">
        <v>1</v>
      </c>
      <c r="C24" t="s">
        <v>42</v>
      </c>
      <c r="D24">
        <v>-33.927880925424503</v>
      </c>
      <c r="E24">
        <v>18.877921789796002</v>
      </c>
      <c r="F24">
        <v>4.3799999999999999E-2</v>
      </c>
      <c r="G24">
        <v>0.1096</v>
      </c>
      <c r="H24">
        <v>6.5750000000000003E-2</v>
      </c>
      <c r="I24">
        <v>1277.3789999999999</v>
      </c>
      <c r="J24">
        <v>6323.0039999999999</v>
      </c>
    </row>
    <row r="25" spans="1:10">
      <c r="A25">
        <v>9</v>
      </c>
      <c r="B25">
        <v>1</v>
      </c>
      <c r="C25" t="s">
        <v>42</v>
      </c>
      <c r="D25">
        <v>-33.926770343238601</v>
      </c>
      <c r="E25">
        <v>18.881514298513299</v>
      </c>
      <c r="F25">
        <v>4.3799999999999999E-2</v>
      </c>
      <c r="G25">
        <v>0.1096</v>
      </c>
      <c r="H25">
        <v>6.5750000000000003E-2</v>
      </c>
      <c r="I25">
        <v>2013.66</v>
      </c>
      <c r="J25">
        <v>7072.0749999999998</v>
      </c>
    </row>
    <row r="26" spans="1:10">
      <c r="A26">
        <v>10</v>
      </c>
      <c r="B26">
        <v>1</v>
      </c>
      <c r="C26" t="s">
        <v>42</v>
      </c>
      <c r="D26">
        <v>-33.927662198517801</v>
      </c>
      <c r="E26">
        <v>18.8784101128185</v>
      </c>
      <c r="F26">
        <v>4.3799999999999999E-2</v>
      </c>
      <c r="G26">
        <v>0.1096</v>
      </c>
      <c r="H26">
        <v>6.5750000000000003E-2</v>
      </c>
      <c r="I26">
        <v>1309.905</v>
      </c>
      <c r="J26">
        <v>6355.53</v>
      </c>
    </row>
    <row r="27" spans="1:10">
      <c r="A27">
        <v>11</v>
      </c>
      <c r="B27">
        <v>1</v>
      </c>
      <c r="C27" t="s">
        <v>42</v>
      </c>
      <c r="D27">
        <v>-33.926867361920898</v>
      </c>
      <c r="E27">
        <v>18.8757339599922</v>
      </c>
      <c r="F27">
        <v>4.3799999999999999E-2</v>
      </c>
      <c r="G27">
        <v>0.1096</v>
      </c>
      <c r="H27">
        <v>6.5750000000000003E-2</v>
      </c>
      <c r="I27">
        <v>1310.53</v>
      </c>
      <c r="J27">
        <v>6356.1540000000005</v>
      </c>
    </row>
    <row r="28" spans="1:10">
      <c r="A28">
        <v>12</v>
      </c>
      <c r="B28">
        <v>1</v>
      </c>
      <c r="C28" t="s">
        <v>42</v>
      </c>
      <c r="D28">
        <v>-33.929378056421299</v>
      </c>
      <c r="E28">
        <v>18.881672111093899</v>
      </c>
      <c r="F28">
        <v>4.3799999999999999E-2</v>
      </c>
      <c r="G28">
        <v>0.1096</v>
      </c>
      <c r="H28">
        <v>6.5750000000000003E-2</v>
      </c>
      <c r="I28">
        <v>1393.259</v>
      </c>
      <c r="J28">
        <v>6438.884</v>
      </c>
    </row>
    <row r="29" spans="1:10">
      <c r="A29">
        <v>13</v>
      </c>
      <c r="B29">
        <v>1</v>
      </c>
      <c r="C29" t="s">
        <v>42</v>
      </c>
      <c r="D29">
        <v>-33.9297060406154</v>
      </c>
      <c r="E29">
        <v>18.879035830394901</v>
      </c>
      <c r="F29">
        <v>4.3799999999999999E-2</v>
      </c>
      <c r="G29">
        <v>0.1096</v>
      </c>
      <c r="H29">
        <v>6.5750000000000003E-2</v>
      </c>
      <c r="I29">
        <v>1142.778</v>
      </c>
      <c r="J29">
        <v>6188.4030000000002</v>
      </c>
    </row>
    <row r="30" spans="1:10">
      <c r="A30">
        <v>0</v>
      </c>
      <c r="B30">
        <v>2</v>
      </c>
      <c r="C30" t="s">
        <v>10</v>
      </c>
      <c r="D30">
        <v>-33.955665864907999</v>
      </c>
      <c r="E30">
        <v>18.8661798284563</v>
      </c>
      <c r="F30">
        <v>4.3799999999999999E-2</v>
      </c>
      <c r="G30">
        <v>0.1096</v>
      </c>
      <c r="H30">
        <v>6.5750000000000003E-2</v>
      </c>
      <c r="I30">
        <v>5716.9260000000004</v>
      </c>
      <c r="J30">
        <v>6559.8209999999999</v>
      </c>
    </row>
    <row r="31" spans="1:10">
      <c r="A31">
        <v>1</v>
      </c>
      <c r="B31">
        <v>2</v>
      </c>
      <c r="C31" t="s">
        <v>10</v>
      </c>
      <c r="D31">
        <v>-33.954589435039097</v>
      </c>
      <c r="E31">
        <v>18.8593848239857</v>
      </c>
      <c r="F31">
        <v>4.3799999999999999E-2</v>
      </c>
      <c r="G31">
        <v>0.1096</v>
      </c>
      <c r="H31">
        <v>6.5750000000000003E-2</v>
      </c>
      <c r="I31">
        <v>5107.777</v>
      </c>
      <c r="J31">
        <v>5950.6710000000003</v>
      </c>
    </row>
    <row r="32" spans="1:10">
      <c r="A32">
        <v>2</v>
      </c>
      <c r="B32">
        <v>2</v>
      </c>
      <c r="C32" t="s">
        <v>10</v>
      </c>
      <c r="D32">
        <v>-33.9579737831655</v>
      </c>
      <c r="E32">
        <v>18.866101317774302</v>
      </c>
      <c r="F32">
        <v>4.3799999999999999E-2</v>
      </c>
      <c r="G32">
        <v>0.1096</v>
      </c>
      <c r="H32">
        <v>6.5750000000000003E-2</v>
      </c>
      <c r="I32">
        <v>5877.6869999999999</v>
      </c>
      <c r="J32">
        <v>6720.5810000000001</v>
      </c>
    </row>
    <row r="33" spans="1:13">
      <c r="A33">
        <v>3</v>
      </c>
      <c r="B33">
        <v>2</v>
      </c>
      <c r="C33" t="s">
        <v>10</v>
      </c>
      <c r="D33">
        <v>-33.956328641112101</v>
      </c>
      <c r="E33">
        <v>18.860005980924601</v>
      </c>
      <c r="F33">
        <v>4.3799999999999999E-2</v>
      </c>
      <c r="G33">
        <v>0.1096</v>
      </c>
      <c r="H33">
        <v>6.5750000000000003E-2</v>
      </c>
      <c r="I33">
        <v>4779.9799999999996</v>
      </c>
      <c r="J33">
        <v>5622.875</v>
      </c>
      <c r="M33">
        <f ca="1">RANDBETWEEN(0,17)</f>
        <v>2</v>
      </c>
    </row>
    <row r="34" spans="1:13">
      <c r="A34">
        <v>4</v>
      </c>
      <c r="B34">
        <v>2</v>
      </c>
      <c r="C34" t="s">
        <v>10</v>
      </c>
      <c r="D34">
        <v>-33.952563693487399</v>
      </c>
      <c r="E34">
        <v>18.856620726726501</v>
      </c>
      <c r="F34">
        <v>4.3799999999999999E-2</v>
      </c>
      <c r="G34">
        <v>0.1096</v>
      </c>
      <c r="H34">
        <v>6.5750000000000003E-2</v>
      </c>
      <c r="I34">
        <v>3569.627</v>
      </c>
      <c r="J34">
        <v>4630.6850000000004</v>
      </c>
    </row>
    <row r="35" spans="1:13">
      <c r="A35">
        <v>5</v>
      </c>
      <c r="B35">
        <v>2</v>
      </c>
      <c r="C35" t="s">
        <v>10</v>
      </c>
      <c r="D35">
        <v>-33.958416223278398</v>
      </c>
      <c r="E35">
        <v>18.8682177176563</v>
      </c>
      <c r="F35">
        <v>4.3799999999999999E-2</v>
      </c>
      <c r="G35">
        <v>0.1096</v>
      </c>
      <c r="H35">
        <v>6.5750000000000003E-2</v>
      </c>
      <c r="I35">
        <v>4437.2690000000002</v>
      </c>
      <c r="J35">
        <v>6232.3940000000002</v>
      </c>
    </row>
    <row r="36" spans="1:13">
      <c r="A36">
        <v>6</v>
      </c>
      <c r="B36">
        <v>2</v>
      </c>
      <c r="C36" t="s">
        <v>10</v>
      </c>
      <c r="D36">
        <v>-33.956479663797701</v>
      </c>
      <c r="E36">
        <v>18.864646434038601</v>
      </c>
      <c r="F36">
        <v>4.3799999999999999E-2</v>
      </c>
      <c r="G36">
        <v>0.1096</v>
      </c>
      <c r="H36">
        <v>6.5750000000000003E-2</v>
      </c>
      <c r="I36">
        <v>5606.643</v>
      </c>
      <c r="J36">
        <v>6449.5379999999996</v>
      </c>
    </row>
    <row r="37" spans="1:13">
      <c r="A37">
        <v>7</v>
      </c>
      <c r="B37">
        <v>2</v>
      </c>
      <c r="C37" t="s">
        <v>10</v>
      </c>
      <c r="D37">
        <v>-33.955495569692999</v>
      </c>
      <c r="E37">
        <v>18.874760754725202</v>
      </c>
      <c r="F37">
        <v>4.3799999999999999E-2</v>
      </c>
      <c r="G37">
        <v>0.1096</v>
      </c>
      <c r="H37">
        <v>6.5750000000000003E-2</v>
      </c>
      <c r="I37">
        <v>4413.3239999999996</v>
      </c>
      <c r="J37">
        <v>6494.1549999999997</v>
      </c>
    </row>
    <row r="38" spans="1:13">
      <c r="A38">
        <v>8</v>
      </c>
      <c r="B38">
        <v>2</v>
      </c>
      <c r="C38" t="s">
        <v>10</v>
      </c>
      <c r="D38">
        <v>-33.955468784637802</v>
      </c>
      <c r="E38">
        <v>18.865177073114602</v>
      </c>
      <c r="F38">
        <v>4.3799999999999999E-2</v>
      </c>
      <c r="G38">
        <v>0.1096</v>
      </c>
      <c r="H38">
        <v>6.5750000000000003E-2</v>
      </c>
      <c r="I38">
        <v>3851.9630000000002</v>
      </c>
      <c r="J38">
        <v>5647.0879999999997</v>
      </c>
    </row>
    <row r="39" spans="1:13">
      <c r="A39">
        <v>9</v>
      </c>
      <c r="B39">
        <v>2</v>
      </c>
      <c r="C39" t="s">
        <v>10</v>
      </c>
      <c r="D39">
        <v>-33.953875349747598</v>
      </c>
      <c r="E39">
        <v>18.874070274754501</v>
      </c>
      <c r="F39">
        <v>4.3799999999999999E-2</v>
      </c>
      <c r="G39">
        <v>0.1096</v>
      </c>
      <c r="H39">
        <v>6.5750000000000003E-2</v>
      </c>
      <c r="I39">
        <v>3324.2950000000001</v>
      </c>
      <c r="J39">
        <v>6979.0680000000002</v>
      </c>
    </row>
    <row r="40" spans="1:13">
      <c r="A40">
        <v>10</v>
      </c>
      <c r="B40">
        <v>2</v>
      </c>
      <c r="C40" t="s">
        <v>10</v>
      </c>
      <c r="D40">
        <v>-33.955154960871297</v>
      </c>
      <c r="E40">
        <v>18.866385909458899</v>
      </c>
      <c r="F40">
        <v>4.3799999999999999E-2</v>
      </c>
      <c r="G40">
        <v>0.1096</v>
      </c>
      <c r="H40">
        <v>6.5750000000000003E-2</v>
      </c>
      <c r="I40">
        <v>3813.944</v>
      </c>
      <c r="J40">
        <v>5609.0690000000004</v>
      </c>
    </row>
    <row r="41" spans="1:13">
      <c r="A41">
        <v>11</v>
      </c>
      <c r="B41">
        <v>2</v>
      </c>
      <c r="C41" t="s">
        <v>10</v>
      </c>
      <c r="D41">
        <v>-33.954014549669402</v>
      </c>
      <c r="E41">
        <v>18.859761133132299</v>
      </c>
      <c r="F41">
        <v>4.3799999999999999E-2</v>
      </c>
      <c r="G41">
        <v>0.1096</v>
      </c>
      <c r="H41">
        <v>6.5750000000000003E-2</v>
      </c>
      <c r="I41">
        <v>3575.721</v>
      </c>
      <c r="J41">
        <v>5087.8909999999996</v>
      </c>
    </row>
    <row r="42" spans="1:13">
      <c r="A42">
        <v>12</v>
      </c>
      <c r="B42">
        <v>2</v>
      </c>
      <c r="C42" t="s">
        <v>10</v>
      </c>
      <c r="D42">
        <v>-33.957616829866303</v>
      </c>
      <c r="E42">
        <v>18.874460937439199</v>
      </c>
      <c r="F42">
        <v>4.3799999999999999E-2</v>
      </c>
      <c r="G42">
        <v>0.1096</v>
      </c>
      <c r="H42">
        <v>6.5750000000000003E-2</v>
      </c>
      <c r="I42">
        <v>4559.5169999999998</v>
      </c>
      <c r="J42">
        <v>6640.348</v>
      </c>
    </row>
    <row r="43" spans="1:13">
      <c r="A43">
        <v>13</v>
      </c>
      <c r="B43">
        <v>2</v>
      </c>
      <c r="C43" t="s">
        <v>10</v>
      </c>
      <c r="D43">
        <v>-33.958087413191798</v>
      </c>
      <c r="E43">
        <v>18.867934863967999</v>
      </c>
      <c r="F43">
        <v>4.3799999999999999E-2</v>
      </c>
      <c r="G43">
        <v>0.1096</v>
      </c>
      <c r="H43">
        <v>6.5750000000000003E-2</v>
      </c>
      <c r="I43">
        <v>4411.2830000000004</v>
      </c>
      <c r="J43">
        <v>6206.4080000000004</v>
      </c>
    </row>
    <row r="44" spans="1:13">
      <c r="A44">
        <v>14</v>
      </c>
      <c r="B44">
        <v>2</v>
      </c>
      <c r="C44" t="s">
        <v>10</v>
      </c>
      <c r="D44">
        <v>-33.957746367359199</v>
      </c>
      <c r="E44">
        <v>18.872520786610899</v>
      </c>
      <c r="F44">
        <v>4.3799999999999999E-2</v>
      </c>
      <c r="G44">
        <v>0.1096</v>
      </c>
      <c r="H44">
        <v>6.5750000000000003E-2</v>
      </c>
      <c r="I44">
        <v>4663.1040000000003</v>
      </c>
      <c r="J44">
        <v>6458.2290000000003</v>
      </c>
    </row>
    <row r="45" spans="1:13">
      <c r="A45">
        <v>15</v>
      </c>
      <c r="B45">
        <v>2</v>
      </c>
      <c r="C45" t="s">
        <v>10</v>
      </c>
      <c r="D45">
        <v>-33.955454853810501</v>
      </c>
      <c r="E45">
        <v>18.874536449673599</v>
      </c>
      <c r="F45">
        <v>4.3799999999999999E-2</v>
      </c>
      <c r="G45">
        <v>0.1096</v>
      </c>
      <c r="H45">
        <v>6.5750000000000003E-2</v>
      </c>
      <c r="I45">
        <v>4392.4759999999997</v>
      </c>
      <c r="J45">
        <v>6473.3069999999998</v>
      </c>
    </row>
    <row r="46" spans="1:13">
      <c r="A46">
        <v>16</v>
      </c>
      <c r="B46">
        <v>2</v>
      </c>
      <c r="C46" t="s">
        <v>10</v>
      </c>
      <c r="D46">
        <v>-33.953064745346502</v>
      </c>
      <c r="E46">
        <v>18.858232283807801</v>
      </c>
      <c r="F46">
        <v>4.3799999999999999E-2</v>
      </c>
      <c r="G46">
        <v>0.1096</v>
      </c>
      <c r="H46">
        <v>6.5750000000000003E-2</v>
      </c>
      <c r="I46">
        <v>3776.1239999999998</v>
      </c>
      <c r="J46">
        <v>4837.1809999999996</v>
      </c>
    </row>
    <row r="47" spans="1:13">
      <c r="A47">
        <v>17</v>
      </c>
      <c r="B47">
        <v>2</v>
      </c>
      <c r="C47" t="s">
        <v>10</v>
      </c>
      <c r="D47">
        <v>-33.958568897861902</v>
      </c>
      <c r="E47">
        <v>18.867550565838201</v>
      </c>
      <c r="F47">
        <v>4.3799999999999999E-2</v>
      </c>
      <c r="G47">
        <v>0.1096</v>
      </c>
      <c r="H47">
        <v>6.5750000000000003E-2</v>
      </c>
      <c r="I47">
        <v>5345.4340000000002</v>
      </c>
      <c r="J47">
        <v>6188.3289999999997</v>
      </c>
    </row>
    <row r="48" spans="1:13">
      <c r="A48">
        <v>0</v>
      </c>
      <c r="B48">
        <v>3</v>
      </c>
      <c r="C48" t="s">
        <v>35</v>
      </c>
      <c r="D48">
        <v>-33.964103482266701</v>
      </c>
      <c r="E48">
        <v>18.855042954120002</v>
      </c>
      <c r="F48">
        <v>4.3799999999999999E-2</v>
      </c>
      <c r="G48">
        <v>0.1096</v>
      </c>
      <c r="H48">
        <v>6.5750000000000003E-2</v>
      </c>
      <c r="I48">
        <v>5612.9179999999997</v>
      </c>
      <c r="J48">
        <v>6455.8130000000001</v>
      </c>
    </row>
    <row r="49" spans="1:12">
      <c r="A49">
        <v>1</v>
      </c>
      <c r="B49">
        <v>3</v>
      </c>
      <c r="C49" t="s">
        <v>35</v>
      </c>
      <c r="D49">
        <v>-33.962913743990697</v>
      </c>
      <c r="E49">
        <v>18.8513523559178</v>
      </c>
      <c r="F49">
        <v>4.3799999999999999E-2</v>
      </c>
      <c r="G49">
        <v>0.1096</v>
      </c>
      <c r="H49">
        <v>6.5750000000000003E-2</v>
      </c>
      <c r="I49">
        <v>5074.384</v>
      </c>
      <c r="J49">
        <v>5917.2790000000005</v>
      </c>
      <c r="L49">
        <f ca="1">RANDBETWEEN(0,58)</f>
        <v>21</v>
      </c>
    </row>
    <row r="50" spans="1:12">
      <c r="A50">
        <v>2</v>
      </c>
      <c r="B50">
        <v>3</v>
      </c>
      <c r="C50" t="s">
        <v>35</v>
      </c>
      <c r="D50">
        <v>-33.966654339288198</v>
      </c>
      <c r="E50">
        <v>18.855000312296401</v>
      </c>
      <c r="F50">
        <v>4.3799999999999999E-2</v>
      </c>
      <c r="G50">
        <v>0.1096</v>
      </c>
      <c r="H50">
        <v>6.5750000000000003E-2</v>
      </c>
      <c r="I50">
        <v>6112.634</v>
      </c>
      <c r="J50">
        <v>6955.5290000000005</v>
      </c>
    </row>
    <row r="51" spans="1:12">
      <c r="A51">
        <v>3</v>
      </c>
      <c r="B51">
        <v>3</v>
      </c>
      <c r="C51" t="s">
        <v>35</v>
      </c>
      <c r="D51">
        <v>-33.964836024387097</v>
      </c>
      <c r="E51">
        <v>18.851689727393001</v>
      </c>
      <c r="F51">
        <v>4.3799999999999999E-2</v>
      </c>
      <c r="G51">
        <v>0.1096</v>
      </c>
      <c r="H51">
        <v>6.5750000000000003E-2</v>
      </c>
      <c r="I51">
        <v>5315.5810000000001</v>
      </c>
      <c r="J51">
        <v>6158.4759999999997</v>
      </c>
    </row>
    <row r="52" spans="1:12">
      <c r="A52">
        <v>4</v>
      </c>
      <c r="B52">
        <v>3</v>
      </c>
      <c r="C52" t="s">
        <v>35</v>
      </c>
      <c r="D52">
        <v>-33.960674766486001</v>
      </c>
      <c r="E52">
        <v>18.8498510806178</v>
      </c>
      <c r="F52">
        <v>4.3799999999999999E-2</v>
      </c>
      <c r="G52">
        <v>0.1096</v>
      </c>
      <c r="H52">
        <v>6.5750000000000003E-2</v>
      </c>
      <c r="I52">
        <v>5030.6499999999996</v>
      </c>
      <c r="J52">
        <v>5873.5439999999999</v>
      </c>
    </row>
    <row r="53" spans="1:12">
      <c r="A53">
        <v>5</v>
      </c>
      <c r="B53">
        <v>3</v>
      </c>
      <c r="C53" t="s">
        <v>35</v>
      </c>
      <c r="D53">
        <v>-33.967143352044602</v>
      </c>
      <c r="E53">
        <v>18.8561498011059</v>
      </c>
      <c r="F53">
        <v>4.3799999999999999E-2</v>
      </c>
      <c r="G53">
        <v>0.1096</v>
      </c>
      <c r="H53">
        <v>6.5750000000000003E-2</v>
      </c>
      <c r="I53">
        <v>6032.1850000000004</v>
      </c>
      <c r="J53">
        <v>6875.08</v>
      </c>
    </row>
    <row r="54" spans="1:12">
      <c r="A54">
        <v>6</v>
      </c>
      <c r="B54">
        <v>3</v>
      </c>
      <c r="C54" t="s">
        <v>35</v>
      </c>
      <c r="D54">
        <v>-33.965002944197501</v>
      </c>
      <c r="E54">
        <v>18.854210115421299</v>
      </c>
      <c r="F54">
        <v>4.3799999999999999E-2</v>
      </c>
      <c r="G54">
        <v>0.1096</v>
      </c>
      <c r="H54">
        <v>6.5750000000000003E-2</v>
      </c>
      <c r="I54">
        <v>5464.0439999999999</v>
      </c>
      <c r="J54">
        <v>6306.9390000000003</v>
      </c>
    </row>
    <row r="55" spans="1:12">
      <c r="A55">
        <v>7</v>
      </c>
      <c r="B55">
        <v>3</v>
      </c>
      <c r="C55" t="s">
        <v>35</v>
      </c>
      <c r="D55">
        <v>-33.963915261239599</v>
      </c>
      <c r="E55">
        <v>18.859703547236201</v>
      </c>
      <c r="F55">
        <v>4.3799999999999999E-2</v>
      </c>
      <c r="G55">
        <v>0.1096</v>
      </c>
      <c r="H55">
        <v>6.5750000000000003E-2</v>
      </c>
      <c r="I55">
        <v>5443.9070000000002</v>
      </c>
      <c r="J55">
        <v>6286.8019999999997</v>
      </c>
    </row>
    <row r="56" spans="1:12">
      <c r="A56">
        <v>8</v>
      </c>
      <c r="B56">
        <v>3</v>
      </c>
      <c r="C56" t="s">
        <v>35</v>
      </c>
      <c r="D56">
        <v>-33.963885656705003</v>
      </c>
      <c r="E56">
        <v>18.854498323564201</v>
      </c>
      <c r="F56">
        <v>4.3799999999999999E-2</v>
      </c>
      <c r="G56">
        <v>0.1096</v>
      </c>
      <c r="H56">
        <v>6.5750000000000003E-2</v>
      </c>
      <c r="I56">
        <v>5657.393</v>
      </c>
      <c r="J56">
        <v>6500.2870000000003</v>
      </c>
    </row>
    <row r="57" spans="1:12">
      <c r="A57">
        <v>9</v>
      </c>
      <c r="B57">
        <v>3</v>
      </c>
      <c r="C57" t="s">
        <v>35</v>
      </c>
      <c r="D57">
        <v>-33.962124491826302</v>
      </c>
      <c r="E57">
        <v>18.859328524062999</v>
      </c>
      <c r="F57">
        <v>4.3799999999999999E-2</v>
      </c>
      <c r="G57">
        <v>0.1096</v>
      </c>
      <c r="H57">
        <v>6.5750000000000003E-2</v>
      </c>
      <c r="I57">
        <v>5573.299</v>
      </c>
      <c r="J57">
        <v>6416.1940000000004</v>
      </c>
    </row>
    <row r="58" spans="1:12">
      <c r="A58">
        <v>10</v>
      </c>
      <c r="B58">
        <v>3</v>
      </c>
      <c r="C58" t="s">
        <v>35</v>
      </c>
      <c r="D58">
        <v>-33.963538798857698</v>
      </c>
      <c r="E58">
        <v>18.855154883726598</v>
      </c>
      <c r="F58">
        <v>4.3799999999999999E-2</v>
      </c>
      <c r="G58">
        <v>0.1096</v>
      </c>
      <c r="H58">
        <v>6.5750000000000003E-2</v>
      </c>
      <c r="I58">
        <v>5764.3630000000003</v>
      </c>
      <c r="J58">
        <v>6607.2579999999998</v>
      </c>
    </row>
    <row r="59" spans="1:12">
      <c r="A59">
        <v>11</v>
      </c>
      <c r="B59">
        <v>3</v>
      </c>
      <c r="C59" t="s">
        <v>35</v>
      </c>
      <c r="D59">
        <v>-33.962278344371498</v>
      </c>
      <c r="E59">
        <v>18.851556742223401</v>
      </c>
      <c r="F59">
        <v>4.3799999999999999E-2</v>
      </c>
      <c r="G59">
        <v>0.1096</v>
      </c>
      <c r="H59">
        <v>6.5750000000000003E-2</v>
      </c>
      <c r="I59">
        <v>5144.7950000000001</v>
      </c>
      <c r="J59">
        <v>5987.69</v>
      </c>
    </row>
    <row r="60" spans="1:12">
      <c r="A60">
        <v>12</v>
      </c>
      <c r="B60">
        <v>3</v>
      </c>
      <c r="C60" t="s">
        <v>35</v>
      </c>
      <c r="D60">
        <v>-33.966259811957499</v>
      </c>
      <c r="E60">
        <v>18.859540706263601</v>
      </c>
      <c r="F60">
        <v>4.3799999999999999E-2</v>
      </c>
      <c r="G60">
        <v>0.1096</v>
      </c>
      <c r="H60">
        <v>6.5750000000000003E-2</v>
      </c>
      <c r="I60">
        <v>6368.2629999999999</v>
      </c>
      <c r="J60">
        <v>7211.1580000000004</v>
      </c>
    </row>
    <row r="61" spans="1:12">
      <c r="A61">
        <v>13</v>
      </c>
      <c r="B61">
        <v>3</v>
      </c>
      <c r="C61" t="s">
        <v>35</v>
      </c>
      <c r="D61">
        <v>-33.966779930369903</v>
      </c>
      <c r="E61">
        <v>18.855996173640602</v>
      </c>
      <c r="F61">
        <v>4.3799999999999999E-2</v>
      </c>
      <c r="G61">
        <v>0.1096</v>
      </c>
      <c r="H61">
        <v>6.5750000000000003E-2</v>
      </c>
      <c r="I61">
        <v>6067.4080000000004</v>
      </c>
      <c r="J61">
        <v>6910.3029999999999</v>
      </c>
    </row>
    <row r="62" spans="1:12">
      <c r="A62">
        <v>14</v>
      </c>
      <c r="B62">
        <v>3</v>
      </c>
      <c r="C62" t="s">
        <v>35</v>
      </c>
      <c r="D62">
        <v>-33.966402984976</v>
      </c>
      <c r="E62">
        <v>18.858486944313999</v>
      </c>
      <c r="F62">
        <v>4.3799999999999999E-2</v>
      </c>
      <c r="G62">
        <v>0.1096</v>
      </c>
      <c r="H62">
        <v>6.5750000000000003E-2</v>
      </c>
      <c r="I62">
        <v>5685.2219999999998</v>
      </c>
      <c r="J62">
        <v>6528.1170000000002</v>
      </c>
    </row>
    <row r="63" spans="1:12">
      <c r="A63">
        <v>15</v>
      </c>
      <c r="B63">
        <v>3</v>
      </c>
      <c r="C63" t="s">
        <v>35</v>
      </c>
      <c r="D63">
        <v>-33.963870259474703</v>
      </c>
      <c r="E63">
        <v>18.8595817195283</v>
      </c>
      <c r="F63">
        <v>4.3799999999999999E-2</v>
      </c>
      <c r="G63">
        <v>0.1096</v>
      </c>
      <c r="H63">
        <v>6.5750000000000003E-2</v>
      </c>
      <c r="I63">
        <v>5439.2179999999998</v>
      </c>
      <c r="J63">
        <v>6282.1130000000003</v>
      </c>
    </row>
    <row r="64" spans="1:12">
      <c r="A64">
        <v>16</v>
      </c>
      <c r="B64">
        <v>3</v>
      </c>
      <c r="C64" t="s">
        <v>35</v>
      </c>
      <c r="D64">
        <v>-33.961228560646099</v>
      </c>
      <c r="E64">
        <v>18.8507263721195</v>
      </c>
      <c r="F64">
        <v>4.3799999999999999E-2</v>
      </c>
      <c r="G64">
        <v>0.1096</v>
      </c>
      <c r="H64">
        <v>6.5750000000000003E-2</v>
      </c>
      <c r="I64">
        <v>4755.95</v>
      </c>
      <c r="J64">
        <v>5598.8450000000003</v>
      </c>
    </row>
    <row r="65" spans="1:10">
      <c r="A65">
        <v>17</v>
      </c>
      <c r="B65">
        <v>3</v>
      </c>
      <c r="C65" t="s">
        <v>35</v>
      </c>
      <c r="D65">
        <v>-33.9673120976368</v>
      </c>
      <c r="E65">
        <v>18.855787448246399</v>
      </c>
      <c r="F65">
        <v>4.3799999999999999E-2</v>
      </c>
      <c r="G65">
        <v>0.1096</v>
      </c>
      <c r="H65">
        <v>6.5750000000000003E-2</v>
      </c>
      <c r="I65">
        <v>6086.0739999999996</v>
      </c>
      <c r="J65">
        <v>6928.9690000000001</v>
      </c>
    </row>
    <row r="66" spans="1:10">
      <c r="A66">
        <v>18</v>
      </c>
      <c r="B66">
        <v>3</v>
      </c>
      <c r="C66" t="s">
        <v>35</v>
      </c>
      <c r="D66">
        <v>-33.967536581430203</v>
      </c>
      <c r="E66">
        <v>18.850217435542099</v>
      </c>
      <c r="F66">
        <v>4.3799999999999999E-2</v>
      </c>
      <c r="G66">
        <v>0.1096</v>
      </c>
      <c r="H66">
        <v>6.5750000000000003E-2</v>
      </c>
      <c r="I66">
        <v>6335.674</v>
      </c>
      <c r="J66">
        <v>7178.5690000000004</v>
      </c>
    </row>
    <row r="67" spans="1:10">
      <c r="A67">
        <v>19</v>
      </c>
      <c r="B67">
        <v>3</v>
      </c>
      <c r="C67" t="s">
        <v>35</v>
      </c>
      <c r="D67">
        <v>-33.963076537023397</v>
      </c>
      <c r="E67">
        <v>18.858171916116699</v>
      </c>
      <c r="F67">
        <v>4.3799999999999999E-2</v>
      </c>
      <c r="G67">
        <v>0.1096</v>
      </c>
      <c r="H67">
        <v>6.5750000000000003E-2</v>
      </c>
      <c r="I67">
        <v>5425.2830000000004</v>
      </c>
      <c r="J67">
        <v>6268.1779999999999</v>
      </c>
    </row>
    <row r="68" spans="1:10">
      <c r="A68">
        <v>20</v>
      </c>
      <c r="B68">
        <v>3</v>
      </c>
      <c r="C68" t="s">
        <v>35</v>
      </c>
      <c r="D68">
        <v>-33.965696415344603</v>
      </c>
      <c r="E68">
        <v>18.858446795852402</v>
      </c>
      <c r="F68">
        <v>4.3799999999999999E-2</v>
      </c>
      <c r="G68">
        <v>0.1096</v>
      </c>
      <c r="H68">
        <v>6.5750000000000003E-2</v>
      </c>
      <c r="I68">
        <v>6002.1239999999998</v>
      </c>
      <c r="J68">
        <v>6845.0190000000002</v>
      </c>
    </row>
    <row r="69" spans="1:10">
      <c r="A69">
        <v>21</v>
      </c>
      <c r="B69">
        <v>3</v>
      </c>
      <c r="C69" t="s">
        <v>35</v>
      </c>
      <c r="D69">
        <v>-33.964993211046497</v>
      </c>
      <c r="E69">
        <v>18.852240384342899</v>
      </c>
      <c r="F69">
        <v>4.3799999999999999E-2</v>
      </c>
      <c r="G69">
        <v>0.1096</v>
      </c>
      <c r="H69">
        <v>6.5750000000000003E-2</v>
      </c>
      <c r="I69">
        <v>6210.2709999999997</v>
      </c>
      <c r="J69">
        <v>7053.1660000000002</v>
      </c>
    </row>
    <row r="70" spans="1:10">
      <c r="A70">
        <v>22</v>
      </c>
      <c r="B70">
        <v>3</v>
      </c>
      <c r="C70" t="s">
        <v>35</v>
      </c>
      <c r="D70">
        <v>-33.967782897334303</v>
      </c>
      <c r="E70">
        <v>18.854152173077601</v>
      </c>
      <c r="F70">
        <v>4.3799999999999999E-2</v>
      </c>
      <c r="G70">
        <v>0.1096</v>
      </c>
      <c r="H70">
        <v>6.5750000000000003E-2</v>
      </c>
      <c r="I70">
        <v>5616.942</v>
      </c>
      <c r="J70">
        <v>6459.8360000000002</v>
      </c>
    </row>
    <row r="71" spans="1:10">
      <c r="A71">
        <v>23</v>
      </c>
      <c r="B71">
        <v>3</v>
      </c>
      <c r="C71" t="s">
        <v>35</v>
      </c>
      <c r="D71">
        <v>-33.9676250969367</v>
      </c>
      <c r="E71">
        <v>18.857291742926702</v>
      </c>
      <c r="F71">
        <v>4.3799999999999999E-2</v>
      </c>
      <c r="G71">
        <v>0.1096</v>
      </c>
      <c r="H71">
        <v>6.5750000000000003E-2</v>
      </c>
      <c r="I71">
        <v>6036.7849999999999</v>
      </c>
      <c r="J71">
        <v>6879.68</v>
      </c>
    </row>
    <row r="72" spans="1:10">
      <c r="A72">
        <v>24</v>
      </c>
      <c r="B72">
        <v>3</v>
      </c>
      <c r="C72" t="s">
        <v>35</v>
      </c>
      <c r="D72">
        <v>-33.967630024860803</v>
      </c>
      <c r="E72">
        <v>18.8554713044017</v>
      </c>
      <c r="F72">
        <v>4.3799999999999999E-2</v>
      </c>
      <c r="G72">
        <v>0.1096</v>
      </c>
      <c r="H72">
        <v>6.5750000000000003E-2</v>
      </c>
      <c r="I72">
        <v>6131.7060000000001</v>
      </c>
      <c r="J72">
        <v>6974.6009999999997</v>
      </c>
    </row>
    <row r="73" spans="1:10">
      <c r="A73">
        <v>25</v>
      </c>
      <c r="B73">
        <v>3</v>
      </c>
      <c r="C73" t="s">
        <v>35</v>
      </c>
      <c r="D73">
        <v>-33.960528838003</v>
      </c>
      <c r="E73">
        <v>18.8519859566346</v>
      </c>
      <c r="F73">
        <v>4.3799999999999999E-2</v>
      </c>
      <c r="G73">
        <v>0.1096</v>
      </c>
      <c r="H73">
        <v>6.5750000000000003E-2</v>
      </c>
      <c r="I73">
        <v>4630.7690000000002</v>
      </c>
      <c r="J73">
        <v>5473.6639999999998</v>
      </c>
    </row>
    <row r="74" spans="1:10">
      <c r="A74">
        <v>26</v>
      </c>
      <c r="B74">
        <v>3</v>
      </c>
      <c r="C74" t="s">
        <v>35</v>
      </c>
      <c r="D74">
        <v>-33.965313144210903</v>
      </c>
      <c r="E74">
        <v>18.855686828569802</v>
      </c>
      <c r="F74">
        <v>4.3799999999999999E-2</v>
      </c>
      <c r="G74">
        <v>0.1096</v>
      </c>
      <c r="H74">
        <v>6.5750000000000003E-2</v>
      </c>
      <c r="I74">
        <v>5748.36</v>
      </c>
      <c r="J74">
        <v>6591.2550000000001</v>
      </c>
    </row>
    <row r="75" spans="1:10">
      <c r="A75">
        <v>27</v>
      </c>
      <c r="B75">
        <v>3</v>
      </c>
      <c r="C75" t="s">
        <v>35</v>
      </c>
      <c r="D75">
        <v>-33.964361528578003</v>
      </c>
      <c r="E75">
        <v>18.853243841539701</v>
      </c>
      <c r="F75">
        <v>4.3799999999999999E-2</v>
      </c>
      <c r="G75">
        <v>0.1096</v>
      </c>
      <c r="H75">
        <v>6.5750000000000003E-2</v>
      </c>
      <c r="I75">
        <v>5865.5060000000003</v>
      </c>
      <c r="J75">
        <v>6708.4009999999998</v>
      </c>
    </row>
    <row r="76" spans="1:10">
      <c r="A76">
        <v>28</v>
      </c>
      <c r="B76">
        <v>3</v>
      </c>
      <c r="C76" t="s">
        <v>35</v>
      </c>
      <c r="D76">
        <v>-33.962470565501903</v>
      </c>
      <c r="E76">
        <v>18.856796911406001</v>
      </c>
      <c r="F76">
        <v>4.3799999999999999E-2</v>
      </c>
      <c r="G76">
        <v>0.1096</v>
      </c>
      <c r="H76">
        <v>6.5750000000000003E-2</v>
      </c>
      <c r="I76">
        <v>5072.28</v>
      </c>
      <c r="J76">
        <v>5915.1750000000002</v>
      </c>
    </row>
    <row r="77" spans="1:10">
      <c r="A77">
        <v>29</v>
      </c>
      <c r="B77">
        <v>3</v>
      </c>
      <c r="C77" t="s">
        <v>35</v>
      </c>
      <c r="D77">
        <v>-33.963194894352398</v>
      </c>
      <c r="E77">
        <v>18.856062990019399</v>
      </c>
      <c r="F77">
        <v>4.3799999999999999E-2</v>
      </c>
      <c r="G77">
        <v>0.1096</v>
      </c>
      <c r="H77">
        <v>6.5750000000000003E-2</v>
      </c>
      <c r="I77">
        <v>5235.4340000000002</v>
      </c>
      <c r="J77">
        <v>6078.3289999999997</v>
      </c>
    </row>
    <row r="78" spans="1:10">
      <c r="A78">
        <v>30</v>
      </c>
      <c r="B78">
        <v>3</v>
      </c>
      <c r="C78" t="s">
        <v>35</v>
      </c>
      <c r="D78">
        <v>-33.965575544579899</v>
      </c>
      <c r="E78">
        <v>18.858489419957301</v>
      </c>
      <c r="F78">
        <v>4.3799999999999999E-2</v>
      </c>
      <c r="G78">
        <v>0.1096</v>
      </c>
      <c r="H78">
        <v>6.5750000000000003E-2</v>
      </c>
      <c r="I78">
        <v>6014.22</v>
      </c>
      <c r="J78">
        <v>6857.1149999999998</v>
      </c>
    </row>
    <row r="79" spans="1:10">
      <c r="A79">
        <v>31</v>
      </c>
      <c r="B79">
        <v>3</v>
      </c>
      <c r="C79" t="s">
        <v>35</v>
      </c>
      <c r="D79">
        <v>-33.966497809032298</v>
      </c>
      <c r="E79">
        <v>18.857197651891301</v>
      </c>
      <c r="F79">
        <v>4.3799999999999999E-2</v>
      </c>
      <c r="G79">
        <v>0.1096</v>
      </c>
      <c r="H79">
        <v>6.5750000000000003E-2</v>
      </c>
      <c r="I79">
        <v>5894.7920000000004</v>
      </c>
      <c r="J79">
        <v>6737.6869999999999</v>
      </c>
    </row>
    <row r="80" spans="1:10">
      <c r="A80">
        <v>32</v>
      </c>
      <c r="B80">
        <v>3</v>
      </c>
      <c r="C80" t="s">
        <v>35</v>
      </c>
      <c r="D80">
        <v>-33.9649695678469</v>
      </c>
      <c r="E80">
        <v>18.8575254644247</v>
      </c>
      <c r="F80">
        <v>4.3799999999999999E-2</v>
      </c>
      <c r="G80">
        <v>0.1096</v>
      </c>
      <c r="H80">
        <v>6.5750000000000003E-2</v>
      </c>
      <c r="I80">
        <v>5906.82</v>
      </c>
      <c r="J80">
        <v>6749.7150000000001</v>
      </c>
    </row>
    <row r="81" spans="1:10">
      <c r="A81">
        <v>33</v>
      </c>
      <c r="B81">
        <v>3</v>
      </c>
      <c r="C81" t="s">
        <v>35</v>
      </c>
      <c r="D81">
        <v>-33.9617480822141</v>
      </c>
      <c r="E81">
        <v>18.849766385980701</v>
      </c>
      <c r="F81">
        <v>4.3799999999999999E-2</v>
      </c>
      <c r="G81">
        <v>0.1096</v>
      </c>
      <c r="H81">
        <v>6.5750000000000003E-2</v>
      </c>
      <c r="I81">
        <v>4856.7449999999999</v>
      </c>
      <c r="J81">
        <v>5699.64</v>
      </c>
    </row>
    <row r="82" spans="1:10">
      <c r="A82">
        <v>34</v>
      </c>
      <c r="B82">
        <v>3</v>
      </c>
      <c r="C82" t="s">
        <v>35</v>
      </c>
      <c r="D82">
        <v>-33.964567878401702</v>
      </c>
      <c r="E82">
        <v>18.853566114246401</v>
      </c>
      <c r="F82">
        <v>4.3799999999999999E-2</v>
      </c>
      <c r="G82">
        <v>0.1096</v>
      </c>
      <c r="H82">
        <v>6.5750000000000003E-2</v>
      </c>
      <c r="I82">
        <v>5849.0460000000003</v>
      </c>
      <c r="J82">
        <v>6691.9409999999998</v>
      </c>
    </row>
    <row r="83" spans="1:10">
      <c r="A83">
        <v>35</v>
      </c>
      <c r="B83">
        <v>3</v>
      </c>
      <c r="C83" t="s">
        <v>35</v>
      </c>
      <c r="D83">
        <v>-33.961734458847701</v>
      </c>
      <c r="E83">
        <v>18.852767295223298</v>
      </c>
      <c r="F83">
        <v>4.3799999999999999E-2</v>
      </c>
      <c r="G83">
        <v>0.1096</v>
      </c>
      <c r="H83">
        <v>6.5750000000000003E-2</v>
      </c>
      <c r="I83">
        <v>5030.5219999999999</v>
      </c>
      <c r="J83">
        <v>5873.4170000000004</v>
      </c>
    </row>
    <row r="84" spans="1:10">
      <c r="A84">
        <v>36</v>
      </c>
      <c r="B84">
        <v>3</v>
      </c>
      <c r="C84" t="s">
        <v>35</v>
      </c>
      <c r="D84">
        <v>-33.967048181969702</v>
      </c>
      <c r="E84">
        <v>18.849784104667901</v>
      </c>
      <c r="F84">
        <v>4.3799999999999999E-2</v>
      </c>
      <c r="G84">
        <v>0.1096</v>
      </c>
      <c r="H84">
        <v>6.5750000000000003E-2</v>
      </c>
      <c r="I84">
        <v>6354.3339999999998</v>
      </c>
      <c r="J84">
        <v>7197.2290000000003</v>
      </c>
    </row>
    <row r="85" spans="1:10">
      <c r="A85">
        <v>37</v>
      </c>
      <c r="B85">
        <v>3</v>
      </c>
      <c r="C85" t="s">
        <v>35</v>
      </c>
      <c r="D85">
        <v>-33.962109764243003</v>
      </c>
      <c r="E85">
        <v>18.8574366579935</v>
      </c>
      <c r="F85">
        <v>4.3799999999999999E-2</v>
      </c>
      <c r="G85">
        <v>0.1096</v>
      </c>
      <c r="H85">
        <v>6.5750000000000003E-2</v>
      </c>
      <c r="I85">
        <v>5209.6549999999997</v>
      </c>
      <c r="J85">
        <v>6052.55</v>
      </c>
    </row>
    <row r="86" spans="1:10">
      <c r="A86">
        <v>38</v>
      </c>
      <c r="B86">
        <v>3</v>
      </c>
      <c r="C86" t="s">
        <v>35</v>
      </c>
      <c r="D86">
        <v>-33.960033466814203</v>
      </c>
      <c r="E86">
        <v>18.859678344518699</v>
      </c>
      <c r="F86">
        <v>4.3799999999999999E-2</v>
      </c>
      <c r="G86">
        <v>0.1096</v>
      </c>
      <c r="H86">
        <v>6.5750000000000003E-2</v>
      </c>
      <c r="I86">
        <v>5811.1970000000001</v>
      </c>
      <c r="J86">
        <v>6654.0910000000003</v>
      </c>
    </row>
    <row r="87" spans="1:10">
      <c r="A87">
        <v>39</v>
      </c>
      <c r="B87">
        <v>3</v>
      </c>
      <c r="C87" t="s">
        <v>35</v>
      </c>
      <c r="D87">
        <v>-33.967056135804697</v>
      </c>
      <c r="E87">
        <v>18.8518627662414</v>
      </c>
      <c r="F87">
        <v>4.3799999999999999E-2</v>
      </c>
      <c r="G87">
        <v>0.1096</v>
      </c>
      <c r="H87">
        <v>6.5750000000000003E-2</v>
      </c>
      <c r="I87">
        <v>6185.6149999999998</v>
      </c>
      <c r="J87">
        <v>7028.51</v>
      </c>
    </row>
    <row r="88" spans="1:10">
      <c r="A88">
        <v>40</v>
      </c>
      <c r="B88">
        <v>3</v>
      </c>
      <c r="C88" t="s">
        <v>35</v>
      </c>
      <c r="D88">
        <v>-33.9634798802986</v>
      </c>
      <c r="E88">
        <v>18.852025038397301</v>
      </c>
      <c r="F88">
        <v>4.3799999999999999E-2</v>
      </c>
      <c r="G88">
        <v>0.1096</v>
      </c>
      <c r="H88">
        <v>6.5750000000000003E-2</v>
      </c>
      <c r="I88">
        <v>5114.3919999999998</v>
      </c>
      <c r="J88">
        <v>5957.2860000000001</v>
      </c>
    </row>
    <row r="89" spans="1:10">
      <c r="A89">
        <v>41</v>
      </c>
      <c r="B89">
        <v>3</v>
      </c>
      <c r="C89" t="s">
        <v>35</v>
      </c>
      <c r="D89">
        <v>-33.961623275888201</v>
      </c>
      <c r="E89">
        <v>18.851942784120101</v>
      </c>
      <c r="F89">
        <v>4.3799999999999999E-2</v>
      </c>
      <c r="G89">
        <v>0.1096</v>
      </c>
      <c r="H89">
        <v>6.5750000000000003E-2</v>
      </c>
      <c r="I89">
        <v>5173.8100000000004</v>
      </c>
      <c r="J89">
        <v>6016.7049999999999</v>
      </c>
    </row>
    <row r="90" spans="1:10">
      <c r="A90">
        <v>42</v>
      </c>
      <c r="B90">
        <v>3</v>
      </c>
      <c r="C90" t="s">
        <v>35</v>
      </c>
      <c r="D90">
        <v>-33.961180593723803</v>
      </c>
      <c r="E90">
        <v>18.855631236507399</v>
      </c>
      <c r="F90">
        <v>4.3799999999999999E-2</v>
      </c>
      <c r="G90">
        <v>0.1096</v>
      </c>
      <c r="H90">
        <v>6.5750000000000003E-2</v>
      </c>
      <c r="I90">
        <v>4894.1639999999998</v>
      </c>
      <c r="J90">
        <v>5737.0590000000002</v>
      </c>
    </row>
    <row r="91" spans="1:10">
      <c r="A91">
        <v>43</v>
      </c>
      <c r="B91">
        <v>3</v>
      </c>
      <c r="C91" t="s">
        <v>35</v>
      </c>
      <c r="D91">
        <v>-33.967600665022502</v>
      </c>
      <c r="E91">
        <v>18.8590784408206</v>
      </c>
      <c r="F91">
        <v>4.3799999999999999E-2</v>
      </c>
      <c r="G91">
        <v>0.1096</v>
      </c>
      <c r="H91">
        <v>6.5750000000000003E-2</v>
      </c>
      <c r="I91">
        <v>6102.9369999999999</v>
      </c>
      <c r="J91">
        <v>6945.8320000000003</v>
      </c>
    </row>
    <row r="92" spans="1:10">
      <c r="A92">
        <v>44</v>
      </c>
      <c r="B92">
        <v>3</v>
      </c>
      <c r="C92" t="s">
        <v>35</v>
      </c>
      <c r="D92">
        <v>-33.965596597924403</v>
      </c>
      <c r="E92">
        <v>18.853272621906299</v>
      </c>
      <c r="F92">
        <v>4.3799999999999999E-2</v>
      </c>
      <c r="G92">
        <v>0.1096</v>
      </c>
      <c r="H92">
        <v>6.5750000000000003E-2</v>
      </c>
      <c r="I92">
        <v>5361.4769999999999</v>
      </c>
      <c r="J92">
        <v>6204.3720000000003</v>
      </c>
    </row>
    <row r="93" spans="1:10">
      <c r="A93">
        <v>45</v>
      </c>
      <c r="B93">
        <v>3</v>
      </c>
      <c r="C93" t="s">
        <v>35</v>
      </c>
      <c r="D93">
        <v>-33.964884674083599</v>
      </c>
      <c r="E93">
        <v>18.852178367704301</v>
      </c>
      <c r="F93">
        <v>4.3799999999999999E-2</v>
      </c>
      <c r="G93">
        <v>0.1096</v>
      </c>
      <c r="H93">
        <v>6.5750000000000003E-2</v>
      </c>
      <c r="I93">
        <v>6218.1880000000001</v>
      </c>
      <c r="J93">
        <v>7061.0829999999996</v>
      </c>
    </row>
    <row r="94" spans="1:10">
      <c r="A94">
        <v>46</v>
      </c>
      <c r="B94">
        <v>3</v>
      </c>
      <c r="C94" t="s">
        <v>35</v>
      </c>
      <c r="D94">
        <v>-33.967525364439098</v>
      </c>
      <c r="E94">
        <v>18.8557053509311</v>
      </c>
      <c r="F94">
        <v>4.3799999999999999E-2</v>
      </c>
      <c r="G94">
        <v>0.1096</v>
      </c>
      <c r="H94">
        <v>6.5750000000000003E-2</v>
      </c>
      <c r="I94">
        <v>6109.9350000000004</v>
      </c>
      <c r="J94">
        <v>6952.83</v>
      </c>
    </row>
    <row r="95" spans="1:10">
      <c r="A95">
        <v>47</v>
      </c>
      <c r="B95">
        <v>3</v>
      </c>
      <c r="C95" t="s">
        <v>35</v>
      </c>
      <c r="D95">
        <v>-33.9622015078453</v>
      </c>
      <c r="E95">
        <v>18.8523068939854</v>
      </c>
      <c r="F95">
        <v>4.3799999999999999E-2</v>
      </c>
      <c r="G95">
        <v>0.1096</v>
      </c>
      <c r="H95">
        <v>6.5750000000000003E-2</v>
      </c>
      <c r="I95">
        <v>5132.7020000000002</v>
      </c>
      <c r="J95">
        <v>5975.5959999999995</v>
      </c>
    </row>
    <row r="96" spans="1:10">
      <c r="A96">
        <v>48</v>
      </c>
      <c r="B96">
        <v>3</v>
      </c>
      <c r="C96" t="s">
        <v>35</v>
      </c>
      <c r="D96">
        <v>-33.965218309919102</v>
      </c>
      <c r="E96">
        <v>18.8517977577111</v>
      </c>
      <c r="F96">
        <v>4.3799999999999999E-2</v>
      </c>
      <c r="G96">
        <v>0.1096</v>
      </c>
      <c r="H96">
        <v>6.5750000000000003E-2</v>
      </c>
      <c r="I96">
        <v>6243.4549999999999</v>
      </c>
      <c r="J96">
        <v>7086.35</v>
      </c>
    </row>
    <row r="97" spans="1:12">
      <c r="A97">
        <v>49</v>
      </c>
      <c r="B97">
        <v>3</v>
      </c>
      <c r="C97" t="s">
        <v>35</v>
      </c>
      <c r="D97">
        <v>-33.961346925436501</v>
      </c>
      <c r="E97">
        <v>18.854739113268501</v>
      </c>
      <c r="F97">
        <v>4.3799999999999999E-2</v>
      </c>
      <c r="G97">
        <v>0.1096</v>
      </c>
      <c r="H97">
        <v>6.5750000000000003E-2</v>
      </c>
      <c r="I97">
        <v>4905.13</v>
      </c>
      <c r="J97">
        <v>5748.0240000000003</v>
      </c>
    </row>
    <row r="98" spans="1:12">
      <c r="A98">
        <v>50</v>
      </c>
      <c r="B98">
        <v>3</v>
      </c>
      <c r="C98" t="s">
        <v>35</v>
      </c>
      <c r="D98">
        <v>-33.963058002284598</v>
      </c>
      <c r="E98">
        <v>18.8564477353959</v>
      </c>
      <c r="F98">
        <v>4.3799999999999999E-2</v>
      </c>
      <c r="G98">
        <v>0.1096</v>
      </c>
      <c r="H98">
        <v>6.5750000000000003E-2</v>
      </c>
      <c r="I98">
        <v>5199.0780000000004</v>
      </c>
      <c r="J98">
        <v>6041.973</v>
      </c>
    </row>
    <row r="99" spans="1:12">
      <c r="A99">
        <v>51</v>
      </c>
      <c r="B99">
        <v>3</v>
      </c>
      <c r="C99" t="s">
        <v>35</v>
      </c>
      <c r="D99">
        <v>-33.960203666939798</v>
      </c>
      <c r="E99">
        <v>18.856498032062099</v>
      </c>
      <c r="F99">
        <v>4.3799999999999999E-2</v>
      </c>
      <c r="G99">
        <v>0.1096</v>
      </c>
      <c r="H99">
        <v>6.5750000000000003E-2</v>
      </c>
      <c r="I99">
        <v>5136.6130000000003</v>
      </c>
      <c r="J99">
        <v>5979.5069999999996</v>
      </c>
    </row>
    <row r="100" spans="1:12">
      <c r="A100">
        <v>52</v>
      </c>
      <c r="B100">
        <v>3</v>
      </c>
      <c r="C100" t="s">
        <v>35</v>
      </c>
      <c r="D100">
        <v>-33.962206046228196</v>
      </c>
      <c r="E100">
        <v>18.8497636053925</v>
      </c>
      <c r="F100">
        <v>4.3799999999999999E-2</v>
      </c>
      <c r="G100">
        <v>0.1096</v>
      </c>
      <c r="H100">
        <v>6.5750000000000003E-2</v>
      </c>
      <c r="I100">
        <v>4899.7529999999997</v>
      </c>
      <c r="J100">
        <v>5742.6480000000001</v>
      </c>
    </row>
    <row r="101" spans="1:12">
      <c r="A101">
        <v>53</v>
      </c>
      <c r="B101">
        <v>3</v>
      </c>
      <c r="C101" t="s">
        <v>35</v>
      </c>
      <c r="D101">
        <v>-33.961297529971802</v>
      </c>
      <c r="E101">
        <v>18.851053614481899</v>
      </c>
      <c r="F101">
        <v>4.3799999999999999E-2</v>
      </c>
      <c r="G101">
        <v>0.1096</v>
      </c>
      <c r="H101">
        <v>6.5750000000000003E-2</v>
      </c>
      <c r="I101">
        <v>4747.6360000000004</v>
      </c>
      <c r="J101">
        <v>5590.5309999999999</v>
      </c>
    </row>
    <row r="102" spans="1:12">
      <c r="A102">
        <v>54</v>
      </c>
      <c r="B102">
        <v>3</v>
      </c>
      <c r="C102" t="s">
        <v>35</v>
      </c>
      <c r="D102">
        <v>-33.963532582758098</v>
      </c>
      <c r="E102">
        <v>18.854814290832099</v>
      </c>
      <c r="F102">
        <v>4.3799999999999999E-2</v>
      </c>
      <c r="G102">
        <v>0.1096</v>
      </c>
      <c r="H102">
        <v>6.5750000000000003E-2</v>
      </c>
      <c r="I102">
        <v>5737.0649999999996</v>
      </c>
      <c r="J102">
        <v>6579.96</v>
      </c>
    </row>
    <row r="103" spans="1:12">
      <c r="A103">
        <v>55</v>
      </c>
      <c r="B103">
        <v>3</v>
      </c>
      <c r="C103" t="s">
        <v>35</v>
      </c>
      <c r="D103">
        <v>-33.967353029796598</v>
      </c>
      <c r="E103">
        <v>18.859291535412201</v>
      </c>
      <c r="F103">
        <v>4.3799999999999999E-2</v>
      </c>
      <c r="G103">
        <v>0.1096</v>
      </c>
      <c r="H103">
        <v>6.5750000000000003E-2</v>
      </c>
      <c r="I103">
        <v>6120.8779999999997</v>
      </c>
      <c r="J103">
        <v>6963.7719999999999</v>
      </c>
    </row>
    <row r="104" spans="1:12">
      <c r="A104">
        <v>56</v>
      </c>
      <c r="B104">
        <v>3</v>
      </c>
      <c r="C104" t="s">
        <v>35</v>
      </c>
      <c r="D104">
        <v>-33.967438345075998</v>
      </c>
      <c r="E104">
        <v>18.849994601966401</v>
      </c>
      <c r="F104">
        <v>4.3799999999999999E-2</v>
      </c>
      <c r="G104">
        <v>0.1096</v>
      </c>
      <c r="H104">
        <v>6.5750000000000003E-2</v>
      </c>
      <c r="I104">
        <v>6351.1639999999998</v>
      </c>
      <c r="J104">
        <v>7194.0590000000002</v>
      </c>
    </row>
    <row r="105" spans="1:12">
      <c r="A105">
        <v>57</v>
      </c>
      <c r="B105">
        <v>3</v>
      </c>
      <c r="C105" t="s">
        <v>35</v>
      </c>
      <c r="D105">
        <v>-33.960009583122797</v>
      </c>
      <c r="E105">
        <v>18.853047453205999</v>
      </c>
      <c r="F105">
        <v>4.3799999999999999E-2</v>
      </c>
      <c r="G105">
        <v>0.1096</v>
      </c>
      <c r="H105">
        <v>6.5750000000000003E-2</v>
      </c>
      <c r="I105">
        <v>5380.1509999999998</v>
      </c>
      <c r="J105">
        <v>6223.0460000000003</v>
      </c>
    </row>
    <row r="106" spans="1:12">
      <c r="A106">
        <v>58</v>
      </c>
      <c r="B106">
        <v>3</v>
      </c>
      <c r="C106" t="s">
        <v>35</v>
      </c>
      <c r="D106">
        <v>-33.961480203914803</v>
      </c>
      <c r="E106">
        <v>18.850487449792499</v>
      </c>
      <c r="F106">
        <v>4.3799999999999999E-2</v>
      </c>
      <c r="G106">
        <v>0.1096</v>
      </c>
      <c r="H106">
        <v>6.5750000000000003E-2</v>
      </c>
      <c r="I106">
        <v>4791.1760000000004</v>
      </c>
      <c r="J106">
        <v>5634.0709999999999</v>
      </c>
    </row>
    <row r="107" spans="1:12">
      <c r="A107">
        <v>0</v>
      </c>
      <c r="B107">
        <v>4</v>
      </c>
      <c r="C107" t="s">
        <v>21</v>
      </c>
      <c r="D107">
        <v>-33.979079508923299</v>
      </c>
      <c r="E107">
        <v>18.847848044943099</v>
      </c>
      <c r="F107">
        <v>4.3799999999999999E-2</v>
      </c>
      <c r="G107">
        <v>0.1096</v>
      </c>
      <c r="H107">
        <v>6.5750000000000003E-2</v>
      </c>
      <c r="I107">
        <v>7355.0569999999998</v>
      </c>
      <c r="J107">
        <v>8197.9519999999993</v>
      </c>
    </row>
    <row r="108" spans="1:12">
      <c r="A108">
        <v>1</v>
      </c>
      <c r="B108">
        <v>4</v>
      </c>
      <c r="C108" t="s">
        <v>21</v>
      </c>
      <c r="D108">
        <v>-33.977905067282201</v>
      </c>
      <c r="E108">
        <v>18.842412185305701</v>
      </c>
      <c r="F108">
        <v>4.3799999999999999E-2</v>
      </c>
      <c r="G108">
        <v>0.1096</v>
      </c>
      <c r="H108">
        <v>6.5750000000000003E-2</v>
      </c>
      <c r="I108">
        <v>7315.1480000000001</v>
      </c>
      <c r="J108">
        <v>8158.0429999999997</v>
      </c>
      <c r="L108">
        <f ca="1">RANDBETWEEN(0,59)</f>
        <v>28</v>
      </c>
    </row>
    <row r="109" spans="1:12">
      <c r="A109">
        <v>2</v>
      </c>
      <c r="B109">
        <v>4</v>
      </c>
      <c r="C109" t="s">
        <v>21</v>
      </c>
      <c r="D109">
        <v>-33.981597569211601</v>
      </c>
      <c r="E109">
        <v>18.847785238060599</v>
      </c>
      <c r="F109">
        <v>4.3799999999999999E-2</v>
      </c>
      <c r="G109">
        <v>0.1096</v>
      </c>
      <c r="H109">
        <v>6.5750000000000003E-2</v>
      </c>
      <c r="I109">
        <v>7751.52</v>
      </c>
      <c r="J109">
        <v>8594.4150000000009</v>
      </c>
    </row>
    <row r="110" spans="1:12">
      <c r="A110">
        <v>3</v>
      </c>
      <c r="B110">
        <v>4</v>
      </c>
      <c r="C110" t="s">
        <v>21</v>
      </c>
      <c r="D110">
        <v>-33.979802632644997</v>
      </c>
      <c r="E110">
        <v>18.842909097698801</v>
      </c>
      <c r="F110">
        <v>4.3799999999999999E-2</v>
      </c>
      <c r="G110">
        <v>0.1096</v>
      </c>
      <c r="H110">
        <v>6.5750000000000003E-2</v>
      </c>
      <c r="I110">
        <v>7518.8459999999995</v>
      </c>
      <c r="J110">
        <v>8361.741</v>
      </c>
    </row>
    <row r="111" spans="1:12">
      <c r="A111">
        <v>4</v>
      </c>
      <c r="B111">
        <v>4</v>
      </c>
      <c r="C111" t="s">
        <v>21</v>
      </c>
      <c r="D111">
        <v>-33.975694876631202</v>
      </c>
      <c r="E111">
        <v>18.8402009660504</v>
      </c>
      <c r="F111">
        <v>4.3799999999999999E-2</v>
      </c>
      <c r="G111">
        <v>0.1096</v>
      </c>
      <c r="H111">
        <v>6.5750000000000003E-2</v>
      </c>
      <c r="I111">
        <v>6714.7479999999996</v>
      </c>
      <c r="J111">
        <v>7557.6419999999998</v>
      </c>
    </row>
    <row r="112" spans="1:12">
      <c r="A112">
        <v>5</v>
      </c>
      <c r="B112">
        <v>4</v>
      </c>
      <c r="C112" t="s">
        <v>21</v>
      </c>
      <c r="D112">
        <v>-33.982080294661202</v>
      </c>
      <c r="E112">
        <v>18.849478313134298</v>
      </c>
      <c r="F112">
        <v>4.3799999999999999E-2</v>
      </c>
      <c r="G112">
        <v>0.1096</v>
      </c>
      <c r="H112">
        <v>6.5750000000000003E-2</v>
      </c>
      <c r="I112">
        <v>8181.4470000000001</v>
      </c>
      <c r="J112">
        <v>9024.3420000000006</v>
      </c>
    </row>
    <row r="113" spans="1:10">
      <c r="A113">
        <v>6</v>
      </c>
      <c r="B113">
        <v>4</v>
      </c>
      <c r="C113" t="s">
        <v>21</v>
      </c>
      <c r="D113">
        <v>-33.979967406343498</v>
      </c>
      <c r="E113">
        <v>18.846621361891</v>
      </c>
      <c r="F113">
        <v>4.3799999999999999E-2</v>
      </c>
      <c r="G113">
        <v>0.1096</v>
      </c>
      <c r="H113">
        <v>6.5750000000000003E-2</v>
      </c>
      <c r="I113">
        <v>7878.3810000000003</v>
      </c>
      <c r="J113">
        <v>8721.2759999999998</v>
      </c>
    </row>
    <row r="114" spans="1:10">
      <c r="A114">
        <v>7</v>
      </c>
      <c r="B114">
        <v>4</v>
      </c>
      <c r="C114" t="s">
        <v>21</v>
      </c>
      <c r="D114">
        <v>-33.9788937078808</v>
      </c>
      <c r="E114">
        <v>18.854712604187799</v>
      </c>
      <c r="F114">
        <v>4.3799999999999999E-2</v>
      </c>
      <c r="G114">
        <v>0.1096</v>
      </c>
      <c r="H114">
        <v>6.5750000000000003E-2</v>
      </c>
      <c r="I114">
        <v>7930.4669999999996</v>
      </c>
      <c r="J114">
        <v>8773.3610000000008</v>
      </c>
    </row>
    <row r="115" spans="1:10">
      <c r="A115">
        <v>8</v>
      </c>
      <c r="B115">
        <v>4</v>
      </c>
      <c r="C115" t="s">
        <v>21</v>
      </c>
      <c r="D115">
        <v>-33.978864483975897</v>
      </c>
      <c r="E115">
        <v>18.847045861911202</v>
      </c>
      <c r="F115">
        <v>4.3799999999999999E-2</v>
      </c>
      <c r="G115">
        <v>0.1096</v>
      </c>
      <c r="H115">
        <v>6.5750000000000003E-2</v>
      </c>
      <c r="I115">
        <v>7277.0950000000003</v>
      </c>
      <c r="J115">
        <v>8119.99</v>
      </c>
    </row>
    <row r="116" spans="1:10">
      <c r="A116">
        <v>9</v>
      </c>
      <c r="B116">
        <v>4</v>
      </c>
      <c r="C116" t="s">
        <v>21</v>
      </c>
      <c r="D116">
        <v>-33.977125962645701</v>
      </c>
      <c r="E116">
        <v>18.854160234837799</v>
      </c>
      <c r="F116">
        <v>4.3799999999999999E-2</v>
      </c>
      <c r="G116">
        <v>0.1096</v>
      </c>
      <c r="H116">
        <v>6.5750000000000003E-2</v>
      </c>
      <c r="I116">
        <v>6728.79</v>
      </c>
      <c r="J116">
        <v>7571.6840000000002</v>
      </c>
    </row>
    <row r="117" spans="1:10">
      <c r="A117">
        <v>10</v>
      </c>
      <c r="B117">
        <v>4</v>
      </c>
      <c r="C117" t="s">
        <v>21</v>
      </c>
      <c r="D117">
        <v>-33.978522085729601</v>
      </c>
      <c r="E117">
        <v>18.8480129053798</v>
      </c>
      <c r="F117">
        <v>4.3799999999999999E-2</v>
      </c>
      <c r="G117">
        <v>0.1096</v>
      </c>
      <c r="H117">
        <v>6.5750000000000003E-2</v>
      </c>
      <c r="I117">
        <v>7241.973</v>
      </c>
      <c r="J117">
        <v>8084.8680000000004</v>
      </c>
    </row>
    <row r="118" spans="1:10">
      <c r="A118">
        <v>11</v>
      </c>
      <c r="B118">
        <v>4</v>
      </c>
      <c r="C118" t="s">
        <v>21</v>
      </c>
      <c r="D118">
        <v>-33.977277837086703</v>
      </c>
      <c r="E118">
        <v>18.8427132246516</v>
      </c>
      <c r="F118">
        <v>4.3799999999999999E-2</v>
      </c>
      <c r="G118">
        <v>0.1096</v>
      </c>
      <c r="H118">
        <v>6.5750000000000003E-2</v>
      </c>
      <c r="I118">
        <v>7077.5950000000003</v>
      </c>
      <c r="J118">
        <v>7920.49</v>
      </c>
    </row>
    <row r="119" spans="1:10">
      <c r="A119">
        <v>12</v>
      </c>
      <c r="B119">
        <v>4</v>
      </c>
      <c r="C119" t="s">
        <v>21</v>
      </c>
      <c r="D119">
        <v>-33.9812081143752</v>
      </c>
      <c r="E119">
        <v>18.854472756710098</v>
      </c>
      <c r="F119">
        <v>4.3799999999999999E-2</v>
      </c>
      <c r="G119">
        <v>0.1096</v>
      </c>
      <c r="H119">
        <v>6.5750000000000003E-2</v>
      </c>
      <c r="I119">
        <v>8014.0829999999996</v>
      </c>
      <c r="J119">
        <v>8856.9779999999992</v>
      </c>
    </row>
    <row r="120" spans="1:10">
      <c r="A120">
        <v>13</v>
      </c>
      <c r="B120">
        <v>4</v>
      </c>
      <c r="C120" t="s">
        <v>21</v>
      </c>
      <c r="D120">
        <v>-33.981721545550897</v>
      </c>
      <c r="E120">
        <v>18.8492520361754</v>
      </c>
      <c r="F120">
        <v>4.3799999999999999E-2</v>
      </c>
      <c r="G120">
        <v>0.1096</v>
      </c>
      <c r="H120">
        <v>6.5750000000000003E-2</v>
      </c>
      <c r="I120">
        <v>7845.4970000000003</v>
      </c>
      <c r="J120">
        <v>8688.3919999999998</v>
      </c>
    </row>
    <row r="121" spans="1:10">
      <c r="A121">
        <v>14</v>
      </c>
      <c r="B121">
        <v>4</v>
      </c>
      <c r="C121" t="s">
        <v>21</v>
      </c>
      <c r="D121">
        <v>-33.981349446597697</v>
      </c>
      <c r="E121">
        <v>18.8529206771458</v>
      </c>
      <c r="F121">
        <v>4.3799999999999999E-2</v>
      </c>
      <c r="G121">
        <v>0.1096</v>
      </c>
      <c r="H121">
        <v>6.5750000000000003E-2</v>
      </c>
      <c r="I121">
        <v>7943.1959999999999</v>
      </c>
      <c r="J121">
        <v>8786.0910000000003</v>
      </c>
    </row>
    <row r="122" spans="1:10">
      <c r="A122">
        <v>15</v>
      </c>
      <c r="B122">
        <v>4</v>
      </c>
      <c r="C122" t="s">
        <v>21</v>
      </c>
      <c r="D122">
        <v>-33.978849284710002</v>
      </c>
      <c r="E122">
        <v>18.854533164898001</v>
      </c>
      <c r="F122">
        <v>4.3799999999999999E-2</v>
      </c>
      <c r="G122">
        <v>0.1096</v>
      </c>
      <c r="H122">
        <v>6.5750000000000003E-2</v>
      </c>
      <c r="I122">
        <v>7828.1310000000003</v>
      </c>
      <c r="J122">
        <v>8671.0249999999996</v>
      </c>
    </row>
    <row r="123" spans="1:10">
      <c r="A123">
        <v>16</v>
      </c>
      <c r="B123">
        <v>4</v>
      </c>
      <c r="C123" t="s">
        <v>21</v>
      </c>
      <c r="D123">
        <v>-33.976241550580703</v>
      </c>
      <c r="E123">
        <v>18.8414901775777</v>
      </c>
      <c r="F123">
        <v>4.3799999999999999E-2</v>
      </c>
      <c r="G123">
        <v>0.1096</v>
      </c>
      <c r="H123">
        <v>6.5750000000000003E-2</v>
      </c>
      <c r="I123">
        <v>7597.3019999999997</v>
      </c>
      <c r="J123">
        <v>8440.1959999999999</v>
      </c>
    </row>
    <row r="124" spans="1:10">
      <c r="A124">
        <v>17</v>
      </c>
      <c r="B124">
        <v>4</v>
      </c>
      <c r="C124" t="s">
        <v>21</v>
      </c>
      <c r="D124">
        <v>-33.982246870667197</v>
      </c>
      <c r="E124">
        <v>18.8489446058122</v>
      </c>
      <c r="F124">
        <v>4.3799999999999999E-2</v>
      </c>
      <c r="G124">
        <v>0.1096</v>
      </c>
      <c r="H124">
        <v>6.5750000000000003E-2</v>
      </c>
      <c r="I124">
        <v>8035.6229999999996</v>
      </c>
      <c r="J124">
        <v>8878.518</v>
      </c>
    </row>
    <row r="125" spans="1:10">
      <c r="A125">
        <v>18</v>
      </c>
      <c r="B125">
        <v>4</v>
      </c>
      <c r="C125" t="s">
        <v>21</v>
      </c>
      <c r="D125">
        <v>-33.982468468240299</v>
      </c>
      <c r="E125">
        <v>18.8407405679893</v>
      </c>
      <c r="F125">
        <v>4.3799999999999999E-2</v>
      </c>
      <c r="G125">
        <v>0.1096</v>
      </c>
      <c r="H125">
        <v>6.5750000000000003E-2</v>
      </c>
      <c r="I125">
        <v>7603.8389999999999</v>
      </c>
      <c r="J125">
        <v>8446.7340000000004</v>
      </c>
    </row>
    <row r="126" spans="1:10">
      <c r="A126">
        <v>19</v>
      </c>
      <c r="B126">
        <v>4</v>
      </c>
      <c r="C126" t="s">
        <v>21</v>
      </c>
      <c r="D126">
        <v>-33.978065767261697</v>
      </c>
      <c r="E126">
        <v>18.852456674030702</v>
      </c>
      <c r="F126">
        <v>4.3799999999999999E-2</v>
      </c>
      <c r="G126">
        <v>0.1096</v>
      </c>
      <c r="H126">
        <v>6.5750000000000003E-2</v>
      </c>
      <c r="I126">
        <v>7756.8459999999995</v>
      </c>
      <c r="J126">
        <v>8599.741</v>
      </c>
    </row>
    <row r="127" spans="1:10">
      <c r="A127">
        <v>20</v>
      </c>
      <c r="B127">
        <v>4</v>
      </c>
      <c r="C127" t="s">
        <v>21</v>
      </c>
      <c r="D127">
        <v>-33.980651961432997</v>
      </c>
      <c r="E127">
        <v>18.852861542721101</v>
      </c>
      <c r="F127">
        <v>4.3799999999999999E-2</v>
      </c>
      <c r="G127">
        <v>0.1096</v>
      </c>
      <c r="H127">
        <v>6.5750000000000003E-2</v>
      </c>
      <c r="I127">
        <v>7833.9750000000004</v>
      </c>
      <c r="J127">
        <v>8676.8690000000006</v>
      </c>
    </row>
    <row r="128" spans="1:10">
      <c r="A128">
        <v>21</v>
      </c>
      <c r="B128">
        <v>4</v>
      </c>
      <c r="C128" t="s">
        <v>21</v>
      </c>
      <c r="D128">
        <v>-33.979957798333103</v>
      </c>
      <c r="E128">
        <v>18.843720156970001</v>
      </c>
      <c r="F128">
        <v>4.3799999999999999E-2</v>
      </c>
      <c r="G128">
        <v>0.1096</v>
      </c>
      <c r="H128">
        <v>6.5750000000000003E-2</v>
      </c>
      <c r="I128">
        <v>7609.0169999999998</v>
      </c>
      <c r="J128">
        <v>8451.9110000000001</v>
      </c>
    </row>
    <row r="129" spans="1:10">
      <c r="A129">
        <v>22</v>
      </c>
      <c r="B129">
        <v>4</v>
      </c>
      <c r="C129" t="s">
        <v>21</v>
      </c>
      <c r="D129">
        <v>-33.982711617225704</v>
      </c>
      <c r="E129">
        <v>18.846536018965502</v>
      </c>
      <c r="F129">
        <v>4.3799999999999999E-2</v>
      </c>
      <c r="G129">
        <v>0.1096</v>
      </c>
      <c r="H129">
        <v>6.5750000000000003E-2</v>
      </c>
      <c r="I129">
        <v>7959.223</v>
      </c>
      <c r="J129">
        <v>8802.1180000000004</v>
      </c>
    </row>
    <row r="130" spans="1:10">
      <c r="A130">
        <v>23</v>
      </c>
      <c r="B130">
        <v>4</v>
      </c>
      <c r="C130" t="s">
        <v>21</v>
      </c>
      <c r="D130">
        <v>-33.982555845690399</v>
      </c>
      <c r="E130">
        <v>18.851160272294301</v>
      </c>
      <c r="F130">
        <v>4.3799999999999999E-2</v>
      </c>
      <c r="G130">
        <v>0.1096</v>
      </c>
      <c r="H130">
        <v>6.5750000000000003E-2</v>
      </c>
      <c r="I130">
        <v>8013.6840000000002</v>
      </c>
      <c r="J130">
        <v>8856.5789999999997</v>
      </c>
    </row>
    <row r="131" spans="1:10">
      <c r="A131">
        <v>24</v>
      </c>
      <c r="B131">
        <v>4</v>
      </c>
      <c r="C131" t="s">
        <v>21</v>
      </c>
      <c r="D131">
        <v>-33.982560710255498</v>
      </c>
      <c r="E131">
        <v>18.848478959466799</v>
      </c>
      <c r="F131">
        <v>4.3799999999999999E-2</v>
      </c>
      <c r="G131">
        <v>0.1096</v>
      </c>
      <c r="H131">
        <v>6.5750000000000003E-2</v>
      </c>
      <c r="I131">
        <v>8075.45</v>
      </c>
      <c r="J131">
        <v>8918.3449999999993</v>
      </c>
    </row>
    <row r="132" spans="1:10">
      <c r="A132">
        <v>25</v>
      </c>
      <c r="B132">
        <v>4</v>
      </c>
      <c r="C132" t="s">
        <v>21</v>
      </c>
      <c r="D132">
        <v>-33.975550824371503</v>
      </c>
      <c r="E132">
        <v>18.843345411946402</v>
      </c>
      <c r="F132">
        <v>4.3799999999999999E-2</v>
      </c>
      <c r="G132">
        <v>0.1096</v>
      </c>
      <c r="H132">
        <v>6.5750000000000003E-2</v>
      </c>
      <c r="I132">
        <v>6818.8890000000001</v>
      </c>
      <c r="J132">
        <v>7661.7839999999997</v>
      </c>
    </row>
    <row r="133" spans="1:10">
      <c r="A133">
        <v>26</v>
      </c>
      <c r="B133">
        <v>4</v>
      </c>
      <c r="C133" t="s">
        <v>21</v>
      </c>
      <c r="D133">
        <v>-33.980273618071102</v>
      </c>
      <c r="E133">
        <v>18.8487964037027</v>
      </c>
      <c r="F133">
        <v>4.3799999999999999E-2</v>
      </c>
      <c r="G133">
        <v>0.1096</v>
      </c>
      <c r="H133">
        <v>6.5750000000000003E-2</v>
      </c>
      <c r="I133">
        <v>7629.0230000000001</v>
      </c>
      <c r="J133">
        <v>8471.9179999999997</v>
      </c>
    </row>
    <row r="134" spans="1:10">
      <c r="A134">
        <v>27</v>
      </c>
      <c r="B134">
        <v>4</v>
      </c>
      <c r="C134" t="s">
        <v>21</v>
      </c>
      <c r="D134">
        <v>-33.979334237496303</v>
      </c>
      <c r="E134">
        <v>18.845198142969899</v>
      </c>
      <c r="F134">
        <v>4.3799999999999999E-2</v>
      </c>
      <c r="G134">
        <v>0.1096</v>
      </c>
      <c r="H134">
        <v>6.5750000000000003E-2</v>
      </c>
      <c r="I134">
        <v>7334.0079999999998</v>
      </c>
      <c r="J134">
        <v>8176.9030000000002</v>
      </c>
    </row>
    <row r="135" spans="1:10">
      <c r="A135">
        <v>28</v>
      </c>
      <c r="B135">
        <v>4</v>
      </c>
      <c r="C135" t="s">
        <v>21</v>
      </c>
      <c r="D135">
        <v>-33.977467586802597</v>
      </c>
      <c r="E135">
        <v>18.8504314379582</v>
      </c>
      <c r="F135">
        <v>4.3799999999999999E-2</v>
      </c>
      <c r="G135">
        <v>0.1096</v>
      </c>
      <c r="H135">
        <v>6.5750000000000003E-2</v>
      </c>
      <c r="I135">
        <v>7561.9660000000003</v>
      </c>
      <c r="J135">
        <v>8404.8610000000008</v>
      </c>
    </row>
    <row r="136" spans="1:10">
      <c r="A136">
        <v>29</v>
      </c>
      <c r="B136">
        <v>4</v>
      </c>
      <c r="C136" t="s">
        <v>21</v>
      </c>
      <c r="D136">
        <v>-33.9781826028536</v>
      </c>
      <c r="E136">
        <v>18.849350449613201</v>
      </c>
      <c r="F136">
        <v>4.3799999999999999E-2</v>
      </c>
      <c r="G136">
        <v>0.1096</v>
      </c>
      <c r="H136">
        <v>6.5750000000000003E-2</v>
      </c>
      <c r="I136">
        <v>7359.3620000000001</v>
      </c>
      <c r="J136">
        <v>8202.2569999999996</v>
      </c>
    </row>
    <row r="137" spans="1:10">
      <c r="A137">
        <v>30</v>
      </c>
      <c r="B137">
        <v>4</v>
      </c>
      <c r="C137" t="s">
        <v>21</v>
      </c>
      <c r="D137">
        <v>-33.980532644721002</v>
      </c>
      <c r="E137">
        <v>18.8529243235058</v>
      </c>
      <c r="F137">
        <v>4.3799999999999999E-2</v>
      </c>
      <c r="G137">
        <v>0.1096</v>
      </c>
      <c r="H137">
        <v>6.5750000000000003E-2</v>
      </c>
      <c r="I137">
        <v>7833.7269999999999</v>
      </c>
      <c r="J137">
        <v>8676.6219999999994</v>
      </c>
    </row>
    <row r="138" spans="1:10">
      <c r="A138">
        <v>31</v>
      </c>
      <c r="B138">
        <v>4</v>
      </c>
      <c r="C138" t="s">
        <v>21</v>
      </c>
      <c r="D138">
        <v>-33.981443051487602</v>
      </c>
      <c r="E138">
        <v>18.8510216861809</v>
      </c>
      <c r="F138">
        <v>4.3799999999999999E-2</v>
      </c>
      <c r="G138">
        <v>0.1096</v>
      </c>
      <c r="H138">
        <v>6.5750000000000003E-2</v>
      </c>
      <c r="I138">
        <v>7824.0839999999998</v>
      </c>
      <c r="J138">
        <v>8666.9789999999994</v>
      </c>
    </row>
    <row r="139" spans="1:10">
      <c r="A139">
        <v>32</v>
      </c>
      <c r="B139">
        <v>4</v>
      </c>
      <c r="C139" t="s">
        <v>21</v>
      </c>
      <c r="D139">
        <v>-33.979934459117501</v>
      </c>
      <c r="E139">
        <v>18.851504519266701</v>
      </c>
      <c r="F139">
        <v>4.3799999999999999E-2</v>
      </c>
      <c r="G139">
        <v>0.1096</v>
      </c>
      <c r="H139">
        <v>6.5750000000000003E-2</v>
      </c>
      <c r="I139">
        <v>7679.607</v>
      </c>
      <c r="J139">
        <v>8522.5010000000002</v>
      </c>
    </row>
    <row r="140" spans="1:10">
      <c r="A140">
        <v>33</v>
      </c>
      <c r="B140">
        <v>4</v>
      </c>
      <c r="C140" t="s">
        <v>21</v>
      </c>
      <c r="D140">
        <v>-33.976754392585697</v>
      </c>
      <c r="E140">
        <v>18.8400762198347</v>
      </c>
      <c r="F140">
        <v>4.3799999999999999E-2</v>
      </c>
      <c r="G140">
        <v>0.1096</v>
      </c>
      <c r="H140">
        <v>6.5750000000000003E-2</v>
      </c>
      <c r="I140">
        <v>6788.43</v>
      </c>
      <c r="J140">
        <v>7631.3249999999998</v>
      </c>
    </row>
    <row r="141" spans="1:10">
      <c r="A141">
        <v>34</v>
      </c>
      <c r="B141">
        <v>4</v>
      </c>
      <c r="C141" t="s">
        <v>21</v>
      </c>
      <c r="D141">
        <v>-33.9795379342508</v>
      </c>
      <c r="E141">
        <v>18.8456728164787</v>
      </c>
      <c r="F141">
        <v>4.3799999999999999E-2</v>
      </c>
      <c r="G141">
        <v>0.1096</v>
      </c>
      <c r="H141">
        <v>6.5750000000000003E-2</v>
      </c>
      <c r="I141">
        <v>7328.9350000000004</v>
      </c>
      <c r="J141">
        <v>8171.83</v>
      </c>
    </row>
    <row r="142" spans="1:10">
      <c r="A142">
        <v>35</v>
      </c>
      <c r="B142">
        <v>4</v>
      </c>
      <c r="C142" t="s">
        <v>21</v>
      </c>
      <c r="D142">
        <v>-33.9767409443768</v>
      </c>
      <c r="E142">
        <v>18.844496240799899</v>
      </c>
      <c r="F142">
        <v>4.3799999999999999E-2</v>
      </c>
      <c r="G142">
        <v>0.1096</v>
      </c>
      <c r="H142">
        <v>6.5750000000000003E-2</v>
      </c>
      <c r="I142">
        <v>6886.549</v>
      </c>
      <c r="J142">
        <v>7729.4440000000004</v>
      </c>
    </row>
    <row r="143" spans="1:10">
      <c r="A143">
        <v>36</v>
      </c>
      <c r="B143">
        <v>4</v>
      </c>
      <c r="C143" t="s">
        <v>21</v>
      </c>
      <c r="D143">
        <v>-33.981986348201502</v>
      </c>
      <c r="E143">
        <v>18.840102317581302</v>
      </c>
      <c r="F143">
        <v>4.3799999999999999E-2</v>
      </c>
      <c r="G143">
        <v>0.1096</v>
      </c>
      <c r="H143">
        <v>6.5750000000000003E-2</v>
      </c>
      <c r="I143">
        <v>7552.6710000000003</v>
      </c>
      <c r="J143">
        <v>8395.5660000000007</v>
      </c>
    </row>
    <row r="144" spans="1:10">
      <c r="A144">
        <v>37</v>
      </c>
      <c r="B144">
        <v>4</v>
      </c>
      <c r="C144" t="s">
        <v>21</v>
      </c>
      <c r="D144">
        <v>-33.977111424417103</v>
      </c>
      <c r="E144">
        <v>18.8513737168145</v>
      </c>
      <c r="F144">
        <v>4.3799999999999999E-2</v>
      </c>
      <c r="G144">
        <v>0.1096</v>
      </c>
      <c r="H144">
        <v>6.5750000000000003E-2</v>
      </c>
      <c r="I144">
        <v>7643.549</v>
      </c>
      <c r="J144">
        <v>8486.4429999999993</v>
      </c>
    </row>
    <row r="145" spans="1:10">
      <c r="A145">
        <v>38</v>
      </c>
      <c r="B145">
        <v>4</v>
      </c>
      <c r="C145" t="s">
        <v>21</v>
      </c>
      <c r="D145">
        <v>-33.975061822240903</v>
      </c>
      <c r="E145">
        <v>18.8546754832585</v>
      </c>
      <c r="F145">
        <v>4.3799999999999999E-2</v>
      </c>
      <c r="G145">
        <v>0.1096</v>
      </c>
      <c r="H145">
        <v>6.5750000000000003E-2</v>
      </c>
      <c r="I145">
        <v>6557.116</v>
      </c>
      <c r="J145">
        <v>7400.0110000000004</v>
      </c>
    </row>
    <row r="146" spans="1:10">
      <c r="A146">
        <v>39</v>
      </c>
      <c r="B146">
        <v>4</v>
      </c>
      <c r="C146" t="s">
        <v>21</v>
      </c>
      <c r="D146">
        <v>-33.981994199772899</v>
      </c>
      <c r="E146">
        <v>18.8431639655658</v>
      </c>
      <c r="F146">
        <v>4.3799999999999999E-2</v>
      </c>
      <c r="G146">
        <v>0.1096</v>
      </c>
      <c r="H146">
        <v>6.5750000000000003E-2</v>
      </c>
      <c r="I146">
        <v>7654.8130000000001</v>
      </c>
      <c r="J146">
        <v>8497.7080000000005</v>
      </c>
    </row>
    <row r="147" spans="1:10">
      <c r="A147">
        <v>40</v>
      </c>
      <c r="B147">
        <v>4</v>
      </c>
      <c r="C147" t="s">
        <v>21</v>
      </c>
      <c r="D147">
        <v>-33.9784639246948</v>
      </c>
      <c r="E147">
        <v>18.843402975237002</v>
      </c>
      <c r="F147">
        <v>4.3799999999999999E-2</v>
      </c>
      <c r="G147">
        <v>0.1096</v>
      </c>
      <c r="H147">
        <v>6.5750000000000003E-2</v>
      </c>
      <c r="I147">
        <v>7173.3140000000003</v>
      </c>
      <c r="J147">
        <v>8016.2089999999998</v>
      </c>
    </row>
    <row r="148" spans="1:10">
      <c r="A148">
        <v>41</v>
      </c>
      <c r="B148">
        <v>4</v>
      </c>
      <c r="C148" t="s">
        <v>21</v>
      </c>
      <c r="D148">
        <v>-33.976631190912499</v>
      </c>
      <c r="E148">
        <v>18.8432818234125</v>
      </c>
      <c r="F148">
        <v>4.3799999999999999E-2</v>
      </c>
      <c r="G148">
        <v>0.1096</v>
      </c>
      <c r="H148">
        <v>6.5750000000000003E-2</v>
      </c>
      <c r="I148">
        <v>6833.8530000000001</v>
      </c>
      <c r="J148">
        <v>7676.7470000000003</v>
      </c>
    </row>
    <row r="149" spans="1:10">
      <c r="A149">
        <v>42</v>
      </c>
      <c r="B149">
        <v>4</v>
      </c>
      <c r="C149" t="s">
        <v>21</v>
      </c>
      <c r="D149">
        <v>-33.9761942003759</v>
      </c>
      <c r="E149">
        <v>18.848714522492301</v>
      </c>
      <c r="F149">
        <v>4.3799999999999999E-2</v>
      </c>
      <c r="G149">
        <v>0.1096</v>
      </c>
      <c r="H149">
        <v>6.5750000000000003E-2</v>
      </c>
      <c r="I149">
        <v>7362.8130000000001</v>
      </c>
      <c r="J149">
        <v>8205.7080000000005</v>
      </c>
    </row>
    <row r="150" spans="1:10">
      <c r="A150">
        <v>43</v>
      </c>
      <c r="B150">
        <v>4</v>
      </c>
      <c r="C150" t="s">
        <v>21</v>
      </c>
      <c r="D150">
        <v>-33.982531727900799</v>
      </c>
      <c r="E150">
        <v>18.853791888751601</v>
      </c>
      <c r="F150">
        <v>4.3799999999999999E-2</v>
      </c>
      <c r="G150">
        <v>0.1096</v>
      </c>
      <c r="H150">
        <v>6.5750000000000003E-2</v>
      </c>
      <c r="I150">
        <v>8121.7960000000003</v>
      </c>
      <c r="J150">
        <v>8964.6910000000007</v>
      </c>
    </row>
    <row r="151" spans="1:10">
      <c r="A151">
        <v>44</v>
      </c>
      <c r="B151">
        <v>4</v>
      </c>
      <c r="C151" t="s">
        <v>21</v>
      </c>
      <c r="D151">
        <v>-33.980553427379697</v>
      </c>
      <c r="E151">
        <v>18.845240533396701</v>
      </c>
      <c r="F151">
        <v>4.3799999999999999E-2</v>
      </c>
      <c r="G151">
        <v>0.1096</v>
      </c>
      <c r="H151">
        <v>6.5750000000000003E-2</v>
      </c>
      <c r="I151">
        <v>7723.86</v>
      </c>
      <c r="J151">
        <v>8566.7549999999992</v>
      </c>
    </row>
    <row r="152" spans="1:10">
      <c r="A152">
        <v>45</v>
      </c>
      <c r="B152">
        <v>4</v>
      </c>
      <c r="C152" t="s">
        <v>21</v>
      </c>
      <c r="D152">
        <v>-33.9798506568454</v>
      </c>
      <c r="E152">
        <v>18.843628813040301</v>
      </c>
      <c r="F152">
        <v>4.3799999999999999E-2</v>
      </c>
      <c r="G152">
        <v>0.1096</v>
      </c>
      <c r="H152">
        <v>6.5750000000000003E-2</v>
      </c>
      <c r="I152">
        <v>7551.4979999999996</v>
      </c>
      <c r="J152">
        <v>8394.393</v>
      </c>
    </row>
    <row r="153" spans="1:10">
      <c r="A153">
        <v>46</v>
      </c>
      <c r="B153">
        <v>4</v>
      </c>
      <c r="C153" t="s">
        <v>21</v>
      </c>
      <c r="D153">
        <v>-33.982457395467698</v>
      </c>
      <c r="E153">
        <v>18.8488236851761</v>
      </c>
      <c r="F153">
        <v>4.3799999999999999E-2</v>
      </c>
      <c r="G153">
        <v>0.1096</v>
      </c>
      <c r="H153">
        <v>6.5750000000000003E-2</v>
      </c>
      <c r="I153">
        <v>8053.7889999999998</v>
      </c>
      <c r="J153">
        <v>8896.6839999999993</v>
      </c>
    </row>
    <row r="154" spans="1:10">
      <c r="A154">
        <v>47</v>
      </c>
      <c r="B154">
        <v>4</v>
      </c>
      <c r="C154" t="s">
        <v>21</v>
      </c>
      <c r="D154">
        <v>-33.977201988458702</v>
      </c>
      <c r="E154">
        <v>18.843818118617701</v>
      </c>
      <c r="F154">
        <v>4.3799999999999999E-2</v>
      </c>
      <c r="G154">
        <v>0.1096</v>
      </c>
      <c r="H154">
        <v>6.5750000000000003E-2</v>
      </c>
      <c r="I154">
        <v>6963.6030000000001</v>
      </c>
      <c r="J154">
        <v>7806.4979999999996</v>
      </c>
    </row>
    <row r="155" spans="1:10">
      <c r="A155">
        <v>48</v>
      </c>
      <c r="B155">
        <v>4</v>
      </c>
      <c r="C155" t="s">
        <v>21</v>
      </c>
      <c r="D155">
        <v>-33.980180003077301</v>
      </c>
      <c r="E155">
        <v>18.843068214897102</v>
      </c>
      <c r="F155">
        <v>4.3799999999999999E-2</v>
      </c>
      <c r="G155">
        <v>0.1096</v>
      </c>
      <c r="H155">
        <v>6.5750000000000003E-2</v>
      </c>
      <c r="I155">
        <v>7492.2439999999997</v>
      </c>
      <c r="J155">
        <v>8335.1389999999992</v>
      </c>
    </row>
    <row r="156" spans="1:10">
      <c r="A156">
        <v>49</v>
      </c>
      <c r="B156">
        <v>4</v>
      </c>
      <c r="C156" t="s">
        <v>21</v>
      </c>
      <c r="D156">
        <v>-33.976358393538</v>
      </c>
      <c r="E156">
        <v>18.847400519601599</v>
      </c>
      <c r="F156">
        <v>4.3799999999999999E-2</v>
      </c>
      <c r="G156">
        <v>0.1096</v>
      </c>
      <c r="H156">
        <v>6.5750000000000003E-2</v>
      </c>
      <c r="I156">
        <v>7247.1149999999998</v>
      </c>
      <c r="J156">
        <v>8090.01</v>
      </c>
    </row>
    <row r="157" spans="1:10">
      <c r="A157">
        <v>50</v>
      </c>
      <c r="B157">
        <v>4</v>
      </c>
      <c r="C157" t="s">
        <v>21</v>
      </c>
      <c r="D157">
        <v>-33.978047470826702</v>
      </c>
      <c r="E157">
        <v>18.8499171387374</v>
      </c>
      <c r="F157">
        <v>4.3799999999999999E-2</v>
      </c>
      <c r="G157">
        <v>0.1096</v>
      </c>
      <c r="H157">
        <v>6.5750000000000003E-2</v>
      </c>
      <c r="I157">
        <v>7504.4629999999997</v>
      </c>
      <c r="J157">
        <v>8347.357</v>
      </c>
    </row>
    <row r="158" spans="1:10">
      <c r="A158">
        <v>51</v>
      </c>
      <c r="B158">
        <v>4</v>
      </c>
      <c r="C158" t="s">
        <v>21</v>
      </c>
      <c r="D158">
        <v>-33.975229834079101</v>
      </c>
      <c r="E158">
        <v>18.849991220391001</v>
      </c>
      <c r="F158">
        <v>4.3799999999999999E-2</v>
      </c>
      <c r="G158">
        <v>0.1096</v>
      </c>
      <c r="H158">
        <v>6.5750000000000003E-2</v>
      </c>
      <c r="I158">
        <v>7508.1570000000002</v>
      </c>
      <c r="J158">
        <v>8351.0509999999995</v>
      </c>
    </row>
    <row r="159" spans="1:10">
      <c r="A159">
        <v>52</v>
      </c>
      <c r="B159">
        <v>4</v>
      </c>
      <c r="C159" t="s">
        <v>21</v>
      </c>
      <c r="D159">
        <v>-33.977206468490998</v>
      </c>
      <c r="E159">
        <v>18.840072124323299</v>
      </c>
      <c r="F159">
        <v>4.3799999999999999E-2</v>
      </c>
      <c r="G159">
        <v>0.1096</v>
      </c>
      <c r="H159">
        <v>6.5750000000000003E-2</v>
      </c>
      <c r="I159">
        <v>6836.2610000000004</v>
      </c>
      <c r="J159">
        <v>7679.1559999999999</v>
      </c>
    </row>
    <row r="160" spans="1:10">
      <c r="A160">
        <v>53</v>
      </c>
      <c r="B160">
        <v>4</v>
      </c>
      <c r="C160" t="s">
        <v>21</v>
      </c>
      <c r="D160">
        <v>-33.976309633157797</v>
      </c>
      <c r="E160">
        <v>18.841972170862299</v>
      </c>
      <c r="F160">
        <v>4.3799999999999999E-2</v>
      </c>
      <c r="G160">
        <v>0.1096</v>
      </c>
      <c r="H160">
        <v>6.5750000000000003E-2</v>
      </c>
      <c r="I160">
        <v>7604.3329999999996</v>
      </c>
      <c r="J160">
        <v>8447.2279999999992</v>
      </c>
    </row>
    <row r="161" spans="1:10">
      <c r="A161">
        <v>54</v>
      </c>
      <c r="B161">
        <v>4</v>
      </c>
      <c r="C161" t="s">
        <v>21</v>
      </c>
      <c r="D161">
        <v>-33.978515949551301</v>
      </c>
      <c r="E161">
        <v>18.8475112481776</v>
      </c>
      <c r="F161">
        <v>4.3799999999999999E-2</v>
      </c>
      <c r="G161">
        <v>0.1096</v>
      </c>
      <c r="H161">
        <v>6.5750000000000003E-2</v>
      </c>
      <c r="I161">
        <v>7288.8459999999995</v>
      </c>
      <c r="J161">
        <v>8131.741</v>
      </c>
    </row>
    <row r="162" spans="1:10">
      <c r="A162">
        <v>55</v>
      </c>
      <c r="B162">
        <v>4</v>
      </c>
      <c r="C162" t="s">
        <v>21</v>
      </c>
      <c r="D162">
        <v>-33.982287276556399</v>
      </c>
      <c r="E162">
        <v>18.854105754479001</v>
      </c>
      <c r="F162">
        <v>4.3799999999999999E-2</v>
      </c>
      <c r="G162">
        <v>0.1096</v>
      </c>
      <c r="H162">
        <v>6.5750000000000003E-2</v>
      </c>
      <c r="I162">
        <v>8085.4219999999996</v>
      </c>
      <c r="J162">
        <v>8928.3169999999991</v>
      </c>
    </row>
    <row r="163" spans="1:10">
      <c r="A163">
        <v>56</v>
      </c>
      <c r="B163">
        <v>4</v>
      </c>
      <c r="C163" t="s">
        <v>21</v>
      </c>
      <c r="D163">
        <v>-33.982371494924998</v>
      </c>
      <c r="E163">
        <v>18.840412357771498</v>
      </c>
      <c r="F163">
        <v>4.3799999999999999E-2</v>
      </c>
      <c r="G163">
        <v>0.1096</v>
      </c>
      <c r="H163">
        <v>6.5750000000000003E-2</v>
      </c>
      <c r="I163">
        <v>7577.9629999999997</v>
      </c>
      <c r="J163">
        <v>8420.8580000000002</v>
      </c>
    </row>
    <row r="164" spans="1:10">
      <c r="A164">
        <v>57</v>
      </c>
      <c r="B164">
        <v>4</v>
      </c>
      <c r="C164" t="s">
        <v>21</v>
      </c>
      <c r="D164">
        <v>-33.975038245625498</v>
      </c>
      <c r="E164">
        <v>18.844908883788001</v>
      </c>
      <c r="F164">
        <v>4.3799999999999999E-2</v>
      </c>
      <c r="G164">
        <v>0.1096</v>
      </c>
      <c r="H164">
        <v>6.5750000000000003E-2</v>
      </c>
      <c r="I164">
        <v>6957.1189999999997</v>
      </c>
      <c r="J164">
        <v>7800.0140000000001</v>
      </c>
    </row>
    <row r="165" spans="1:10">
      <c r="A165">
        <v>58</v>
      </c>
      <c r="B165">
        <v>4</v>
      </c>
      <c r="C165" t="s">
        <v>21</v>
      </c>
      <c r="D165">
        <v>-33.976489958435899</v>
      </c>
      <c r="E165">
        <v>18.8411382703359</v>
      </c>
      <c r="F165">
        <v>4.3799999999999999E-2</v>
      </c>
      <c r="G165">
        <v>0.1096</v>
      </c>
      <c r="H165">
        <v>6.5750000000000003E-2</v>
      </c>
      <c r="I165">
        <v>6729.6880000000001</v>
      </c>
      <c r="J165">
        <v>7572.5829999999996</v>
      </c>
    </row>
    <row r="166" spans="1:10">
      <c r="A166">
        <v>59</v>
      </c>
      <c r="B166">
        <v>4</v>
      </c>
      <c r="C166" t="s">
        <v>21</v>
      </c>
      <c r="D166">
        <v>-33.979924175284701</v>
      </c>
      <c r="E166">
        <v>18.841248982110301</v>
      </c>
      <c r="F166">
        <v>4.3799999999999999E-2</v>
      </c>
      <c r="G166">
        <v>0.1096</v>
      </c>
      <c r="H166">
        <v>6.5750000000000003E-2</v>
      </c>
      <c r="I166">
        <v>7308.9160000000002</v>
      </c>
      <c r="J166">
        <v>8151.81</v>
      </c>
    </row>
    <row r="167" spans="1:10">
      <c r="A167">
        <v>0</v>
      </c>
      <c r="B167">
        <v>5</v>
      </c>
      <c r="C167" t="s">
        <v>50</v>
      </c>
      <c r="D167">
        <v>-33.900513513677403</v>
      </c>
      <c r="E167">
        <v>18.852923667818001</v>
      </c>
      <c r="F167">
        <v>4.3799999999999999E-2</v>
      </c>
      <c r="G167">
        <v>0.1096</v>
      </c>
      <c r="H167">
        <v>6.5750000000000003E-2</v>
      </c>
      <c r="I167">
        <v>7004.4279999999999</v>
      </c>
      <c r="J167">
        <v>8921.9680000000008</v>
      </c>
    </row>
    <row r="168" spans="1:10">
      <c r="A168">
        <v>1</v>
      </c>
      <c r="B168">
        <v>5</v>
      </c>
      <c r="C168" t="s">
        <v>50</v>
      </c>
      <c r="D168">
        <v>-33.899618093989098</v>
      </c>
      <c r="E168">
        <v>18.848391385802</v>
      </c>
      <c r="F168">
        <v>4.3799999999999999E-2</v>
      </c>
      <c r="G168">
        <v>0.1096</v>
      </c>
      <c r="H168">
        <v>6.5750000000000003E-2</v>
      </c>
      <c r="I168">
        <v>6628.201</v>
      </c>
      <c r="J168">
        <v>8545.7420000000002</v>
      </c>
    </row>
    <row r="169" spans="1:10">
      <c r="A169">
        <v>2</v>
      </c>
      <c r="B169">
        <v>5</v>
      </c>
      <c r="C169" t="s">
        <v>50</v>
      </c>
      <c r="D169">
        <v>-33.902433337259502</v>
      </c>
      <c r="E169">
        <v>18.852871301030898</v>
      </c>
      <c r="F169">
        <v>4.3799999999999999E-2</v>
      </c>
      <c r="G169">
        <v>0.1096</v>
      </c>
      <c r="H169">
        <v>6.5750000000000003E-2</v>
      </c>
      <c r="I169">
        <v>5677.6930000000002</v>
      </c>
      <c r="J169">
        <v>7595.2340000000004</v>
      </c>
    </row>
    <row r="170" spans="1:10">
      <c r="A170">
        <v>3</v>
      </c>
      <c r="B170">
        <v>5</v>
      </c>
      <c r="C170" t="s">
        <v>50</v>
      </c>
      <c r="D170">
        <v>-33.901064838830401</v>
      </c>
      <c r="E170">
        <v>18.848805698763201</v>
      </c>
      <c r="F170">
        <v>4.3799999999999999E-2</v>
      </c>
      <c r="G170">
        <v>0.1096</v>
      </c>
      <c r="H170">
        <v>6.5750000000000003E-2</v>
      </c>
      <c r="I170">
        <v>5984.3370000000004</v>
      </c>
      <c r="J170">
        <v>7901.8779999999997</v>
      </c>
    </row>
    <row r="171" spans="1:10">
      <c r="A171">
        <v>4</v>
      </c>
      <c r="B171">
        <v>5</v>
      </c>
      <c r="C171" t="s">
        <v>50</v>
      </c>
      <c r="D171">
        <v>-33.897932996872001</v>
      </c>
      <c r="E171">
        <v>18.846547727221299</v>
      </c>
      <c r="F171">
        <v>4.3799999999999999E-2</v>
      </c>
      <c r="G171">
        <v>0.1096</v>
      </c>
      <c r="H171">
        <v>6.5750000000000003E-2</v>
      </c>
      <c r="I171">
        <v>6568.22</v>
      </c>
      <c r="J171">
        <v>8485.7610000000004</v>
      </c>
    </row>
    <row r="172" spans="1:10">
      <c r="A172">
        <v>5</v>
      </c>
      <c r="B172">
        <v>5</v>
      </c>
      <c r="C172" t="s">
        <v>50</v>
      </c>
      <c r="D172">
        <v>-33.902801377574498</v>
      </c>
      <c r="E172">
        <v>18.854282944123302</v>
      </c>
      <c r="F172">
        <v>4.3799999999999999E-2</v>
      </c>
      <c r="G172">
        <v>0.1096</v>
      </c>
      <c r="H172">
        <v>6.5750000000000003E-2</v>
      </c>
      <c r="I172">
        <v>6048.7039999999997</v>
      </c>
      <c r="J172">
        <v>7966.2439999999997</v>
      </c>
    </row>
    <row r="173" spans="1:10">
      <c r="A173">
        <v>6</v>
      </c>
      <c r="B173">
        <v>5</v>
      </c>
      <c r="C173" t="s">
        <v>50</v>
      </c>
      <c r="D173">
        <v>-33.901190465859102</v>
      </c>
      <c r="E173">
        <v>18.851900890574399</v>
      </c>
      <c r="F173">
        <v>4.3799999999999999E-2</v>
      </c>
      <c r="G173">
        <v>0.1096</v>
      </c>
      <c r="H173">
        <v>6.5750000000000003E-2</v>
      </c>
      <c r="I173">
        <v>7004.4279999999999</v>
      </c>
      <c r="J173">
        <v>8921.9680000000008</v>
      </c>
    </row>
    <row r="174" spans="1:10">
      <c r="A174">
        <v>7</v>
      </c>
      <c r="B174">
        <v>5</v>
      </c>
      <c r="C174" t="s">
        <v>50</v>
      </c>
      <c r="D174">
        <v>-33.900371854947203</v>
      </c>
      <c r="E174">
        <v>18.858647163362001</v>
      </c>
      <c r="F174">
        <v>4.3799999999999999E-2</v>
      </c>
      <c r="G174">
        <v>0.1096</v>
      </c>
      <c r="H174">
        <v>6.5750000000000003E-2</v>
      </c>
      <c r="I174">
        <v>5997.58</v>
      </c>
      <c r="J174">
        <v>7915.1210000000001</v>
      </c>
    </row>
    <row r="175" spans="1:10">
      <c r="A175">
        <v>8</v>
      </c>
      <c r="B175">
        <v>5</v>
      </c>
      <c r="C175" t="s">
        <v>50</v>
      </c>
      <c r="D175">
        <v>-33.900349574010598</v>
      </c>
      <c r="E175">
        <v>18.852254827934001</v>
      </c>
      <c r="F175">
        <v>4.3799999999999999E-2</v>
      </c>
      <c r="G175">
        <v>0.1096</v>
      </c>
      <c r="H175">
        <v>6.5750000000000003E-2</v>
      </c>
      <c r="I175">
        <v>7004.4279999999999</v>
      </c>
      <c r="J175">
        <v>8921.9680000000008</v>
      </c>
    </row>
    <row r="176" spans="1:10">
      <c r="A176">
        <v>9</v>
      </c>
      <c r="B176">
        <v>5</v>
      </c>
      <c r="C176" t="s">
        <v>50</v>
      </c>
      <c r="D176">
        <v>-33.899024087776901</v>
      </c>
      <c r="E176">
        <v>18.8581866117954</v>
      </c>
      <c r="F176">
        <v>4.3799999999999999E-2</v>
      </c>
      <c r="G176">
        <v>0.1096</v>
      </c>
      <c r="H176">
        <v>6.5750000000000003E-2</v>
      </c>
      <c r="I176">
        <v>6204.7879999999996</v>
      </c>
      <c r="J176">
        <v>8122.3289999999997</v>
      </c>
    </row>
    <row r="177" spans="1:12">
      <c r="A177">
        <v>10</v>
      </c>
      <c r="B177">
        <v>5</v>
      </c>
      <c r="C177" t="s">
        <v>50</v>
      </c>
      <c r="D177">
        <v>-33.9000885221879</v>
      </c>
      <c r="E177">
        <v>18.853061124272301</v>
      </c>
      <c r="F177">
        <v>4.3799999999999999E-2</v>
      </c>
      <c r="G177">
        <v>0.1096</v>
      </c>
      <c r="H177">
        <v>6.5750000000000003E-2</v>
      </c>
      <c r="I177">
        <v>7004.4279999999999</v>
      </c>
      <c r="J177">
        <v>8921.9680000000008</v>
      </c>
    </row>
    <row r="178" spans="1:12">
      <c r="A178">
        <v>11</v>
      </c>
      <c r="B178">
        <v>5</v>
      </c>
      <c r="C178" t="s">
        <v>50</v>
      </c>
      <c r="D178">
        <v>-33.8991398801329</v>
      </c>
      <c r="E178">
        <v>18.84864238478</v>
      </c>
      <c r="F178">
        <v>4.3799999999999999E-2</v>
      </c>
      <c r="G178">
        <v>0.1096</v>
      </c>
      <c r="H178">
        <v>6.5750000000000003E-2</v>
      </c>
      <c r="I178">
        <v>6610.7839999999997</v>
      </c>
      <c r="J178">
        <v>8528.3250000000007</v>
      </c>
    </row>
    <row r="179" spans="1:12">
      <c r="A179">
        <v>12</v>
      </c>
      <c r="B179">
        <v>5</v>
      </c>
      <c r="C179" t="s">
        <v>50</v>
      </c>
      <c r="D179">
        <v>-33.902136408475599</v>
      </c>
      <c r="E179">
        <v>18.858447184612899</v>
      </c>
      <c r="F179">
        <v>4.3799999999999999E-2</v>
      </c>
      <c r="G179">
        <v>0.1096</v>
      </c>
      <c r="H179">
        <v>6.5750000000000003E-2</v>
      </c>
      <c r="I179">
        <v>5790.607</v>
      </c>
      <c r="J179">
        <v>7708.1480000000001</v>
      </c>
    </row>
    <row r="180" spans="1:12">
      <c r="A180">
        <v>13</v>
      </c>
      <c r="B180">
        <v>5</v>
      </c>
      <c r="C180" t="s">
        <v>50</v>
      </c>
      <c r="D180">
        <v>-33.902527859499799</v>
      </c>
      <c r="E180">
        <v>18.854094280129001</v>
      </c>
      <c r="F180">
        <v>4.3799999999999999E-2</v>
      </c>
      <c r="G180">
        <v>0.1096</v>
      </c>
      <c r="H180">
        <v>6.5750000000000003E-2</v>
      </c>
      <c r="I180">
        <v>6048.7039999999997</v>
      </c>
      <c r="J180">
        <v>7966.2439999999997</v>
      </c>
    </row>
    <row r="181" spans="1:12">
      <c r="A181">
        <v>14</v>
      </c>
      <c r="B181">
        <v>5</v>
      </c>
      <c r="C181" t="s">
        <v>50</v>
      </c>
      <c r="D181">
        <v>-33.902244163216402</v>
      </c>
      <c r="E181">
        <v>18.857153100003401</v>
      </c>
      <c r="F181">
        <v>4.3799999999999999E-2</v>
      </c>
      <c r="G181">
        <v>0.1096</v>
      </c>
      <c r="H181">
        <v>6.5750000000000003E-2</v>
      </c>
      <c r="I181">
        <v>5635.98</v>
      </c>
      <c r="J181">
        <v>7553.5209999999997</v>
      </c>
    </row>
    <row r="182" spans="1:12">
      <c r="A182">
        <v>15</v>
      </c>
      <c r="B182">
        <v>5</v>
      </c>
      <c r="C182" t="s">
        <v>50</v>
      </c>
      <c r="D182">
        <v>-33.900337985761801</v>
      </c>
      <c r="E182">
        <v>18.858497551429299</v>
      </c>
      <c r="F182">
        <v>4.3799999999999999E-2</v>
      </c>
      <c r="G182">
        <v>0.1096</v>
      </c>
      <c r="H182">
        <v>6.5750000000000003E-2</v>
      </c>
      <c r="I182">
        <v>5994.5609999999997</v>
      </c>
      <c r="J182">
        <v>7912.1019999999999</v>
      </c>
    </row>
    <row r="183" spans="1:12">
      <c r="A183">
        <v>16</v>
      </c>
      <c r="B183">
        <v>5</v>
      </c>
      <c r="C183" t="s">
        <v>50</v>
      </c>
      <c r="D183">
        <v>-33.8983497929053</v>
      </c>
      <c r="E183">
        <v>18.8476226391229</v>
      </c>
      <c r="F183">
        <v>4.3799999999999999E-2</v>
      </c>
      <c r="G183">
        <v>0.1096</v>
      </c>
      <c r="H183">
        <v>6.5750000000000003E-2</v>
      </c>
      <c r="I183">
        <v>6520.9570000000003</v>
      </c>
      <c r="J183">
        <v>8438.4979999999996</v>
      </c>
    </row>
    <row r="184" spans="1:12">
      <c r="A184">
        <v>17</v>
      </c>
      <c r="B184">
        <v>5</v>
      </c>
      <c r="C184" t="s">
        <v>50</v>
      </c>
      <c r="D184">
        <v>-33.902928378721398</v>
      </c>
      <c r="E184">
        <v>18.853837952482799</v>
      </c>
      <c r="F184">
        <v>4.3799999999999999E-2</v>
      </c>
      <c r="G184">
        <v>0.1096</v>
      </c>
      <c r="H184">
        <v>6.5750000000000003E-2</v>
      </c>
      <c r="I184">
        <v>6048.7039999999997</v>
      </c>
      <c r="J184">
        <v>7966.2439999999997</v>
      </c>
    </row>
    <row r="185" spans="1:12">
      <c r="A185">
        <v>18</v>
      </c>
      <c r="B185">
        <v>5</v>
      </c>
      <c r="C185" t="s">
        <v>50</v>
      </c>
      <c r="D185">
        <v>-33.903097329500198</v>
      </c>
      <c r="E185">
        <v>18.846997633644001</v>
      </c>
      <c r="F185">
        <v>4.3799999999999999E-2</v>
      </c>
      <c r="G185">
        <v>0.1096</v>
      </c>
      <c r="H185">
        <v>6.5750000000000003E-2</v>
      </c>
      <c r="I185">
        <v>5701.5150000000003</v>
      </c>
      <c r="J185">
        <v>7619.0559999999996</v>
      </c>
    </row>
    <row r="186" spans="1:12">
      <c r="A186">
        <v>19</v>
      </c>
      <c r="B186">
        <v>5</v>
      </c>
      <c r="C186" t="s">
        <v>50</v>
      </c>
      <c r="D186">
        <v>-33.899740615126397</v>
      </c>
      <c r="E186">
        <v>18.8567662259643</v>
      </c>
      <c r="F186">
        <v>4.3799999999999999E-2</v>
      </c>
      <c r="G186">
        <v>0.1096</v>
      </c>
      <c r="H186">
        <v>6.5750000000000003E-2</v>
      </c>
      <c r="I186">
        <v>6313.5829999999996</v>
      </c>
      <c r="J186">
        <v>8231.1239999999998</v>
      </c>
    </row>
    <row r="187" spans="1:12">
      <c r="A187">
        <v>20</v>
      </c>
      <c r="B187">
        <v>5</v>
      </c>
      <c r="C187" t="s">
        <v>50</v>
      </c>
      <c r="D187">
        <v>-33.901712385453401</v>
      </c>
      <c r="E187">
        <v>18.857103795218599</v>
      </c>
      <c r="F187">
        <v>4.3799999999999999E-2</v>
      </c>
      <c r="G187">
        <v>0.1096</v>
      </c>
      <c r="H187">
        <v>6.5750000000000003E-2</v>
      </c>
      <c r="I187">
        <v>5618.4269999999997</v>
      </c>
      <c r="J187">
        <v>7535.9679999999998</v>
      </c>
      <c r="L187">
        <f ca="1">RANDBETWEEN(0,71)</f>
        <v>11</v>
      </c>
    </row>
    <row r="188" spans="1:12">
      <c r="A188">
        <v>21</v>
      </c>
      <c r="B188">
        <v>5</v>
      </c>
      <c r="C188" t="s">
        <v>50</v>
      </c>
      <c r="D188">
        <v>-33.901183140504301</v>
      </c>
      <c r="E188">
        <v>18.8494819394305</v>
      </c>
      <c r="F188">
        <v>4.3799999999999999E-2</v>
      </c>
      <c r="G188">
        <v>0.1096</v>
      </c>
      <c r="H188">
        <v>6.5750000000000003E-2</v>
      </c>
      <c r="I188">
        <v>5905.5479999999998</v>
      </c>
      <c r="J188">
        <v>7823.0879999999997</v>
      </c>
    </row>
    <row r="189" spans="1:12">
      <c r="A189">
        <v>22</v>
      </c>
      <c r="B189">
        <v>5</v>
      </c>
      <c r="C189" t="s">
        <v>50</v>
      </c>
      <c r="D189">
        <v>-33.903282711541301</v>
      </c>
      <c r="E189">
        <v>18.851829733805801</v>
      </c>
      <c r="F189">
        <v>4.3799999999999999E-2</v>
      </c>
      <c r="G189">
        <v>0.1096</v>
      </c>
      <c r="H189">
        <v>6.5750000000000003E-2</v>
      </c>
      <c r="I189">
        <v>5961.82</v>
      </c>
      <c r="J189">
        <v>7879.3609999999999</v>
      </c>
    </row>
    <row r="190" spans="1:12">
      <c r="A190">
        <v>23</v>
      </c>
      <c r="B190">
        <v>5</v>
      </c>
      <c r="C190" t="s">
        <v>50</v>
      </c>
      <c r="D190">
        <v>-33.903163947956401</v>
      </c>
      <c r="E190">
        <v>18.855685319048501</v>
      </c>
      <c r="F190">
        <v>4.3799999999999999E-2</v>
      </c>
      <c r="G190">
        <v>0.1096</v>
      </c>
      <c r="H190">
        <v>6.5750000000000003E-2</v>
      </c>
      <c r="I190">
        <v>5924.335</v>
      </c>
      <c r="J190">
        <v>7841.8760000000002</v>
      </c>
    </row>
    <row r="191" spans="1:12">
      <c r="A191">
        <v>24</v>
      </c>
      <c r="B191">
        <v>5</v>
      </c>
      <c r="C191" t="s">
        <v>50</v>
      </c>
      <c r="D191">
        <v>-33.903167656805998</v>
      </c>
      <c r="E191">
        <v>18.8534497083599</v>
      </c>
      <c r="F191">
        <v>4.3799999999999999E-2</v>
      </c>
      <c r="G191">
        <v>0.1096</v>
      </c>
      <c r="H191">
        <v>6.5750000000000003E-2</v>
      </c>
      <c r="I191">
        <v>5653.2</v>
      </c>
      <c r="J191">
        <v>7570.74</v>
      </c>
    </row>
    <row r="192" spans="1:12">
      <c r="A192">
        <v>25</v>
      </c>
      <c r="B192">
        <v>5</v>
      </c>
      <c r="C192" t="s">
        <v>50</v>
      </c>
      <c r="D192">
        <v>-33.897823168316002</v>
      </c>
      <c r="E192">
        <v>18.849169486526201</v>
      </c>
      <c r="F192">
        <v>4.3799999999999999E-2</v>
      </c>
      <c r="G192">
        <v>0.1096</v>
      </c>
      <c r="H192">
        <v>6.5750000000000003E-2</v>
      </c>
      <c r="I192">
        <v>6777.0230000000001</v>
      </c>
      <c r="J192">
        <v>8694.5630000000001</v>
      </c>
    </row>
    <row r="193" spans="1:10">
      <c r="A193">
        <v>26</v>
      </c>
      <c r="B193">
        <v>5</v>
      </c>
      <c r="C193" t="s">
        <v>50</v>
      </c>
      <c r="D193">
        <v>-33.901423928297802</v>
      </c>
      <c r="E193">
        <v>18.853714385319499</v>
      </c>
      <c r="F193">
        <v>4.3799999999999999E-2</v>
      </c>
      <c r="G193">
        <v>0.1096</v>
      </c>
      <c r="H193">
        <v>6.5750000000000003E-2</v>
      </c>
      <c r="I193">
        <v>6048.7039999999997</v>
      </c>
      <c r="J193">
        <v>7966.2439999999997</v>
      </c>
    </row>
    <row r="194" spans="1:10">
      <c r="A194">
        <v>27</v>
      </c>
      <c r="B194">
        <v>5</v>
      </c>
      <c r="C194" t="s">
        <v>50</v>
      </c>
      <c r="D194">
        <v>-33.900707724246402</v>
      </c>
      <c r="E194">
        <v>18.850714246703699</v>
      </c>
      <c r="F194">
        <v>4.3799999999999999E-2</v>
      </c>
      <c r="G194">
        <v>0.1096</v>
      </c>
      <c r="H194">
        <v>6.5750000000000003E-2</v>
      </c>
      <c r="I194">
        <v>6723.76</v>
      </c>
      <c r="J194">
        <v>8641.3009999999995</v>
      </c>
    </row>
    <row r="195" spans="1:10">
      <c r="A195">
        <v>28</v>
      </c>
      <c r="B195">
        <v>5</v>
      </c>
      <c r="C195" t="s">
        <v>50</v>
      </c>
      <c r="D195">
        <v>-33.899284549416997</v>
      </c>
      <c r="E195">
        <v>18.855077635448399</v>
      </c>
      <c r="F195">
        <v>4.3799999999999999E-2</v>
      </c>
      <c r="G195">
        <v>0.1096</v>
      </c>
      <c r="H195">
        <v>6.5750000000000003E-2</v>
      </c>
      <c r="I195">
        <v>6358</v>
      </c>
      <c r="J195">
        <v>8275.5400000000009</v>
      </c>
    </row>
    <row r="196" spans="1:10">
      <c r="A196">
        <v>29</v>
      </c>
      <c r="B196">
        <v>5</v>
      </c>
      <c r="C196" t="s">
        <v>50</v>
      </c>
      <c r="D196">
        <v>-33.899829693106597</v>
      </c>
      <c r="E196">
        <v>18.854176334759501</v>
      </c>
      <c r="F196">
        <v>4.3799999999999999E-2</v>
      </c>
      <c r="G196">
        <v>0.1096</v>
      </c>
      <c r="H196">
        <v>6.5750000000000003E-2</v>
      </c>
      <c r="I196">
        <v>6358</v>
      </c>
      <c r="J196">
        <v>8275.5400000000009</v>
      </c>
    </row>
    <row r="197" spans="1:10">
      <c r="A197">
        <v>30</v>
      </c>
      <c r="B197">
        <v>5</v>
      </c>
      <c r="C197" t="s">
        <v>50</v>
      </c>
      <c r="D197">
        <v>-33.901621415813601</v>
      </c>
      <c r="E197">
        <v>18.857156140245898</v>
      </c>
      <c r="F197">
        <v>4.3799999999999999E-2</v>
      </c>
      <c r="G197">
        <v>0.1096</v>
      </c>
      <c r="H197">
        <v>6.5750000000000003E-2</v>
      </c>
      <c r="I197">
        <v>5613.4989999999998</v>
      </c>
      <c r="J197">
        <v>7531.04</v>
      </c>
    </row>
    <row r="198" spans="1:10">
      <c r="A198">
        <v>31</v>
      </c>
      <c r="B198">
        <v>5</v>
      </c>
      <c r="C198" t="s">
        <v>50</v>
      </c>
      <c r="D198">
        <v>-33.902315529607399</v>
      </c>
      <c r="E198">
        <v>18.855569769458999</v>
      </c>
      <c r="F198">
        <v>4.3799999999999999E-2</v>
      </c>
      <c r="G198">
        <v>0.1096</v>
      </c>
      <c r="H198">
        <v>6.5750000000000003E-2</v>
      </c>
      <c r="I198">
        <v>6002.1040000000003</v>
      </c>
      <c r="J198">
        <v>7919.6450000000004</v>
      </c>
    </row>
    <row r="199" spans="1:10">
      <c r="A199">
        <v>32</v>
      </c>
      <c r="B199">
        <v>5</v>
      </c>
      <c r="C199" t="s">
        <v>50</v>
      </c>
      <c r="D199">
        <v>-33.901165346181898</v>
      </c>
      <c r="E199">
        <v>18.855972343450599</v>
      </c>
      <c r="F199">
        <v>4.3799999999999999E-2</v>
      </c>
      <c r="G199">
        <v>0.1096</v>
      </c>
      <c r="H199">
        <v>6.5750000000000003E-2</v>
      </c>
      <c r="I199">
        <v>6414.9949999999999</v>
      </c>
      <c r="J199">
        <v>8332.5360000000001</v>
      </c>
    </row>
    <row r="200" spans="1:10">
      <c r="A200">
        <v>33</v>
      </c>
      <c r="B200">
        <v>5</v>
      </c>
      <c r="C200" t="s">
        <v>50</v>
      </c>
      <c r="D200">
        <v>-33.898740794733101</v>
      </c>
      <c r="E200">
        <v>18.8464437169878</v>
      </c>
      <c r="F200">
        <v>4.3799999999999999E-2</v>
      </c>
      <c r="G200">
        <v>0.1096</v>
      </c>
      <c r="H200">
        <v>6.5750000000000003E-2</v>
      </c>
      <c r="I200">
        <v>6407.3789999999999</v>
      </c>
      <c r="J200">
        <v>8324.92</v>
      </c>
    </row>
    <row r="201" spans="1:10">
      <c r="A201">
        <v>34</v>
      </c>
      <c r="B201">
        <v>5</v>
      </c>
      <c r="C201" t="s">
        <v>50</v>
      </c>
      <c r="D201">
        <v>-33.9008630270542</v>
      </c>
      <c r="E201">
        <v>18.8511100174467</v>
      </c>
      <c r="F201">
        <v>4.3799999999999999E-2</v>
      </c>
      <c r="G201">
        <v>0.1096</v>
      </c>
      <c r="H201">
        <v>6.5750000000000003E-2</v>
      </c>
      <c r="I201">
        <v>7004.4279999999999</v>
      </c>
      <c r="J201">
        <v>8921.9680000000008</v>
      </c>
    </row>
    <row r="202" spans="1:10">
      <c r="A202">
        <v>35</v>
      </c>
      <c r="B202">
        <v>5</v>
      </c>
      <c r="C202" t="s">
        <v>50</v>
      </c>
      <c r="D202">
        <v>-33.898730541528003</v>
      </c>
      <c r="E202">
        <v>18.8501290184612</v>
      </c>
      <c r="F202">
        <v>4.3799999999999999E-2</v>
      </c>
      <c r="G202">
        <v>0.1096</v>
      </c>
      <c r="H202">
        <v>6.5750000000000003E-2</v>
      </c>
      <c r="I202">
        <v>6773.7709999999997</v>
      </c>
      <c r="J202">
        <v>8691.3119999999999</v>
      </c>
    </row>
    <row r="203" spans="1:10">
      <c r="A203">
        <v>36</v>
      </c>
      <c r="B203">
        <v>5</v>
      </c>
      <c r="C203" t="s">
        <v>50</v>
      </c>
      <c r="D203">
        <v>-33.902729750763399</v>
      </c>
      <c r="E203">
        <v>18.8464654766276</v>
      </c>
      <c r="F203">
        <v>4.3799999999999999E-2</v>
      </c>
      <c r="G203">
        <v>0.1096</v>
      </c>
      <c r="H203">
        <v>6.5750000000000003E-2</v>
      </c>
      <c r="I203">
        <v>5763.7529999999997</v>
      </c>
      <c r="J203">
        <v>7681.2939999999999</v>
      </c>
    </row>
    <row r="204" spans="1:10">
      <c r="A204">
        <v>37</v>
      </c>
      <c r="B204">
        <v>5</v>
      </c>
      <c r="C204" t="s">
        <v>50</v>
      </c>
      <c r="D204">
        <v>-33.899013003517197</v>
      </c>
      <c r="E204">
        <v>18.855863283680598</v>
      </c>
      <c r="F204">
        <v>4.3799999999999999E-2</v>
      </c>
      <c r="G204">
        <v>0.1096</v>
      </c>
      <c r="H204">
        <v>6.5750000000000003E-2</v>
      </c>
      <c r="I204">
        <v>6323.7420000000002</v>
      </c>
      <c r="J204">
        <v>8241.2819999999992</v>
      </c>
    </row>
    <row r="205" spans="1:10">
      <c r="A205">
        <v>38</v>
      </c>
      <c r="B205">
        <v>5</v>
      </c>
      <c r="C205" t="s">
        <v>50</v>
      </c>
      <c r="D205">
        <v>-33.897450342523697</v>
      </c>
      <c r="E205">
        <v>18.858616212871699</v>
      </c>
      <c r="F205">
        <v>4.3799999999999999E-2</v>
      </c>
      <c r="G205">
        <v>0.1096</v>
      </c>
      <c r="H205">
        <v>6.5750000000000003E-2</v>
      </c>
      <c r="I205">
        <v>5962.7610000000004</v>
      </c>
      <c r="J205">
        <v>7880.3010000000004</v>
      </c>
    </row>
    <row r="206" spans="1:10">
      <c r="A206">
        <v>39</v>
      </c>
      <c r="B206">
        <v>5</v>
      </c>
      <c r="C206" t="s">
        <v>50</v>
      </c>
      <c r="D206">
        <v>-33.902735736971103</v>
      </c>
      <c r="E206">
        <v>18.8490182011321</v>
      </c>
      <c r="F206">
        <v>4.3799999999999999E-2</v>
      </c>
      <c r="G206">
        <v>0.1096</v>
      </c>
      <c r="H206">
        <v>6.5750000000000003E-2</v>
      </c>
      <c r="I206">
        <v>5831.5140000000001</v>
      </c>
      <c r="J206">
        <v>7749.0550000000003</v>
      </c>
    </row>
    <row r="207" spans="1:10">
      <c r="A207">
        <v>40</v>
      </c>
      <c r="B207">
        <v>5</v>
      </c>
      <c r="C207" t="s">
        <v>50</v>
      </c>
      <c r="D207">
        <v>-33.900044178958098</v>
      </c>
      <c r="E207">
        <v>18.849217481339199</v>
      </c>
      <c r="F207">
        <v>4.3799999999999999E-2</v>
      </c>
      <c r="G207">
        <v>0.1096</v>
      </c>
      <c r="H207">
        <v>6.5750000000000003E-2</v>
      </c>
      <c r="I207">
        <v>6653.8670000000002</v>
      </c>
      <c r="J207">
        <v>8571.4079999999994</v>
      </c>
    </row>
    <row r="208" spans="1:10">
      <c r="A208">
        <v>41</v>
      </c>
      <c r="B208">
        <v>5</v>
      </c>
      <c r="C208" t="s">
        <v>50</v>
      </c>
      <c r="D208">
        <v>-33.898646863114898</v>
      </c>
      <c r="E208">
        <v>18.849116468018</v>
      </c>
      <c r="F208">
        <v>4.3799999999999999E-2</v>
      </c>
      <c r="G208">
        <v>0.1096</v>
      </c>
      <c r="H208">
        <v>6.5750000000000003E-2</v>
      </c>
      <c r="I208">
        <v>6677.9849999999997</v>
      </c>
      <c r="J208">
        <v>8595.5259999999998</v>
      </c>
    </row>
    <row r="209" spans="1:10">
      <c r="A209">
        <v>42</v>
      </c>
      <c r="B209">
        <v>5</v>
      </c>
      <c r="C209" t="s">
        <v>50</v>
      </c>
      <c r="D209">
        <v>-33.8983136920859</v>
      </c>
      <c r="E209">
        <v>18.853646114841101</v>
      </c>
      <c r="F209">
        <v>4.3799999999999999E-2</v>
      </c>
      <c r="G209">
        <v>0.1096</v>
      </c>
      <c r="H209">
        <v>6.5750000000000003E-2</v>
      </c>
      <c r="I209">
        <v>6992.0929999999998</v>
      </c>
      <c r="J209">
        <v>8909.6329999999998</v>
      </c>
    </row>
    <row r="210" spans="1:10">
      <c r="A210">
        <v>43</v>
      </c>
      <c r="B210">
        <v>5</v>
      </c>
      <c r="C210" t="s">
        <v>50</v>
      </c>
      <c r="D210">
        <v>-33.903145560032399</v>
      </c>
      <c r="E210">
        <v>18.857879494163001</v>
      </c>
      <c r="F210">
        <v>4.3799999999999999E-2</v>
      </c>
      <c r="G210">
        <v>0.1096</v>
      </c>
      <c r="H210">
        <v>6.5750000000000003E-2</v>
      </c>
      <c r="I210">
        <v>5835.4279999999999</v>
      </c>
      <c r="J210">
        <v>7752.9690000000001</v>
      </c>
    </row>
    <row r="211" spans="1:10">
      <c r="A211">
        <v>44</v>
      </c>
      <c r="B211">
        <v>5</v>
      </c>
      <c r="C211" t="s">
        <v>50</v>
      </c>
      <c r="D211">
        <v>-33.901637260961699</v>
      </c>
      <c r="E211">
        <v>18.8507495907673</v>
      </c>
      <c r="F211">
        <v>4.3799999999999999E-2</v>
      </c>
      <c r="G211">
        <v>0.1096</v>
      </c>
      <c r="H211">
        <v>6.5750000000000003E-2</v>
      </c>
      <c r="I211">
        <v>5834.6310000000003</v>
      </c>
      <c r="J211">
        <v>7752.1710000000003</v>
      </c>
    </row>
    <row r="212" spans="1:10">
      <c r="A212">
        <v>45</v>
      </c>
      <c r="B212">
        <v>5</v>
      </c>
      <c r="C212" t="s">
        <v>50</v>
      </c>
      <c r="D212">
        <v>-33.901101453518599</v>
      </c>
      <c r="E212">
        <v>18.8494057791766</v>
      </c>
      <c r="F212">
        <v>4.3799999999999999E-2</v>
      </c>
      <c r="G212">
        <v>0.1096</v>
      </c>
      <c r="H212">
        <v>6.5750000000000003E-2</v>
      </c>
      <c r="I212">
        <v>5917.0309999999999</v>
      </c>
      <c r="J212">
        <v>7834.5720000000001</v>
      </c>
    </row>
    <row r="213" spans="1:10">
      <c r="A213">
        <v>46</v>
      </c>
      <c r="B213">
        <v>5</v>
      </c>
      <c r="C213" t="s">
        <v>50</v>
      </c>
      <c r="D213">
        <v>-33.903088887378999</v>
      </c>
      <c r="E213">
        <v>18.8537371319206</v>
      </c>
      <c r="F213">
        <v>4.3799999999999999E-2</v>
      </c>
      <c r="G213">
        <v>0.1096</v>
      </c>
      <c r="H213">
        <v>6.5750000000000003E-2</v>
      </c>
      <c r="I213">
        <v>5653.2</v>
      </c>
      <c r="J213">
        <v>7570.74</v>
      </c>
    </row>
    <row r="214" spans="1:10">
      <c r="A214">
        <v>47</v>
      </c>
      <c r="B214">
        <v>5</v>
      </c>
      <c r="C214" t="s">
        <v>50</v>
      </c>
      <c r="D214">
        <v>-33.899082051499697</v>
      </c>
      <c r="E214">
        <v>18.849563617369899</v>
      </c>
      <c r="F214">
        <v>4.3799999999999999E-2</v>
      </c>
      <c r="G214">
        <v>0.1096</v>
      </c>
      <c r="H214">
        <v>6.5750000000000003E-2</v>
      </c>
      <c r="I214">
        <v>6709.6170000000002</v>
      </c>
      <c r="J214">
        <v>8627.1579999999994</v>
      </c>
    </row>
    <row r="215" spans="1:10">
      <c r="A215">
        <v>48</v>
      </c>
      <c r="B215">
        <v>5</v>
      </c>
      <c r="C215" t="s">
        <v>50</v>
      </c>
      <c r="D215">
        <v>-33.901352554203399</v>
      </c>
      <c r="E215">
        <v>18.848938366650899</v>
      </c>
      <c r="F215">
        <v>4.3799999999999999E-2</v>
      </c>
      <c r="G215">
        <v>0.1096</v>
      </c>
      <c r="H215">
        <v>6.5750000000000003E-2</v>
      </c>
      <c r="I215">
        <v>5922.0969999999998</v>
      </c>
      <c r="J215">
        <v>7839.6379999999999</v>
      </c>
    </row>
    <row r="216" spans="1:10">
      <c r="A216">
        <v>49</v>
      </c>
      <c r="B216">
        <v>5</v>
      </c>
      <c r="C216" t="s">
        <v>50</v>
      </c>
      <c r="D216">
        <v>-33.898438876501103</v>
      </c>
      <c r="E216">
        <v>18.852550532528898</v>
      </c>
      <c r="F216">
        <v>4.3799999999999999E-2</v>
      </c>
      <c r="G216">
        <v>0.1096</v>
      </c>
      <c r="H216">
        <v>6.5750000000000003E-2</v>
      </c>
      <c r="I216">
        <v>6987.7129999999997</v>
      </c>
      <c r="J216">
        <v>8905.2530000000006</v>
      </c>
    </row>
    <row r="217" spans="1:10">
      <c r="A217">
        <v>50</v>
      </c>
      <c r="B217">
        <v>5</v>
      </c>
      <c r="C217" t="s">
        <v>50</v>
      </c>
      <c r="D217">
        <v>-33.899726665529002</v>
      </c>
      <c r="E217">
        <v>18.8546488257909</v>
      </c>
      <c r="F217">
        <v>4.3799999999999999E-2</v>
      </c>
      <c r="G217">
        <v>0.1096</v>
      </c>
      <c r="H217">
        <v>6.5750000000000003E-2</v>
      </c>
      <c r="I217">
        <v>6358</v>
      </c>
      <c r="J217">
        <v>8275.5400000000009</v>
      </c>
    </row>
    <row r="218" spans="1:10">
      <c r="A218">
        <v>51</v>
      </c>
      <c r="B218">
        <v>5</v>
      </c>
      <c r="C218" t="s">
        <v>50</v>
      </c>
      <c r="D218">
        <v>-33.897578438380101</v>
      </c>
      <c r="E218">
        <v>18.854710593196401</v>
      </c>
      <c r="F218">
        <v>4.3799999999999999E-2</v>
      </c>
      <c r="G218">
        <v>0.1096</v>
      </c>
      <c r="H218">
        <v>6.5750000000000003E-2</v>
      </c>
      <c r="I218">
        <v>6886.6360000000004</v>
      </c>
      <c r="J218">
        <v>8804.1769999999997</v>
      </c>
    </row>
    <row r="219" spans="1:10">
      <c r="A219">
        <v>52</v>
      </c>
      <c r="B219">
        <v>5</v>
      </c>
      <c r="C219" t="s">
        <v>50</v>
      </c>
      <c r="D219">
        <v>-33.899085467173201</v>
      </c>
      <c r="E219">
        <v>18.846440302254202</v>
      </c>
      <c r="F219">
        <v>4.3799999999999999E-2</v>
      </c>
      <c r="G219">
        <v>0.1096</v>
      </c>
      <c r="H219">
        <v>6.5750000000000003E-2</v>
      </c>
      <c r="I219">
        <v>6403.0410000000002</v>
      </c>
      <c r="J219">
        <v>8320.5820000000003</v>
      </c>
    </row>
    <row r="220" spans="1:10">
      <c r="A220">
        <v>53</v>
      </c>
      <c r="B220">
        <v>5</v>
      </c>
      <c r="C220" t="s">
        <v>50</v>
      </c>
      <c r="D220">
        <v>-33.898401700533498</v>
      </c>
      <c r="E220">
        <v>18.8480245129095</v>
      </c>
      <c r="F220">
        <v>4.3799999999999999E-2</v>
      </c>
      <c r="G220">
        <v>0.1096</v>
      </c>
      <c r="H220">
        <v>6.5750000000000003E-2</v>
      </c>
      <c r="I220">
        <v>6538.8990000000003</v>
      </c>
      <c r="J220">
        <v>8456.4390000000003</v>
      </c>
    </row>
    <row r="221" spans="1:10">
      <c r="A221">
        <v>54</v>
      </c>
      <c r="B221">
        <v>5</v>
      </c>
      <c r="C221" t="s">
        <v>50</v>
      </c>
      <c r="D221">
        <v>-33.900083843833002</v>
      </c>
      <c r="E221">
        <v>18.852642855209599</v>
      </c>
      <c r="F221">
        <v>4.3799999999999999E-2</v>
      </c>
      <c r="G221">
        <v>0.1096</v>
      </c>
      <c r="H221">
        <v>6.5750000000000003E-2</v>
      </c>
      <c r="I221">
        <v>7004.4279999999999</v>
      </c>
      <c r="J221">
        <v>8921.9680000000008</v>
      </c>
    </row>
    <row r="222" spans="1:10">
      <c r="A222">
        <v>55</v>
      </c>
      <c r="B222">
        <v>5</v>
      </c>
      <c r="C222" t="s">
        <v>50</v>
      </c>
      <c r="D222">
        <v>-33.902959185044502</v>
      </c>
      <c r="E222">
        <v>18.858141187452901</v>
      </c>
      <c r="F222">
        <v>4.3799999999999999E-2</v>
      </c>
      <c r="G222">
        <v>0.1096</v>
      </c>
      <c r="H222">
        <v>6.5750000000000003E-2</v>
      </c>
      <c r="I222">
        <v>5878.4830000000002</v>
      </c>
      <c r="J222">
        <v>7796.0240000000003</v>
      </c>
    </row>
    <row r="223" spans="1:10">
      <c r="A223">
        <v>56</v>
      </c>
      <c r="B223">
        <v>5</v>
      </c>
      <c r="C223" t="s">
        <v>50</v>
      </c>
      <c r="D223">
        <v>-33.903023394948903</v>
      </c>
      <c r="E223">
        <v>18.8467239802814</v>
      </c>
      <c r="F223">
        <v>4.3799999999999999E-2</v>
      </c>
      <c r="G223">
        <v>0.1096</v>
      </c>
      <c r="H223">
        <v>6.5750000000000003E-2</v>
      </c>
      <c r="I223">
        <v>5723.3180000000002</v>
      </c>
      <c r="J223">
        <v>7640.8590000000004</v>
      </c>
    </row>
    <row r="224" spans="1:10">
      <c r="A224">
        <v>57</v>
      </c>
      <c r="B224">
        <v>5</v>
      </c>
      <c r="C224" t="s">
        <v>50</v>
      </c>
      <c r="D224">
        <v>-33.897432367202697</v>
      </c>
      <c r="E224">
        <v>18.850473069727901</v>
      </c>
      <c r="F224">
        <v>4.3799999999999999E-2</v>
      </c>
      <c r="G224">
        <v>0.1096</v>
      </c>
      <c r="H224">
        <v>6.5750000000000003E-2</v>
      </c>
      <c r="I224">
        <v>6939.8360000000002</v>
      </c>
      <c r="J224">
        <v>8857.3770000000004</v>
      </c>
    </row>
    <row r="225" spans="1:10">
      <c r="A225">
        <v>58</v>
      </c>
      <c r="B225">
        <v>5</v>
      </c>
      <c r="C225" t="s">
        <v>50</v>
      </c>
      <c r="D225">
        <v>-33.898539184422503</v>
      </c>
      <c r="E225">
        <v>18.847329227782399</v>
      </c>
      <c r="F225">
        <v>4.3799999999999999E-2</v>
      </c>
      <c r="G225">
        <v>0.1096</v>
      </c>
      <c r="H225">
        <v>6.5750000000000003E-2</v>
      </c>
      <c r="I225">
        <v>6502.12</v>
      </c>
      <c r="J225">
        <v>8419.6610000000001</v>
      </c>
    </row>
    <row r="226" spans="1:10">
      <c r="A226">
        <v>59</v>
      </c>
      <c r="B226">
        <v>5</v>
      </c>
      <c r="C226" t="s">
        <v>50</v>
      </c>
      <c r="D226">
        <v>-33.9011575055656</v>
      </c>
      <c r="E226">
        <v>18.847421536454299</v>
      </c>
      <c r="F226">
        <v>4.3799999999999999E-2</v>
      </c>
      <c r="G226">
        <v>0.1096</v>
      </c>
      <c r="H226">
        <v>6.5750000000000003E-2</v>
      </c>
      <c r="I226">
        <v>6002.2020000000002</v>
      </c>
      <c r="J226">
        <v>7919.7430000000004</v>
      </c>
    </row>
    <row r="227" spans="1:10">
      <c r="A227">
        <v>60</v>
      </c>
      <c r="B227">
        <v>5</v>
      </c>
      <c r="C227" t="s">
        <v>50</v>
      </c>
      <c r="D227">
        <v>-33.8975840645858</v>
      </c>
      <c r="E227">
        <v>18.846412293152</v>
      </c>
      <c r="F227">
        <v>4.3799999999999999E-2</v>
      </c>
      <c r="G227">
        <v>0.1096</v>
      </c>
      <c r="H227">
        <v>6.5750000000000003E-2</v>
      </c>
      <c r="I227">
        <v>6607.5889999999999</v>
      </c>
      <c r="J227">
        <v>8525.1299999999992</v>
      </c>
    </row>
    <row r="228" spans="1:10">
      <c r="A228">
        <v>61</v>
      </c>
      <c r="B228">
        <v>5</v>
      </c>
      <c r="C228" t="s">
        <v>50</v>
      </c>
      <c r="D228">
        <v>-33.8976255588925</v>
      </c>
      <c r="E228">
        <v>18.8472471481514</v>
      </c>
      <c r="F228">
        <v>4.3799999999999999E-2</v>
      </c>
      <c r="G228">
        <v>0.1096</v>
      </c>
      <c r="H228">
        <v>6.5750000000000003E-2</v>
      </c>
      <c r="I228">
        <v>6599.183</v>
      </c>
      <c r="J228">
        <v>8516.7240000000002</v>
      </c>
    </row>
    <row r="229" spans="1:10">
      <c r="A229">
        <v>62</v>
      </c>
      <c r="B229">
        <v>5</v>
      </c>
      <c r="C229" t="s">
        <v>50</v>
      </c>
      <c r="D229">
        <v>-33.902200971592301</v>
      </c>
      <c r="E229">
        <v>18.856566359635501</v>
      </c>
      <c r="F229">
        <v>4.3799999999999999E-2</v>
      </c>
      <c r="G229">
        <v>0.1096</v>
      </c>
      <c r="H229">
        <v>6.5750000000000003E-2</v>
      </c>
      <c r="I229">
        <v>5654.3450000000003</v>
      </c>
      <c r="J229">
        <v>7571.8860000000004</v>
      </c>
    </row>
    <row r="230" spans="1:10">
      <c r="A230">
        <v>63</v>
      </c>
      <c r="B230">
        <v>5</v>
      </c>
      <c r="C230" t="s">
        <v>50</v>
      </c>
      <c r="D230">
        <v>-33.899029335788498</v>
      </c>
      <c r="E230">
        <v>18.8561634553941</v>
      </c>
      <c r="F230">
        <v>4.3799999999999999E-2</v>
      </c>
      <c r="G230">
        <v>0.1096</v>
      </c>
      <c r="H230">
        <v>6.5750000000000003E-2</v>
      </c>
      <c r="I230">
        <v>6299.2269999999999</v>
      </c>
      <c r="J230">
        <v>8216.7669999999998</v>
      </c>
    </row>
    <row r="231" spans="1:10">
      <c r="A231">
        <v>64</v>
      </c>
      <c r="B231">
        <v>5</v>
      </c>
      <c r="C231" t="s">
        <v>50</v>
      </c>
      <c r="D231">
        <v>-33.900331092205903</v>
      </c>
      <c r="E231">
        <v>18.8554222185962</v>
      </c>
      <c r="F231">
        <v>4.3799999999999999E-2</v>
      </c>
      <c r="G231">
        <v>0.1096</v>
      </c>
      <c r="H231">
        <v>6.5750000000000003E-2</v>
      </c>
      <c r="I231">
        <v>6274.4269999999997</v>
      </c>
      <c r="J231">
        <v>8191.9669999999996</v>
      </c>
    </row>
    <row r="232" spans="1:10">
      <c r="A232">
        <v>65</v>
      </c>
      <c r="B232">
        <v>5</v>
      </c>
      <c r="C232" t="s">
        <v>50</v>
      </c>
      <c r="D232">
        <v>-33.901232526928403</v>
      </c>
      <c r="E232">
        <v>18.8571767523216</v>
      </c>
      <c r="F232">
        <v>4.3799999999999999E-2</v>
      </c>
      <c r="G232">
        <v>0.1096</v>
      </c>
      <c r="H232">
        <v>6.5750000000000003E-2</v>
      </c>
      <c r="I232">
        <v>6415.2640000000001</v>
      </c>
      <c r="J232">
        <v>8332.8050000000003</v>
      </c>
    </row>
    <row r="233" spans="1:10">
      <c r="A233">
        <v>66</v>
      </c>
      <c r="B233">
        <v>5</v>
      </c>
      <c r="C233" t="s">
        <v>50</v>
      </c>
      <c r="D233">
        <v>-33.903105298355598</v>
      </c>
      <c r="E233">
        <v>18.848952444774799</v>
      </c>
      <c r="F233">
        <v>4.3799999999999999E-2</v>
      </c>
      <c r="G233">
        <v>0.1096</v>
      </c>
      <c r="H233">
        <v>6.5750000000000003E-2</v>
      </c>
      <c r="I233">
        <v>5801.759</v>
      </c>
      <c r="J233">
        <v>7719.3</v>
      </c>
    </row>
    <row r="234" spans="1:10">
      <c r="A234">
        <v>67</v>
      </c>
      <c r="B234">
        <v>5</v>
      </c>
      <c r="C234" t="s">
        <v>50</v>
      </c>
      <c r="D234">
        <v>-33.901706767820002</v>
      </c>
      <c r="E234">
        <v>18.857217931427101</v>
      </c>
      <c r="F234">
        <v>4.3799999999999999E-2</v>
      </c>
      <c r="G234">
        <v>0.1096</v>
      </c>
      <c r="H234">
        <v>6.5750000000000003E-2</v>
      </c>
      <c r="I234">
        <v>5611.8469999999998</v>
      </c>
      <c r="J234">
        <v>7529.3869999999997</v>
      </c>
    </row>
    <row r="235" spans="1:10">
      <c r="A235">
        <v>68</v>
      </c>
      <c r="B235">
        <v>5</v>
      </c>
      <c r="C235" t="s">
        <v>50</v>
      </c>
      <c r="D235">
        <v>-33.902401750326703</v>
      </c>
      <c r="E235">
        <v>18.850439656111</v>
      </c>
      <c r="F235">
        <v>4.3799999999999999E-2</v>
      </c>
      <c r="G235">
        <v>0.1096</v>
      </c>
      <c r="H235">
        <v>6.5750000000000003E-2</v>
      </c>
      <c r="I235">
        <v>5779.1329999999998</v>
      </c>
      <c r="J235">
        <v>7696.674</v>
      </c>
    </row>
    <row r="236" spans="1:10">
      <c r="A236">
        <v>69</v>
      </c>
      <c r="B236">
        <v>5</v>
      </c>
      <c r="C236" t="s">
        <v>50</v>
      </c>
      <c r="D236">
        <v>-33.898522380797097</v>
      </c>
      <c r="E236">
        <v>18.8549813418255</v>
      </c>
      <c r="F236">
        <v>4.3799999999999999E-2</v>
      </c>
      <c r="G236">
        <v>0.1096</v>
      </c>
      <c r="H236">
        <v>6.5750000000000003E-2</v>
      </c>
      <c r="I236">
        <v>6358</v>
      </c>
      <c r="J236">
        <v>8275.5400000000009</v>
      </c>
    </row>
    <row r="237" spans="1:10">
      <c r="A237">
        <v>70</v>
      </c>
      <c r="B237">
        <v>5</v>
      </c>
      <c r="C237" t="s">
        <v>50</v>
      </c>
      <c r="D237">
        <v>-33.903040064911202</v>
      </c>
      <c r="E237">
        <v>18.852105632158398</v>
      </c>
      <c r="F237">
        <v>4.3799999999999999E-2</v>
      </c>
      <c r="G237">
        <v>0.1096</v>
      </c>
      <c r="H237">
        <v>6.5750000000000003E-2</v>
      </c>
      <c r="I237">
        <v>5987.9660000000003</v>
      </c>
      <c r="J237">
        <v>7905.5060000000003</v>
      </c>
    </row>
    <row r="238" spans="1:10">
      <c r="A238">
        <v>71</v>
      </c>
      <c r="B238">
        <v>5</v>
      </c>
      <c r="C238" t="s">
        <v>50</v>
      </c>
      <c r="D238">
        <v>-33.900693944249902</v>
      </c>
      <c r="E238">
        <v>18.852124300617199</v>
      </c>
      <c r="F238">
        <v>4.3799999999999999E-2</v>
      </c>
      <c r="G238">
        <v>0.1096</v>
      </c>
      <c r="H238">
        <v>6.5750000000000003E-2</v>
      </c>
      <c r="I238">
        <v>7004.4279999999999</v>
      </c>
      <c r="J238">
        <v>8921.9680000000008</v>
      </c>
    </row>
    <row r="239" spans="1:10">
      <c r="A239">
        <v>0</v>
      </c>
      <c r="B239">
        <v>6</v>
      </c>
      <c r="C239" t="s">
        <v>52</v>
      </c>
      <c r="D239">
        <v>-33.948088259943503</v>
      </c>
      <c r="E239">
        <v>18.8489201534899</v>
      </c>
      <c r="F239">
        <v>4.3799999999999999E-2</v>
      </c>
      <c r="G239">
        <v>0.1096</v>
      </c>
      <c r="H239">
        <v>6.5750000000000003E-2</v>
      </c>
      <c r="I239">
        <v>3448.4319999999998</v>
      </c>
      <c r="J239">
        <v>4291.326</v>
      </c>
    </row>
    <row r="240" spans="1:10">
      <c r="A240">
        <v>1</v>
      </c>
      <c r="B240">
        <v>6</v>
      </c>
      <c r="C240" t="s">
        <v>52</v>
      </c>
      <c r="D240">
        <v>-33.946303369258402</v>
      </c>
      <c r="E240">
        <v>18.8438549370027</v>
      </c>
      <c r="F240">
        <v>4.3799999999999999E-2</v>
      </c>
      <c r="G240">
        <v>0.1096</v>
      </c>
      <c r="H240">
        <v>6.5750000000000003E-2</v>
      </c>
      <c r="I240">
        <v>3586.6750000000002</v>
      </c>
      <c r="J240">
        <v>4429.57</v>
      </c>
    </row>
    <row r="241" spans="1:10">
      <c r="A241">
        <v>2</v>
      </c>
      <c r="B241">
        <v>6</v>
      </c>
      <c r="C241" t="s">
        <v>52</v>
      </c>
      <c r="D241">
        <v>-33.9519151528226</v>
      </c>
      <c r="E241">
        <v>18.8488616290838</v>
      </c>
      <c r="F241">
        <v>4.3799999999999999E-2</v>
      </c>
      <c r="G241">
        <v>0.1096</v>
      </c>
      <c r="H241">
        <v>6.5750000000000003E-2</v>
      </c>
      <c r="I241">
        <v>3934.3110000000001</v>
      </c>
      <c r="J241">
        <v>4777.2049999999999</v>
      </c>
    </row>
    <row r="242" spans="1:10">
      <c r="A242">
        <v>3</v>
      </c>
      <c r="B242">
        <v>6</v>
      </c>
      <c r="C242" t="s">
        <v>52</v>
      </c>
      <c r="D242">
        <v>-33.949187247538802</v>
      </c>
      <c r="E242">
        <v>18.8443179675102</v>
      </c>
      <c r="F242">
        <v>4.3799999999999999E-2</v>
      </c>
      <c r="G242">
        <v>0.1096</v>
      </c>
      <c r="H242">
        <v>6.5750000000000003E-2</v>
      </c>
      <c r="I242">
        <v>4085.3119999999999</v>
      </c>
      <c r="J242">
        <v>4928.2070000000003</v>
      </c>
    </row>
    <row r="243" spans="1:10">
      <c r="A243">
        <v>4</v>
      </c>
      <c r="B243">
        <v>6</v>
      </c>
      <c r="C243" t="s">
        <v>52</v>
      </c>
      <c r="D243">
        <v>-33.942944369911601</v>
      </c>
      <c r="E243">
        <v>18.841794489350299</v>
      </c>
      <c r="F243">
        <v>4.3799999999999999E-2</v>
      </c>
      <c r="G243">
        <v>0.1096</v>
      </c>
      <c r="H243">
        <v>6.5750000000000003E-2</v>
      </c>
      <c r="I243">
        <v>4036.1840000000002</v>
      </c>
      <c r="J243">
        <v>2185.2220000000002</v>
      </c>
    </row>
    <row r="244" spans="1:10">
      <c r="A244">
        <v>5</v>
      </c>
      <c r="B244">
        <v>6</v>
      </c>
      <c r="C244" t="s">
        <v>52</v>
      </c>
      <c r="D244">
        <v>-33.9526487883888</v>
      </c>
      <c r="E244">
        <v>18.850439262126201</v>
      </c>
      <c r="F244">
        <v>4.3799999999999999E-2</v>
      </c>
      <c r="G244">
        <v>0.1096</v>
      </c>
      <c r="H244">
        <v>6.5750000000000003E-2</v>
      </c>
      <c r="I244">
        <v>3941.4070000000002</v>
      </c>
      <c r="J244">
        <v>4784.3019999999997</v>
      </c>
    </row>
    <row r="245" spans="1:10">
      <c r="A245">
        <v>6</v>
      </c>
      <c r="B245">
        <v>6</v>
      </c>
      <c r="C245" t="s">
        <v>52</v>
      </c>
      <c r="D245">
        <v>-33.949437666997298</v>
      </c>
      <c r="E245">
        <v>18.847777111609801</v>
      </c>
      <c r="F245">
        <v>4.3799999999999999E-2</v>
      </c>
      <c r="G245">
        <v>0.1096</v>
      </c>
      <c r="H245">
        <v>6.5750000000000003E-2</v>
      </c>
      <c r="I245">
        <v>3896.567</v>
      </c>
      <c r="J245">
        <v>4739.4620000000004</v>
      </c>
    </row>
    <row r="246" spans="1:10">
      <c r="A246">
        <v>7</v>
      </c>
      <c r="B246">
        <v>6</v>
      </c>
      <c r="C246" t="s">
        <v>52</v>
      </c>
      <c r="D246">
        <v>-33.947805883588302</v>
      </c>
      <c r="E246">
        <v>18.855316653948599</v>
      </c>
      <c r="F246">
        <v>4.3799999999999999E-2</v>
      </c>
      <c r="G246">
        <v>0.1096</v>
      </c>
      <c r="H246">
        <v>6.5750000000000003E-2</v>
      </c>
      <c r="I246">
        <v>3039.4079999999999</v>
      </c>
      <c r="J246">
        <v>4146.8159999999998</v>
      </c>
    </row>
    <row r="247" spans="1:10">
      <c r="A247">
        <v>8</v>
      </c>
      <c r="B247">
        <v>6</v>
      </c>
      <c r="C247" t="s">
        <v>52</v>
      </c>
      <c r="D247">
        <v>-33.9477614697376</v>
      </c>
      <c r="E247">
        <v>18.848172667169401</v>
      </c>
      <c r="F247">
        <v>4.3799999999999999E-2</v>
      </c>
      <c r="G247">
        <v>0.1096</v>
      </c>
      <c r="H247">
        <v>6.5750000000000003E-2</v>
      </c>
      <c r="I247">
        <v>3479.9929999999999</v>
      </c>
      <c r="J247">
        <v>4322.8879999999999</v>
      </c>
    </row>
    <row r="248" spans="1:10">
      <c r="A248">
        <v>9</v>
      </c>
      <c r="B248">
        <v>6</v>
      </c>
      <c r="C248" t="s">
        <v>52</v>
      </c>
      <c r="D248">
        <v>-33.9451193030947</v>
      </c>
      <c r="E248">
        <v>18.854801947807299</v>
      </c>
      <c r="F248">
        <v>4.3799999999999999E-2</v>
      </c>
      <c r="G248">
        <v>0.1096</v>
      </c>
      <c r="H248">
        <v>6.5750000000000003E-2</v>
      </c>
      <c r="I248">
        <v>3220.779</v>
      </c>
      <c r="J248">
        <v>4063.6729999999998</v>
      </c>
    </row>
    <row r="249" spans="1:10">
      <c r="A249">
        <v>10</v>
      </c>
      <c r="B249">
        <v>6</v>
      </c>
      <c r="C249" t="s">
        <v>52</v>
      </c>
      <c r="D249">
        <v>-33.947241100381603</v>
      </c>
      <c r="E249">
        <v>18.849073772946198</v>
      </c>
      <c r="F249">
        <v>4.3799999999999999E-2</v>
      </c>
      <c r="G249">
        <v>0.1096</v>
      </c>
      <c r="H249">
        <v>6.5750000000000003E-2</v>
      </c>
      <c r="I249">
        <v>3307.665</v>
      </c>
      <c r="J249">
        <v>4150.5600000000004</v>
      </c>
    </row>
    <row r="250" spans="1:10">
      <c r="A250">
        <v>11</v>
      </c>
      <c r="B250">
        <v>6</v>
      </c>
      <c r="C250" t="s">
        <v>52</v>
      </c>
      <c r="D250">
        <v>-33.945350118543999</v>
      </c>
      <c r="E250">
        <v>18.844135450032802</v>
      </c>
      <c r="F250">
        <v>4.3799999999999999E-2</v>
      </c>
      <c r="G250">
        <v>0.1096</v>
      </c>
      <c r="H250">
        <v>6.5750000000000003E-2</v>
      </c>
      <c r="I250">
        <v>3636.4810000000002</v>
      </c>
      <c r="J250">
        <v>4479.3760000000002</v>
      </c>
    </row>
    <row r="251" spans="1:10">
      <c r="A251">
        <v>12</v>
      </c>
      <c r="B251">
        <v>6</v>
      </c>
      <c r="C251" t="s">
        <v>52</v>
      </c>
      <c r="D251">
        <v>-33.951323267891503</v>
      </c>
      <c r="E251">
        <v>18.8550931604297</v>
      </c>
      <c r="F251">
        <v>4.3799999999999999E-2</v>
      </c>
      <c r="G251">
        <v>0.1096</v>
      </c>
      <c r="H251">
        <v>6.5750000000000003E-2</v>
      </c>
      <c r="I251">
        <v>3510.433</v>
      </c>
      <c r="J251">
        <v>4353.3270000000002</v>
      </c>
    </row>
    <row r="252" spans="1:10">
      <c r="A252">
        <v>13</v>
      </c>
      <c r="B252">
        <v>6</v>
      </c>
      <c r="C252" t="s">
        <v>52</v>
      </c>
      <c r="D252">
        <v>-33.952103569347798</v>
      </c>
      <c r="E252">
        <v>18.850228413822698</v>
      </c>
      <c r="F252">
        <v>4.3799999999999999E-2</v>
      </c>
      <c r="G252">
        <v>0.1096</v>
      </c>
      <c r="H252">
        <v>6.5750000000000003E-2</v>
      </c>
      <c r="I252">
        <v>3884.895</v>
      </c>
      <c r="J252">
        <v>4727.79</v>
      </c>
    </row>
    <row r="253" spans="1:10">
      <c r="A253">
        <v>14</v>
      </c>
      <c r="B253">
        <v>6</v>
      </c>
      <c r="C253" t="s">
        <v>52</v>
      </c>
      <c r="D253">
        <v>-33.951538061508103</v>
      </c>
      <c r="E253">
        <v>18.853646909142299</v>
      </c>
      <c r="F253">
        <v>4.3799999999999999E-2</v>
      </c>
      <c r="G253">
        <v>0.1096</v>
      </c>
      <c r="H253">
        <v>6.5750000000000003E-2</v>
      </c>
      <c r="I253">
        <v>3727.0309999999999</v>
      </c>
      <c r="J253">
        <v>4569.9260000000004</v>
      </c>
    </row>
    <row r="254" spans="1:10">
      <c r="A254">
        <v>15</v>
      </c>
      <c r="B254">
        <v>6</v>
      </c>
      <c r="C254" t="s">
        <v>52</v>
      </c>
      <c r="D254">
        <v>-33.947738370226297</v>
      </c>
      <c r="E254">
        <v>18.855149449695801</v>
      </c>
      <c r="F254">
        <v>4.3799999999999999E-2</v>
      </c>
      <c r="G254">
        <v>0.1096</v>
      </c>
      <c r="H254">
        <v>6.5750000000000003E-2</v>
      </c>
      <c r="I254">
        <v>3052.12</v>
      </c>
      <c r="J254">
        <v>4134.1030000000001</v>
      </c>
    </row>
    <row r="255" spans="1:10">
      <c r="A255">
        <v>16</v>
      </c>
      <c r="B255">
        <v>6</v>
      </c>
      <c r="C255" t="s">
        <v>52</v>
      </c>
      <c r="D255">
        <v>-33.943775193007497</v>
      </c>
      <c r="E255">
        <v>18.842995796212399</v>
      </c>
      <c r="F255">
        <v>4.3799999999999999E-2</v>
      </c>
      <c r="G255">
        <v>0.1096</v>
      </c>
      <c r="H255">
        <v>6.5750000000000003E-2</v>
      </c>
      <c r="I255">
        <v>3680.2939999999999</v>
      </c>
      <c r="J255">
        <v>4523.1890000000003</v>
      </c>
    </row>
    <row r="256" spans="1:10">
      <c r="A256">
        <v>17</v>
      </c>
      <c r="B256">
        <v>6</v>
      </c>
      <c r="C256" t="s">
        <v>52</v>
      </c>
      <c r="D256">
        <v>-33.952901946954697</v>
      </c>
      <c r="E256">
        <v>18.849941945545599</v>
      </c>
      <c r="F256">
        <v>4.3799999999999999E-2</v>
      </c>
      <c r="G256">
        <v>0.1096</v>
      </c>
      <c r="H256">
        <v>6.5750000000000003E-2</v>
      </c>
      <c r="I256">
        <v>4007.1880000000001</v>
      </c>
      <c r="J256">
        <v>4850.0829999999996</v>
      </c>
    </row>
    <row r="257" spans="1:10">
      <c r="A257">
        <v>18</v>
      </c>
      <c r="B257">
        <v>6</v>
      </c>
      <c r="C257" t="s">
        <v>52</v>
      </c>
      <c r="D257">
        <v>-33.953238726093197</v>
      </c>
      <c r="E257">
        <v>18.842297298624299</v>
      </c>
      <c r="F257">
        <v>4.3799999999999999E-2</v>
      </c>
      <c r="G257">
        <v>0.1096</v>
      </c>
      <c r="H257">
        <v>6.5750000000000003E-2</v>
      </c>
      <c r="I257">
        <v>4005.4380000000001</v>
      </c>
      <c r="J257">
        <v>4848.3320000000003</v>
      </c>
    </row>
    <row r="258" spans="1:10">
      <c r="A258">
        <v>19</v>
      </c>
      <c r="B258">
        <v>6</v>
      </c>
      <c r="C258" t="s">
        <v>52</v>
      </c>
      <c r="D258">
        <v>-33.9465475975678</v>
      </c>
      <c r="E258">
        <v>18.853214543999499</v>
      </c>
      <c r="F258">
        <v>4.3799999999999999E-2</v>
      </c>
      <c r="G258">
        <v>0.1096</v>
      </c>
      <c r="H258">
        <v>6.5750000000000003E-2</v>
      </c>
      <c r="I258">
        <v>2951.7689999999998</v>
      </c>
      <c r="J258">
        <v>3794.6640000000002</v>
      </c>
    </row>
    <row r="259" spans="1:10">
      <c r="A259">
        <v>20</v>
      </c>
      <c r="B259">
        <v>6</v>
      </c>
      <c r="C259" t="s">
        <v>52</v>
      </c>
      <c r="D259">
        <v>-33.950478038829999</v>
      </c>
      <c r="E259">
        <v>18.853591806788099</v>
      </c>
      <c r="F259">
        <v>4.3799999999999999E-2</v>
      </c>
      <c r="G259">
        <v>0.1096</v>
      </c>
      <c r="H259">
        <v>6.5750000000000003E-2</v>
      </c>
      <c r="I259">
        <v>3525.69</v>
      </c>
      <c r="J259">
        <v>4368.585</v>
      </c>
    </row>
    <row r="260" spans="1:10">
      <c r="A260">
        <v>21</v>
      </c>
      <c r="B260">
        <v>6</v>
      </c>
      <c r="C260" t="s">
        <v>52</v>
      </c>
      <c r="D260">
        <v>-33.9494230649534</v>
      </c>
      <c r="E260">
        <v>18.845073724845101</v>
      </c>
      <c r="F260">
        <v>4.3799999999999999E-2</v>
      </c>
      <c r="G260">
        <v>0.1096</v>
      </c>
      <c r="H260">
        <v>6.5750000000000003E-2</v>
      </c>
      <c r="I260">
        <v>4144.7169999999996</v>
      </c>
      <c r="J260">
        <v>4987.6120000000001</v>
      </c>
    </row>
    <row r="261" spans="1:10">
      <c r="A261">
        <v>22</v>
      </c>
      <c r="B261">
        <v>6</v>
      </c>
      <c r="C261" t="s">
        <v>52</v>
      </c>
      <c r="D261">
        <v>-33.953608258595999</v>
      </c>
      <c r="E261">
        <v>18.847697587776899</v>
      </c>
      <c r="F261">
        <v>4.3799999999999999E-2</v>
      </c>
      <c r="G261">
        <v>0.1096</v>
      </c>
      <c r="H261">
        <v>6.5750000000000003E-2</v>
      </c>
      <c r="I261">
        <v>3961.9830000000002</v>
      </c>
      <c r="J261">
        <v>4804.8779999999997</v>
      </c>
    </row>
    <row r="262" spans="1:10">
      <c r="A262">
        <v>23</v>
      </c>
      <c r="B262">
        <v>6</v>
      </c>
      <c r="C262" t="s">
        <v>52</v>
      </c>
      <c r="D262">
        <v>-33.953371520428099</v>
      </c>
      <c r="E262">
        <v>18.8520065371915</v>
      </c>
      <c r="F262">
        <v>4.3799999999999999E-2</v>
      </c>
      <c r="G262">
        <v>0.1096</v>
      </c>
      <c r="H262">
        <v>6.5750000000000003E-2</v>
      </c>
      <c r="I262">
        <v>4098.0609999999997</v>
      </c>
      <c r="J262">
        <v>4940.9560000000001</v>
      </c>
    </row>
    <row r="263" spans="1:10">
      <c r="A263">
        <v>24</v>
      </c>
      <c r="B263">
        <v>6</v>
      </c>
      <c r="C263" t="s">
        <v>52</v>
      </c>
      <c r="D263">
        <v>-33.953378913487597</v>
      </c>
      <c r="E263">
        <v>18.849508049215899</v>
      </c>
      <c r="F263">
        <v>4.3799999999999999E-2</v>
      </c>
      <c r="G263">
        <v>0.1096</v>
      </c>
      <c r="H263">
        <v>6.5750000000000003E-2</v>
      </c>
      <c r="I263">
        <v>4016.672</v>
      </c>
      <c r="J263">
        <v>4859.567</v>
      </c>
    </row>
    <row r="264" spans="1:10">
      <c r="A264">
        <v>25</v>
      </c>
      <c r="B264">
        <v>6</v>
      </c>
      <c r="C264" t="s">
        <v>52</v>
      </c>
      <c r="D264">
        <v>-33.942725442442097</v>
      </c>
      <c r="E264">
        <v>18.844724531746198</v>
      </c>
      <c r="F264">
        <v>4.3799999999999999E-2</v>
      </c>
      <c r="G264">
        <v>0.1096</v>
      </c>
      <c r="H264">
        <v>6.5750000000000003E-2</v>
      </c>
      <c r="I264">
        <v>4182.308</v>
      </c>
      <c r="J264">
        <v>2345.2159999999999</v>
      </c>
    </row>
    <row r="265" spans="1:10">
      <c r="A265">
        <v>26</v>
      </c>
      <c r="B265">
        <v>6</v>
      </c>
      <c r="C265" t="s">
        <v>52</v>
      </c>
      <c r="D265">
        <v>-33.949903040874602</v>
      </c>
      <c r="E265">
        <v>18.849803848571401</v>
      </c>
      <c r="F265">
        <v>4.3799999999999999E-2</v>
      </c>
      <c r="G265">
        <v>0.1096</v>
      </c>
      <c r="H265">
        <v>6.5750000000000003E-2</v>
      </c>
      <c r="I265">
        <v>3659.9690000000001</v>
      </c>
      <c r="J265">
        <v>4502.8630000000003</v>
      </c>
    </row>
    <row r="266" spans="1:10">
      <c r="A266">
        <v>27</v>
      </c>
      <c r="B266">
        <v>6</v>
      </c>
      <c r="C266" t="s">
        <v>52</v>
      </c>
      <c r="D266">
        <v>-33.94847539085</v>
      </c>
      <c r="E266">
        <v>18.846450934624901</v>
      </c>
      <c r="F266">
        <v>4.3799999999999999E-2</v>
      </c>
      <c r="G266">
        <v>0.1096</v>
      </c>
      <c r="H266">
        <v>6.5750000000000003E-2</v>
      </c>
      <c r="I266">
        <v>3661.585</v>
      </c>
      <c r="J266">
        <v>4504.4799999999996</v>
      </c>
    </row>
    <row r="267" spans="1:10">
      <c r="A267">
        <v>28</v>
      </c>
      <c r="B267">
        <v>6</v>
      </c>
      <c r="C267" t="s">
        <v>52</v>
      </c>
      <c r="D267">
        <v>-33.945638496006602</v>
      </c>
      <c r="E267">
        <v>18.8513273982987</v>
      </c>
      <c r="F267">
        <v>4.3799999999999999E-2</v>
      </c>
      <c r="G267">
        <v>0.1096</v>
      </c>
      <c r="H267">
        <v>6.5750000000000003E-2</v>
      </c>
      <c r="I267">
        <v>2966.7179999999998</v>
      </c>
      <c r="J267">
        <v>3809.6120000000001</v>
      </c>
    </row>
    <row r="268" spans="1:10">
      <c r="A268">
        <v>29</v>
      </c>
      <c r="B268">
        <v>6</v>
      </c>
      <c r="C268" t="s">
        <v>52</v>
      </c>
      <c r="D268">
        <v>-33.946725161741597</v>
      </c>
      <c r="E268">
        <v>18.850320116957199</v>
      </c>
      <c r="F268">
        <v>4.3799999999999999E-2</v>
      </c>
      <c r="G268">
        <v>0.1096</v>
      </c>
      <c r="H268">
        <v>6.5750000000000003E-2</v>
      </c>
      <c r="I268">
        <v>3187.2150000000001</v>
      </c>
      <c r="J268">
        <v>4030.11</v>
      </c>
    </row>
    <row r="269" spans="1:10">
      <c r="A269">
        <v>30</v>
      </c>
      <c r="B269">
        <v>6</v>
      </c>
      <c r="C269" t="s">
        <v>52</v>
      </c>
      <c r="D269">
        <v>-33.950296703904201</v>
      </c>
      <c r="E269">
        <v>18.853650306875899</v>
      </c>
      <c r="F269">
        <v>4.3799999999999999E-2</v>
      </c>
      <c r="G269">
        <v>0.1096</v>
      </c>
      <c r="H269">
        <v>6.5750000000000003E-2</v>
      </c>
      <c r="I269">
        <v>3517.3150000000001</v>
      </c>
      <c r="J269">
        <v>4360.21</v>
      </c>
    </row>
    <row r="270" spans="1:10">
      <c r="A270">
        <v>31</v>
      </c>
      <c r="B270">
        <v>6</v>
      </c>
      <c r="C270" t="s">
        <v>52</v>
      </c>
      <c r="D270">
        <v>-33.9516803201697</v>
      </c>
      <c r="E270">
        <v>18.851877400548201</v>
      </c>
      <c r="F270">
        <v>4.3799999999999999E-2</v>
      </c>
      <c r="G270">
        <v>0.1096</v>
      </c>
      <c r="H270">
        <v>6.5750000000000003E-2</v>
      </c>
      <c r="I270">
        <v>3866.5909999999999</v>
      </c>
      <c r="J270">
        <v>4709.4859999999999</v>
      </c>
    </row>
    <row r="271" spans="1:10">
      <c r="A271">
        <v>32</v>
      </c>
      <c r="B271">
        <v>6</v>
      </c>
      <c r="C271" t="s">
        <v>52</v>
      </c>
      <c r="D271">
        <v>-33.949387594524701</v>
      </c>
      <c r="E271">
        <v>18.852327311743601</v>
      </c>
      <c r="F271">
        <v>4.3799999999999999E-2</v>
      </c>
      <c r="G271">
        <v>0.1096</v>
      </c>
      <c r="H271">
        <v>6.5750000000000003E-2</v>
      </c>
      <c r="I271">
        <v>3537.7950000000001</v>
      </c>
      <c r="J271">
        <v>4380.6890000000003</v>
      </c>
    </row>
    <row r="272" spans="1:10">
      <c r="A272">
        <v>33</v>
      </c>
      <c r="B272">
        <v>6</v>
      </c>
      <c r="C272" t="s">
        <v>52</v>
      </c>
      <c r="D272">
        <v>-33.944554599055103</v>
      </c>
      <c r="E272">
        <v>18.8416782489338</v>
      </c>
      <c r="F272">
        <v>4.3799999999999999E-2</v>
      </c>
      <c r="G272">
        <v>0.1096</v>
      </c>
      <c r="H272">
        <v>6.5750000000000003E-2</v>
      </c>
      <c r="I272">
        <v>3989.6260000000002</v>
      </c>
      <c r="J272">
        <v>2138.665</v>
      </c>
    </row>
    <row r="273" spans="1:12">
      <c r="A273">
        <v>34</v>
      </c>
      <c r="B273">
        <v>6</v>
      </c>
      <c r="C273" t="s">
        <v>52</v>
      </c>
      <c r="D273">
        <v>-33.948784964716502</v>
      </c>
      <c r="E273">
        <v>18.846893242602601</v>
      </c>
      <c r="F273">
        <v>4.3799999999999999E-2</v>
      </c>
      <c r="G273">
        <v>0.1096</v>
      </c>
      <c r="H273">
        <v>6.5750000000000003E-2</v>
      </c>
      <c r="I273">
        <v>3706.2460000000001</v>
      </c>
      <c r="J273">
        <v>4549.1409999999996</v>
      </c>
    </row>
    <row r="274" spans="1:12">
      <c r="A274">
        <v>35</v>
      </c>
      <c r="B274">
        <v>6</v>
      </c>
      <c r="C274" t="s">
        <v>52</v>
      </c>
      <c r="D274">
        <v>-33.944534160761897</v>
      </c>
      <c r="E274">
        <v>18.845796891533102</v>
      </c>
      <c r="F274">
        <v>4.3799999999999999E-2</v>
      </c>
      <c r="G274">
        <v>0.1096</v>
      </c>
      <c r="H274">
        <v>6.5750000000000003E-2</v>
      </c>
      <c r="I274">
        <v>3524.8589999999999</v>
      </c>
      <c r="J274">
        <v>4367.7539999999999</v>
      </c>
      <c r="L274">
        <f ca="1">RANDBETWEEN(0,73)</f>
        <v>15</v>
      </c>
    </row>
    <row r="275" spans="1:12">
      <c r="A275">
        <v>36</v>
      </c>
      <c r="B275">
        <v>6</v>
      </c>
      <c r="C275" t="s">
        <v>52</v>
      </c>
      <c r="D275">
        <v>-33.952506010617</v>
      </c>
      <c r="E275">
        <v>18.84170256721</v>
      </c>
      <c r="F275">
        <v>4.3799999999999999E-2</v>
      </c>
      <c r="G275">
        <v>0.1096</v>
      </c>
      <c r="H275">
        <v>6.5750000000000003E-2</v>
      </c>
      <c r="I275">
        <v>4005.4380000000001</v>
      </c>
      <c r="J275">
        <v>4848.3320000000003</v>
      </c>
    </row>
    <row r="276" spans="1:12">
      <c r="A276">
        <v>37</v>
      </c>
      <c r="B276">
        <v>6</v>
      </c>
      <c r="C276" t="s">
        <v>52</v>
      </c>
      <c r="D276">
        <v>-33.945097208213198</v>
      </c>
      <c r="E276">
        <v>18.852205428034001</v>
      </c>
      <c r="F276">
        <v>4.3799999999999999E-2</v>
      </c>
      <c r="G276">
        <v>0.1096</v>
      </c>
      <c r="H276">
        <v>6.5750000000000003E-2</v>
      </c>
      <c r="I276">
        <v>2791.1350000000002</v>
      </c>
      <c r="J276">
        <v>3634.03</v>
      </c>
    </row>
    <row r="277" spans="1:12">
      <c r="A277">
        <v>38</v>
      </c>
      <c r="B277">
        <v>6</v>
      </c>
      <c r="C277" t="s">
        <v>52</v>
      </c>
      <c r="D277">
        <v>-33.941982267713499</v>
      </c>
      <c r="E277">
        <v>18.855282064103399</v>
      </c>
      <c r="F277">
        <v>4.3799999999999999E-2</v>
      </c>
      <c r="G277">
        <v>0.1096</v>
      </c>
      <c r="H277">
        <v>6.5750000000000003E-2</v>
      </c>
      <c r="I277">
        <v>2365.7579999999998</v>
      </c>
      <c r="J277">
        <v>4648.5860000000002</v>
      </c>
    </row>
    <row r="278" spans="1:12">
      <c r="A278">
        <v>39</v>
      </c>
      <c r="B278">
        <v>6</v>
      </c>
      <c r="C278" t="s">
        <v>52</v>
      </c>
      <c r="D278">
        <v>-33.952517943263103</v>
      </c>
      <c r="E278">
        <v>18.844555457255701</v>
      </c>
      <c r="F278">
        <v>4.3799999999999999E-2</v>
      </c>
      <c r="G278">
        <v>0.1096</v>
      </c>
      <c r="H278">
        <v>6.5750000000000003E-2</v>
      </c>
      <c r="I278">
        <v>3851.797</v>
      </c>
      <c r="J278">
        <v>4694.6909999999998</v>
      </c>
    </row>
    <row r="279" spans="1:12">
      <c r="A279">
        <v>40</v>
      </c>
      <c r="B279">
        <v>6</v>
      </c>
      <c r="C279" t="s">
        <v>52</v>
      </c>
      <c r="D279">
        <v>-33.9471527085147</v>
      </c>
      <c r="E279">
        <v>18.844778170093701</v>
      </c>
      <c r="F279">
        <v>4.3799999999999999E-2</v>
      </c>
      <c r="G279">
        <v>0.1096</v>
      </c>
      <c r="H279">
        <v>6.5750000000000003E-2</v>
      </c>
      <c r="I279">
        <v>4190.2179999999998</v>
      </c>
      <c r="J279">
        <v>5033.1130000000003</v>
      </c>
    </row>
    <row r="280" spans="1:12">
      <c r="A280">
        <v>41</v>
      </c>
      <c r="B280">
        <v>6</v>
      </c>
      <c r="C280" t="s">
        <v>52</v>
      </c>
      <c r="D280">
        <v>-33.944367359850503</v>
      </c>
      <c r="E280">
        <v>18.844665278985399</v>
      </c>
      <c r="F280">
        <v>4.3799999999999999E-2</v>
      </c>
      <c r="G280">
        <v>0.1096</v>
      </c>
      <c r="H280">
        <v>6.5750000000000003E-2</v>
      </c>
      <c r="I280">
        <v>3560.3139999999999</v>
      </c>
      <c r="J280">
        <v>4403.2089999999998</v>
      </c>
    </row>
    <row r="281" spans="1:12">
      <c r="A281">
        <v>42</v>
      </c>
      <c r="B281">
        <v>6</v>
      </c>
      <c r="C281" t="s">
        <v>52</v>
      </c>
      <c r="D281">
        <v>-33.943703231203301</v>
      </c>
      <c r="E281">
        <v>18.8497275504171</v>
      </c>
      <c r="F281">
        <v>4.3799999999999999E-2</v>
      </c>
      <c r="G281">
        <v>0.1096</v>
      </c>
      <c r="H281">
        <v>6.5750000000000003E-2</v>
      </c>
      <c r="I281">
        <v>3084.674</v>
      </c>
      <c r="J281">
        <v>3927.569</v>
      </c>
    </row>
    <row r="282" spans="1:12">
      <c r="A282">
        <v>43</v>
      </c>
      <c r="B282">
        <v>6</v>
      </c>
      <c r="C282" t="s">
        <v>52</v>
      </c>
      <c r="D282">
        <v>-33.953334866739702</v>
      </c>
      <c r="E282">
        <v>18.854458717335302</v>
      </c>
      <c r="F282">
        <v>4.3799999999999999E-2</v>
      </c>
      <c r="G282">
        <v>0.1096</v>
      </c>
      <c r="H282">
        <v>6.5750000000000003E-2</v>
      </c>
      <c r="I282">
        <v>4138.3059999999996</v>
      </c>
      <c r="J282">
        <v>4981.2</v>
      </c>
    </row>
    <row r="283" spans="1:12">
      <c r="A283">
        <v>44</v>
      </c>
      <c r="B283">
        <v>6</v>
      </c>
      <c r="C283" t="s">
        <v>52</v>
      </c>
      <c r="D283">
        <v>-33.950328288933797</v>
      </c>
      <c r="E283">
        <v>18.8464904346678</v>
      </c>
      <c r="F283">
        <v>4.3799999999999999E-2</v>
      </c>
      <c r="G283">
        <v>0.1096</v>
      </c>
      <c r="H283">
        <v>6.5750000000000003E-2</v>
      </c>
      <c r="I283">
        <v>3851.797</v>
      </c>
      <c r="J283">
        <v>4694.6909999999998</v>
      </c>
    </row>
    <row r="284" spans="1:12">
      <c r="A284">
        <v>45</v>
      </c>
      <c r="B284">
        <v>6</v>
      </c>
      <c r="C284" t="s">
        <v>52</v>
      </c>
      <c r="D284">
        <v>-33.949260233666898</v>
      </c>
      <c r="E284">
        <v>18.8449886091854</v>
      </c>
      <c r="F284">
        <v>4.3799999999999999E-2</v>
      </c>
      <c r="G284">
        <v>0.1096</v>
      </c>
      <c r="H284">
        <v>6.5750000000000003E-2</v>
      </c>
      <c r="I284">
        <v>4142.3270000000002</v>
      </c>
      <c r="J284">
        <v>4985.2219999999998</v>
      </c>
    </row>
    <row r="285" spans="1:12">
      <c r="A285">
        <v>46</v>
      </c>
      <c r="B285">
        <v>6</v>
      </c>
      <c r="C285" t="s">
        <v>52</v>
      </c>
      <c r="D285">
        <v>-33.953221897935798</v>
      </c>
      <c r="E285">
        <v>18.849829269862202</v>
      </c>
      <c r="F285">
        <v>4.3799999999999999E-2</v>
      </c>
      <c r="G285">
        <v>0.1096</v>
      </c>
      <c r="H285">
        <v>6.5750000000000003E-2</v>
      </c>
      <c r="I285">
        <v>4025.1350000000002</v>
      </c>
      <c r="J285">
        <v>4868.0290000000005</v>
      </c>
    </row>
    <row r="286" spans="1:12">
      <c r="A286">
        <v>47</v>
      </c>
      <c r="B286">
        <v>6</v>
      </c>
      <c r="C286" t="s">
        <v>52</v>
      </c>
      <c r="D286">
        <v>-33.945234845460199</v>
      </c>
      <c r="E286">
        <v>18.845165006994701</v>
      </c>
      <c r="F286">
        <v>4.3799999999999999E-2</v>
      </c>
      <c r="G286">
        <v>0.1096</v>
      </c>
      <c r="H286">
        <v>6.5750000000000003E-2</v>
      </c>
      <c r="I286">
        <v>3541.7890000000002</v>
      </c>
      <c r="J286">
        <v>4384.6840000000002</v>
      </c>
    </row>
    <row r="287" spans="1:12">
      <c r="A287">
        <v>48</v>
      </c>
      <c r="B287">
        <v>6</v>
      </c>
      <c r="C287" t="s">
        <v>52</v>
      </c>
      <c r="D287">
        <v>-33.949760766857203</v>
      </c>
      <c r="E287">
        <v>18.844466235329801</v>
      </c>
      <c r="F287">
        <v>4.3799999999999999E-2</v>
      </c>
      <c r="G287">
        <v>0.1096</v>
      </c>
      <c r="H287">
        <v>6.5750000000000003E-2</v>
      </c>
      <c r="I287">
        <v>4080.3290000000002</v>
      </c>
      <c r="J287">
        <v>4923.223</v>
      </c>
    </row>
    <row r="288" spans="1:12">
      <c r="A288">
        <v>49</v>
      </c>
      <c r="B288">
        <v>6</v>
      </c>
      <c r="C288" t="s">
        <v>52</v>
      </c>
      <c r="D288">
        <v>-33.943952768375098</v>
      </c>
      <c r="E288">
        <v>18.848503142586502</v>
      </c>
      <c r="F288">
        <v>4.3799999999999999E-2</v>
      </c>
      <c r="G288">
        <v>0.1096</v>
      </c>
      <c r="H288">
        <v>6.5750000000000003E-2</v>
      </c>
      <c r="I288">
        <v>3198.8910000000001</v>
      </c>
      <c r="J288">
        <v>4041.7860000000001</v>
      </c>
    </row>
    <row r="289" spans="1:10">
      <c r="A289">
        <v>50</v>
      </c>
      <c r="B289">
        <v>6</v>
      </c>
      <c r="C289" t="s">
        <v>52</v>
      </c>
      <c r="D289">
        <v>-33.946519791046597</v>
      </c>
      <c r="E289">
        <v>18.850848166481299</v>
      </c>
      <c r="F289">
        <v>4.3799999999999999E-2</v>
      </c>
      <c r="G289">
        <v>0.1096</v>
      </c>
      <c r="H289">
        <v>6.5750000000000003E-2</v>
      </c>
      <c r="I289">
        <v>3125.3939999999998</v>
      </c>
      <c r="J289">
        <v>3968.2890000000002</v>
      </c>
    </row>
    <row r="290" spans="1:10">
      <c r="A290">
        <v>51</v>
      </c>
      <c r="B290">
        <v>6</v>
      </c>
      <c r="C290" t="s">
        <v>52</v>
      </c>
      <c r="D290">
        <v>-33.9422376084256</v>
      </c>
      <c r="E290">
        <v>18.850917196890201</v>
      </c>
      <c r="F290">
        <v>4.3799999999999999E-2</v>
      </c>
      <c r="G290">
        <v>0.1096</v>
      </c>
      <c r="H290">
        <v>6.5750000000000003E-2</v>
      </c>
      <c r="I290">
        <v>2612.0700000000002</v>
      </c>
      <c r="J290">
        <v>3092.2330000000002</v>
      </c>
    </row>
    <row r="291" spans="1:10">
      <c r="A291">
        <v>52</v>
      </c>
      <c r="B291">
        <v>6</v>
      </c>
      <c r="C291" t="s">
        <v>52</v>
      </c>
      <c r="D291">
        <v>-33.9452416541153</v>
      </c>
      <c r="E291">
        <v>18.8416744326741</v>
      </c>
      <c r="F291">
        <v>4.3799999999999999E-2</v>
      </c>
      <c r="G291">
        <v>0.1096</v>
      </c>
      <c r="H291">
        <v>6.5750000000000003E-2</v>
      </c>
      <c r="I291">
        <v>3860.5549999999998</v>
      </c>
      <c r="J291">
        <v>4703.4489999999996</v>
      </c>
    </row>
    <row r="292" spans="1:10">
      <c r="A292">
        <v>53</v>
      </c>
      <c r="B292">
        <v>6</v>
      </c>
      <c r="C292" t="s">
        <v>52</v>
      </c>
      <c r="D292">
        <v>-33.943878663417202</v>
      </c>
      <c r="E292">
        <v>18.843444924868098</v>
      </c>
      <c r="F292">
        <v>4.3799999999999999E-2</v>
      </c>
      <c r="G292">
        <v>0.1096</v>
      </c>
      <c r="H292">
        <v>6.5750000000000003E-2</v>
      </c>
      <c r="I292">
        <v>3647.7860000000001</v>
      </c>
      <c r="J292">
        <v>4490.6809999999996</v>
      </c>
    </row>
    <row r="293" spans="1:10">
      <c r="A293">
        <v>54</v>
      </c>
      <c r="B293">
        <v>6</v>
      </c>
      <c r="C293" t="s">
        <v>52</v>
      </c>
      <c r="D293">
        <v>-33.947231774752197</v>
      </c>
      <c r="E293">
        <v>18.848606321153699</v>
      </c>
      <c r="F293">
        <v>4.3799999999999999E-2</v>
      </c>
      <c r="G293">
        <v>0.1096</v>
      </c>
      <c r="H293">
        <v>6.5750000000000003E-2</v>
      </c>
      <c r="I293">
        <v>3408.6280000000002</v>
      </c>
      <c r="J293">
        <v>4251.5230000000001</v>
      </c>
    </row>
    <row r="294" spans="1:10">
      <c r="A294">
        <v>55</v>
      </c>
      <c r="B294">
        <v>6</v>
      </c>
      <c r="C294" t="s">
        <v>52</v>
      </c>
      <c r="D294">
        <v>-33.952963354940202</v>
      </c>
      <c r="E294">
        <v>18.854751182182401</v>
      </c>
      <c r="F294">
        <v>4.3799999999999999E-2</v>
      </c>
      <c r="G294">
        <v>0.1096</v>
      </c>
      <c r="H294">
        <v>6.5750000000000003E-2</v>
      </c>
      <c r="I294">
        <v>3868.0320000000002</v>
      </c>
      <c r="J294">
        <v>4710.9260000000004</v>
      </c>
    </row>
    <row r="295" spans="1:10">
      <c r="A295">
        <v>56</v>
      </c>
      <c r="B295">
        <v>6</v>
      </c>
      <c r="C295" t="s">
        <v>52</v>
      </c>
      <c r="D295">
        <v>-33.9530913481724</v>
      </c>
      <c r="E295">
        <v>18.8419914673634</v>
      </c>
      <c r="F295">
        <v>4.3799999999999999E-2</v>
      </c>
      <c r="G295">
        <v>0.1096</v>
      </c>
      <c r="H295">
        <v>6.5750000000000003E-2</v>
      </c>
      <c r="I295">
        <v>4005.4380000000001</v>
      </c>
      <c r="J295">
        <v>4848.3320000000003</v>
      </c>
    </row>
    <row r="296" spans="1:10">
      <c r="A296">
        <v>57</v>
      </c>
      <c r="B296">
        <v>6</v>
      </c>
      <c r="C296" t="s">
        <v>52</v>
      </c>
      <c r="D296">
        <v>-33.9419464364898</v>
      </c>
      <c r="E296">
        <v>18.846181398530401</v>
      </c>
      <c r="F296">
        <v>4.3799999999999999E-2</v>
      </c>
      <c r="G296">
        <v>0.1096</v>
      </c>
      <c r="H296">
        <v>6.5750000000000003E-2</v>
      </c>
      <c r="I296">
        <v>4331.4979999999996</v>
      </c>
      <c r="J296">
        <v>2494.4059999999999</v>
      </c>
    </row>
    <row r="297" spans="1:10">
      <c r="A297">
        <v>58</v>
      </c>
      <c r="B297">
        <v>6</v>
      </c>
      <c r="C297" t="s">
        <v>52</v>
      </c>
      <c r="D297">
        <v>-33.944152717825503</v>
      </c>
      <c r="E297">
        <v>18.842667883705101</v>
      </c>
      <c r="F297">
        <v>4.3799999999999999E-2</v>
      </c>
      <c r="G297">
        <v>0.1096</v>
      </c>
      <c r="H297">
        <v>6.5750000000000003E-2</v>
      </c>
      <c r="I297">
        <v>3722.8009999999999</v>
      </c>
      <c r="J297">
        <v>4565.6949999999997</v>
      </c>
    </row>
    <row r="298" spans="1:10">
      <c r="A298">
        <v>59</v>
      </c>
      <c r="B298">
        <v>6</v>
      </c>
      <c r="C298" t="s">
        <v>52</v>
      </c>
      <c r="D298">
        <v>-33.949371965380898</v>
      </c>
      <c r="E298">
        <v>18.8427710466162</v>
      </c>
      <c r="F298">
        <v>4.3799999999999999E-2</v>
      </c>
      <c r="G298">
        <v>0.1096</v>
      </c>
      <c r="H298">
        <v>6.5750000000000003E-2</v>
      </c>
      <c r="I298">
        <v>3992.2460000000001</v>
      </c>
      <c r="J298">
        <v>4835.1409999999996</v>
      </c>
    </row>
    <row r="299" spans="1:10">
      <c r="A299">
        <v>60</v>
      </c>
      <c r="B299">
        <v>6</v>
      </c>
      <c r="C299" t="s">
        <v>52</v>
      </c>
      <c r="D299">
        <v>-33.942248823459302</v>
      </c>
      <c r="E299">
        <v>18.841643130083899</v>
      </c>
      <c r="F299">
        <v>4.3799999999999999E-2</v>
      </c>
      <c r="G299">
        <v>0.1096</v>
      </c>
      <c r="H299">
        <v>6.5750000000000003E-2</v>
      </c>
      <c r="I299">
        <v>3291.9949999999999</v>
      </c>
      <c r="J299">
        <v>3536</v>
      </c>
    </row>
    <row r="300" spans="1:10">
      <c r="A300">
        <v>61</v>
      </c>
      <c r="B300">
        <v>6</v>
      </c>
      <c r="C300" t="s">
        <v>52</v>
      </c>
      <c r="D300">
        <v>-33.942331536406797</v>
      </c>
      <c r="E300">
        <v>18.842576152630301</v>
      </c>
      <c r="F300">
        <v>4.3799999999999999E-2</v>
      </c>
      <c r="G300">
        <v>0.1096</v>
      </c>
      <c r="H300">
        <v>6.5750000000000003E-2</v>
      </c>
      <c r="I300">
        <v>3975.4540000000002</v>
      </c>
      <c r="J300">
        <v>2138.3620000000001</v>
      </c>
    </row>
    <row r="301" spans="1:10">
      <c r="A301">
        <v>62</v>
      </c>
      <c r="B301">
        <v>6</v>
      </c>
      <c r="C301" t="s">
        <v>52</v>
      </c>
      <c r="D301">
        <v>-33.951451965201898</v>
      </c>
      <c r="E301">
        <v>18.8529911761199</v>
      </c>
      <c r="F301">
        <v>4.3799999999999999E-2</v>
      </c>
      <c r="G301">
        <v>0.1096</v>
      </c>
      <c r="H301">
        <v>6.5750000000000003E-2</v>
      </c>
      <c r="I301">
        <v>3761.14</v>
      </c>
      <c r="J301">
        <v>4604.0349999999999</v>
      </c>
    </row>
    <row r="302" spans="1:10">
      <c r="A302">
        <v>63</v>
      </c>
      <c r="B302">
        <v>6</v>
      </c>
      <c r="C302" t="s">
        <v>52</v>
      </c>
      <c r="D302">
        <v>-33.945129764252997</v>
      </c>
      <c r="E302">
        <v>18.852540895841699</v>
      </c>
      <c r="F302">
        <v>4.3799999999999999E-2</v>
      </c>
      <c r="G302">
        <v>0.1096</v>
      </c>
      <c r="H302">
        <v>6.5750000000000003E-2</v>
      </c>
      <c r="I302">
        <v>2782.587</v>
      </c>
      <c r="J302">
        <v>3625.482</v>
      </c>
    </row>
    <row r="303" spans="1:10">
      <c r="A303">
        <v>64</v>
      </c>
      <c r="B303">
        <v>6</v>
      </c>
      <c r="C303" t="s">
        <v>52</v>
      </c>
      <c r="D303">
        <v>-33.947724628911601</v>
      </c>
      <c r="E303">
        <v>18.851712499719</v>
      </c>
      <c r="F303">
        <v>4.3799999999999999E-2</v>
      </c>
      <c r="G303">
        <v>0.1096</v>
      </c>
      <c r="H303">
        <v>6.5750000000000003E-2</v>
      </c>
      <c r="I303">
        <v>3198.797</v>
      </c>
      <c r="J303">
        <v>4041.692</v>
      </c>
    </row>
    <row r="304" spans="1:10">
      <c r="A304">
        <v>65</v>
      </c>
      <c r="B304">
        <v>6</v>
      </c>
      <c r="C304" t="s">
        <v>52</v>
      </c>
      <c r="D304">
        <v>-33.949521509704503</v>
      </c>
      <c r="E304">
        <v>18.853673342650101</v>
      </c>
      <c r="F304">
        <v>4.3799999999999999E-2</v>
      </c>
      <c r="G304">
        <v>0.1096</v>
      </c>
      <c r="H304">
        <v>6.5750000000000003E-2</v>
      </c>
      <c r="I304">
        <v>3648.5770000000002</v>
      </c>
      <c r="J304">
        <v>4491.4709999999995</v>
      </c>
    </row>
    <row r="305" spans="1:10">
      <c r="A305">
        <v>66</v>
      </c>
      <c r="B305">
        <v>6</v>
      </c>
      <c r="C305" t="s">
        <v>52</v>
      </c>
      <c r="D305">
        <v>-33.953254610863297</v>
      </c>
      <c r="E305">
        <v>18.844481968848701</v>
      </c>
      <c r="F305">
        <v>4.3799999999999999E-2</v>
      </c>
      <c r="G305">
        <v>0.1096</v>
      </c>
      <c r="H305">
        <v>6.5750000000000003E-2</v>
      </c>
      <c r="I305">
        <v>3945.9609999999998</v>
      </c>
      <c r="J305">
        <v>4788.8559999999998</v>
      </c>
    </row>
    <row r="306" spans="1:10">
      <c r="A306">
        <v>67</v>
      </c>
      <c r="B306">
        <v>6</v>
      </c>
      <c r="C306" t="s">
        <v>52</v>
      </c>
      <c r="D306">
        <v>-33.950466840883799</v>
      </c>
      <c r="E306">
        <v>18.853719363856101</v>
      </c>
      <c r="F306">
        <v>4.3799999999999999E-2</v>
      </c>
      <c r="G306">
        <v>0.1096</v>
      </c>
      <c r="H306">
        <v>6.5750000000000003E-2</v>
      </c>
      <c r="I306">
        <v>3534.1030000000001</v>
      </c>
      <c r="J306">
        <v>4376.9979999999996</v>
      </c>
    </row>
    <row r="307" spans="1:10">
      <c r="A307">
        <v>68</v>
      </c>
      <c r="B307">
        <v>6</v>
      </c>
      <c r="C307" t="s">
        <v>52</v>
      </c>
      <c r="D307">
        <v>-33.951852188803898</v>
      </c>
      <c r="E307">
        <v>18.846144055928399</v>
      </c>
      <c r="F307">
        <v>4.3799999999999999E-2</v>
      </c>
      <c r="G307">
        <v>0.1096</v>
      </c>
      <c r="H307">
        <v>6.5750000000000003E-2</v>
      </c>
      <c r="I307">
        <v>3910.7109999999998</v>
      </c>
      <c r="J307">
        <v>4753.6059999999998</v>
      </c>
    </row>
    <row r="308" spans="1:10">
      <c r="A308">
        <v>69</v>
      </c>
      <c r="B308">
        <v>6</v>
      </c>
      <c r="C308" t="s">
        <v>52</v>
      </c>
      <c r="D308">
        <v>-33.944119222208997</v>
      </c>
      <c r="E308">
        <v>18.851219781860799</v>
      </c>
      <c r="F308">
        <v>4.3799999999999999E-2</v>
      </c>
      <c r="G308">
        <v>0.1096</v>
      </c>
      <c r="H308">
        <v>6.5750000000000003E-2</v>
      </c>
      <c r="I308">
        <v>3028.4670000000001</v>
      </c>
      <c r="J308">
        <v>3871.3620000000001</v>
      </c>
    </row>
    <row r="309" spans="1:10">
      <c r="A309">
        <v>70</v>
      </c>
      <c r="B309">
        <v>6</v>
      </c>
      <c r="C309" t="s">
        <v>52</v>
      </c>
      <c r="D309">
        <v>-33.9531245773507</v>
      </c>
      <c r="E309">
        <v>18.848005928008099</v>
      </c>
      <c r="F309">
        <v>4.3799999999999999E-2</v>
      </c>
      <c r="G309">
        <v>0.1096</v>
      </c>
      <c r="H309">
        <v>6.5750000000000003E-2</v>
      </c>
      <c r="I309">
        <v>3943.7750000000001</v>
      </c>
      <c r="J309">
        <v>4786.67</v>
      </c>
    </row>
    <row r="310" spans="1:10">
      <c r="A310">
        <v>71</v>
      </c>
      <c r="B310">
        <v>6</v>
      </c>
      <c r="C310" t="s">
        <v>52</v>
      </c>
      <c r="D310">
        <v>-33.948447922403901</v>
      </c>
      <c r="E310">
        <v>18.848026791622701</v>
      </c>
      <c r="F310">
        <v>4.3799999999999999E-2</v>
      </c>
      <c r="G310">
        <v>0.1096</v>
      </c>
      <c r="H310">
        <v>6.5750000000000003E-2</v>
      </c>
      <c r="I310">
        <v>3785.817</v>
      </c>
      <c r="J310">
        <v>4628.7120000000004</v>
      </c>
    </row>
    <row r="311" spans="1:10">
      <c r="A311">
        <v>72</v>
      </c>
      <c r="B311">
        <v>6</v>
      </c>
      <c r="C311" t="s">
        <v>52</v>
      </c>
      <c r="D311">
        <v>-33.942902411105599</v>
      </c>
      <c r="E311">
        <v>18.8534219626729</v>
      </c>
      <c r="F311">
        <v>4.3799999999999999E-2</v>
      </c>
      <c r="G311">
        <v>0.1096</v>
      </c>
      <c r="H311">
        <v>6.5750000000000003E-2</v>
      </c>
      <c r="I311">
        <v>2419.029</v>
      </c>
      <c r="J311">
        <v>3533.9459999999999</v>
      </c>
    </row>
    <row r="312" spans="1:10">
      <c r="A312">
        <v>73</v>
      </c>
      <c r="B312">
        <v>6</v>
      </c>
      <c r="C312" t="s">
        <v>52</v>
      </c>
      <c r="D312">
        <v>-33.952521135284201</v>
      </c>
      <c r="E312">
        <v>18.853810707013398</v>
      </c>
      <c r="F312">
        <v>4.3799999999999999E-2</v>
      </c>
      <c r="G312">
        <v>0.1096</v>
      </c>
      <c r="H312">
        <v>6.5750000000000003E-2</v>
      </c>
      <c r="I312">
        <v>3804.277</v>
      </c>
      <c r="J312">
        <v>4647.1719999999996</v>
      </c>
    </row>
    <row r="313" spans="1:10">
      <c r="A313">
        <v>0</v>
      </c>
      <c r="B313">
        <v>7</v>
      </c>
      <c r="C313" t="s">
        <v>51</v>
      </c>
      <c r="D313">
        <v>-33.9221019205687</v>
      </c>
      <c r="E313">
        <v>18.883778790581399</v>
      </c>
      <c r="F313">
        <v>4.3799999999999999E-2</v>
      </c>
      <c r="G313">
        <v>0.1096</v>
      </c>
      <c r="H313">
        <v>6.5750000000000003E-2</v>
      </c>
      <c r="I313">
        <v>2129.96</v>
      </c>
      <c r="J313">
        <v>7188.375</v>
      </c>
    </row>
    <row r="314" spans="1:10">
      <c r="A314">
        <v>1</v>
      </c>
      <c r="B314">
        <v>7</v>
      </c>
      <c r="C314" t="s">
        <v>51</v>
      </c>
      <c r="D314">
        <v>-33.920866150752197</v>
      </c>
      <c r="E314">
        <v>18.8752234110713</v>
      </c>
      <c r="F314">
        <v>4.3799999999999999E-2</v>
      </c>
      <c r="G314">
        <v>0.1096</v>
      </c>
      <c r="H314">
        <v>6.5750000000000003E-2</v>
      </c>
      <c r="I314">
        <v>4347.1239999999998</v>
      </c>
      <c r="J314">
        <v>7573.3249999999998</v>
      </c>
    </row>
    <row r="315" spans="1:10">
      <c r="A315">
        <v>2</v>
      </c>
      <c r="B315">
        <v>7</v>
      </c>
      <c r="C315" t="s">
        <v>51</v>
      </c>
      <c r="D315">
        <v>-33.924751471462997</v>
      </c>
      <c r="E315">
        <v>18.883679940215199</v>
      </c>
      <c r="F315">
        <v>4.3799999999999999E-2</v>
      </c>
      <c r="G315">
        <v>0.1096</v>
      </c>
      <c r="H315">
        <v>6.5750000000000003E-2</v>
      </c>
      <c r="I315">
        <v>1965.847</v>
      </c>
      <c r="J315">
        <v>7024.2619999999997</v>
      </c>
    </row>
    <row r="316" spans="1:10">
      <c r="A316">
        <v>3</v>
      </c>
      <c r="B316">
        <v>7</v>
      </c>
      <c r="C316" t="s">
        <v>51</v>
      </c>
      <c r="D316">
        <v>-33.9228628050925</v>
      </c>
      <c r="E316">
        <v>18.876005490519599</v>
      </c>
      <c r="F316">
        <v>4.3799999999999999E-2</v>
      </c>
      <c r="G316">
        <v>0.1096</v>
      </c>
      <c r="H316">
        <v>6.5750000000000003E-2</v>
      </c>
      <c r="I316">
        <v>1983.2670000000001</v>
      </c>
      <c r="J316">
        <v>6380.2139999999999</v>
      </c>
    </row>
    <row r="317" spans="1:10">
      <c r="A317">
        <v>4</v>
      </c>
      <c r="B317">
        <v>7</v>
      </c>
      <c r="C317" t="s">
        <v>51</v>
      </c>
      <c r="D317">
        <v>-33.918540546141799</v>
      </c>
      <c r="E317">
        <v>18.8717432218886</v>
      </c>
      <c r="F317">
        <v>4.3799999999999999E-2</v>
      </c>
      <c r="G317">
        <v>0.1096</v>
      </c>
      <c r="H317">
        <v>6.5750000000000003E-2</v>
      </c>
      <c r="I317">
        <v>3479.9749999999999</v>
      </c>
      <c r="J317">
        <v>6706.1760000000004</v>
      </c>
    </row>
    <row r="318" spans="1:10">
      <c r="A318">
        <v>5</v>
      </c>
      <c r="B318">
        <v>7</v>
      </c>
      <c r="C318" t="s">
        <v>51</v>
      </c>
      <c r="D318">
        <v>-33.925259404355899</v>
      </c>
      <c r="E318">
        <v>18.8863446337064</v>
      </c>
      <c r="F318">
        <v>4.3799999999999999E-2</v>
      </c>
      <c r="G318">
        <v>0.1096</v>
      </c>
      <c r="H318">
        <v>6.5750000000000003E-2</v>
      </c>
      <c r="I318">
        <v>2215.8510000000001</v>
      </c>
      <c r="J318">
        <v>7274.2659999999996</v>
      </c>
    </row>
    <row r="319" spans="1:10">
      <c r="A319">
        <v>6</v>
      </c>
      <c r="B319">
        <v>7</v>
      </c>
      <c r="C319" t="s">
        <v>51</v>
      </c>
      <c r="D319">
        <v>-33.9230361831099</v>
      </c>
      <c r="E319">
        <v>18.881848141199399</v>
      </c>
      <c r="F319">
        <v>4.3799999999999999E-2</v>
      </c>
      <c r="G319">
        <v>0.1096</v>
      </c>
      <c r="H319">
        <v>6.5750000000000003E-2</v>
      </c>
      <c r="I319">
        <v>1957.5</v>
      </c>
      <c r="J319">
        <v>7015.9139999999998</v>
      </c>
    </row>
    <row r="320" spans="1:10">
      <c r="A320">
        <v>7</v>
      </c>
      <c r="B320">
        <v>7</v>
      </c>
      <c r="C320" t="s">
        <v>51</v>
      </c>
      <c r="D320">
        <v>-33.921906417180502</v>
      </c>
      <c r="E320">
        <v>18.8945827688711</v>
      </c>
      <c r="F320">
        <v>4.3799999999999999E-2</v>
      </c>
      <c r="G320">
        <v>0.1096</v>
      </c>
      <c r="H320">
        <v>6.5750000000000003E-2</v>
      </c>
      <c r="I320">
        <v>3382.1880000000001</v>
      </c>
      <c r="J320">
        <v>8440.6029999999992</v>
      </c>
    </row>
    <row r="321" spans="1:10">
      <c r="A321">
        <v>8</v>
      </c>
      <c r="B321">
        <v>7</v>
      </c>
      <c r="C321" t="s">
        <v>51</v>
      </c>
      <c r="D321">
        <v>-33.9218756672322</v>
      </c>
      <c r="E321">
        <v>18.882516252412199</v>
      </c>
      <c r="F321">
        <v>4.3799999999999999E-2</v>
      </c>
      <c r="G321">
        <v>0.1096</v>
      </c>
      <c r="H321">
        <v>6.5750000000000003E-2</v>
      </c>
      <c r="I321">
        <v>2026.89</v>
      </c>
      <c r="J321">
        <v>7085.3050000000003</v>
      </c>
    </row>
    <row r="322" spans="1:10">
      <c r="A322">
        <v>9</v>
      </c>
      <c r="B322">
        <v>7</v>
      </c>
      <c r="C322" t="s">
        <v>51</v>
      </c>
      <c r="D322">
        <v>-33.920046362045802</v>
      </c>
      <c r="E322">
        <v>18.893713406942201</v>
      </c>
      <c r="F322">
        <v>4.3799999999999999E-2</v>
      </c>
      <c r="G322">
        <v>0.1096</v>
      </c>
      <c r="H322">
        <v>6.5750000000000003E-2</v>
      </c>
      <c r="I322">
        <v>3474.1750000000002</v>
      </c>
      <c r="J322">
        <v>8532.59</v>
      </c>
    </row>
    <row r="323" spans="1:10">
      <c r="A323">
        <v>10</v>
      </c>
      <c r="B323">
        <v>7</v>
      </c>
      <c r="C323" t="s">
        <v>51</v>
      </c>
      <c r="D323">
        <v>-33.921515389289702</v>
      </c>
      <c r="E323">
        <v>18.884038260784099</v>
      </c>
      <c r="F323">
        <v>4.3799999999999999E-2</v>
      </c>
      <c r="G323">
        <v>0.1096</v>
      </c>
      <c r="H323">
        <v>6.5750000000000003E-2</v>
      </c>
      <c r="I323">
        <v>1858.59035699225</v>
      </c>
      <c r="J323">
        <v>6484.3303216172098</v>
      </c>
    </row>
    <row r="324" spans="1:10">
      <c r="A324">
        <v>11</v>
      </c>
      <c r="B324">
        <v>7</v>
      </c>
      <c r="C324" t="s">
        <v>51</v>
      </c>
      <c r="D324">
        <v>-33.920206167219199</v>
      </c>
      <c r="E324">
        <v>18.875697210253598</v>
      </c>
      <c r="F324">
        <v>4.3799999999999999E-2</v>
      </c>
      <c r="G324">
        <v>0.1096</v>
      </c>
      <c r="H324">
        <v>6.5750000000000003E-2</v>
      </c>
      <c r="I324">
        <v>1547.9065376620499</v>
      </c>
      <c r="J324">
        <v>5871.8616629263097</v>
      </c>
    </row>
    <row r="325" spans="1:10">
      <c r="A325">
        <v>12</v>
      </c>
      <c r="B325">
        <v>7</v>
      </c>
      <c r="C325" t="s">
        <v>51</v>
      </c>
      <c r="D325">
        <v>-33.924341679682001</v>
      </c>
      <c r="E325">
        <v>18.894205278219399</v>
      </c>
      <c r="F325">
        <v>4.3799999999999999E-2</v>
      </c>
      <c r="G325">
        <v>0.1096</v>
      </c>
      <c r="H325">
        <v>6.5750000000000003E-2</v>
      </c>
      <c r="I325">
        <v>2475.0219872663502</v>
      </c>
      <c r="J325">
        <v>7227.2299430568</v>
      </c>
    </row>
    <row r="326" spans="1:10">
      <c r="A326">
        <v>13</v>
      </c>
      <c r="B326">
        <v>7</v>
      </c>
      <c r="C326" t="s">
        <v>51</v>
      </c>
      <c r="D326">
        <v>-33.924881921723497</v>
      </c>
      <c r="E326">
        <v>18.885988501394898</v>
      </c>
      <c r="F326">
        <v>4.3799999999999999E-2</v>
      </c>
      <c r="G326">
        <v>0.1096</v>
      </c>
      <c r="H326">
        <v>6.5750000000000003E-2</v>
      </c>
      <c r="I326">
        <v>1770.8092617866901</v>
      </c>
      <c r="J326">
        <v>6496.7750693325997</v>
      </c>
    </row>
    <row r="327" spans="1:10">
      <c r="A327">
        <v>14</v>
      </c>
      <c r="B327">
        <v>7</v>
      </c>
      <c r="C327" t="s">
        <v>51</v>
      </c>
      <c r="D327">
        <v>-33.924490392132803</v>
      </c>
      <c r="E327">
        <v>18.891762494448599</v>
      </c>
      <c r="F327">
        <v>4.3799999999999999E-2</v>
      </c>
      <c r="G327">
        <v>0.1096</v>
      </c>
      <c r="H327">
        <v>6.5750000000000003E-2</v>
      </c>
      <c r="I327">
        <v>2262.25715984404</v>
      </c>
      <c r="J327">
        <v>7009.8214405408298</v>
      </c>
    </row>
    <row r="328" spans="1:10">
      <c r="A328">
        <v>15</v>
      </c>
      <c r="B328">
        <v>7</v>
      </c>
      <c r="C328" t="s">
        <v>51</v>
      </c>
      <c r="D328">
        <v>-33.921859674275801</v>
      </c>
      <c r="E328">
        <v>18.8943003533332</v>
      </c>
      <c r="F328">
        <v>4.3799999999999999E-2</v>
      </c>
      <c r="G328">
        <v>0.1096</v>
      </c>
      <c r="H328">
        <v>6.5750000000000003E-2</v>
      </c>
      <c r="I328">
        <v>2604.7411308594901</v>
      </c>
      <c r="J328">
        <v>7335.9496676004601</v>
      </c>
    </row>
    <row r="329" spans="1:10">
      <c r="A329">
        <v>16</v>
      </c>
      <c r="B329">
        <v>7</v>
      </c>
      <c r="C329" t="s">
        <v>51</v>
      </c>
      <c r="D329">
        <v>-33.919115766861601</v>
      </c>
      <c r="E329">
        <v>18.873772283457601</v>
      </c>
      <c r="F329">
        <v>4.3799999999999999E-2</v>
      </c>
      <c r="G329">
        <v>0.1096</v>
      </c>
      <c r="H329">
        <v>6.5750000000000003E-2</v>
      </c>
      <c r="I329">
        <v>1610.39619096454</v>
      </c>
      <c r="J329">
        <v>5782.9117257958897</v>
      </c>
    </row>
    <row r="330" spans="1:10">
      <c r="A330">
        <v>17</v>
      </c>
      <c r="B330">
        <v>7</v>
      </c>
      <c r="C330" t="s">
        <v>51</v>
      </c>
      <c r="D330">
        <v>-33.925434678795398</v>
      </c>
      <c r="E330">
        <v>18.885504643531402</v>
      </c>
      <c r="F330">
        <v>4.3799999999999999E-2</v>
      </c>
      <c r="G330">
        <v>0.1096</v>
      </c>
      <c r="H330">
        <v>6.5750000000000003E-2</v>
      </c>
      <c r="I330">
        <v>1700.8059814555299</v>
      </c>
      <c r="J330">
        <v>6432.2214501254202</v>
      </c>
    </row>
    <row r="331" spans="1:10">
      <c r="A331">
        <v>18</v>
      </c>
      <c r="B331">
        <v>7</v>
      </c>
      <c r="C331" t="s">
        <v>51</v>
      </c>
      <c r="D331">
        <v>-33.9256678479736</v>
      </c>
      <c r="E331">
        <v>18.8725924894709</v>
      </c>
      <c r="F331">
        <v>4.3799999999999999E-2</v>
      </c>
      <c r="G331">
        <v>0.1096</v>
      </c>
      <c r="H331">
        <v>6.5750000000000003E-2</v>
      </c>
      <c r="I331">
        <v>880.05563592901899</v>
      </c>
      <c r="J331">
        <v>5330.09148294233</v>
      </c>
    </row>
    <row r="332" spans="1:10">
      <c r="A332">
        <v>19</v>
      </c>
      <c r="B332">
        <v>7</v>
      </c>
      <c r="C332" t="s">
        <v>51</v>
      </c>
      <c r="D332">
        <v>-33.921035242324898</v>
      </c>
      <c r="E332">
        <v>18.891032210186701</v>
      </c>
      <c r="F332">
        <v>4.3799999999999999E-2</v>
      </c>
      <c r="G332">
        <v>0.1096</v>
      </c>
      <c r="H332">
        <v>6.5750000000000003E-2</v>
      </c>
      <c r="I332">
        <v>2395.0513353637998</v>
      </c>
      <c r="J332">
        <v>7093.90598933601</v>
      </c>
    </row>
    <row r="333" spans="1:10">
      <c r="A333">
        <v>20</v>
      </c>
      <c r="B333">
        <v>7</v>
      </c>
      <c r="C333" t="s">
        <v>51</v>
      </c>
      <c r="D333">
        <v>-33.923756484985901</v>
      </c>
      <c r="E333">
        <v>18.8916694240827</v>
      </c>
      <c r="F333">
        <v>4.3799999999999999E-2</v>
      </c>
      <c r="G333">
        <v>0.1096</v>
      </c>
      <c r="H333">
        <v>6.5750000000000003E-2</v>
      </c>
      <c r="I333">
        <v>2290.66423528212</v>
      </c>
      <c r="J333">
        <v>7031.3015131223501</v>
      </c>
    </row>
    <row r="334" spans="1:10">
      <c r="A334">
        <v>21</v>
      </c>
      <c r="B334">
        <v>7</v>
      </c>
      <c r="C334" t="s">
        <v>51</v>
      </c>
      <c r="D334">
        <v>-33.923026073378701</v>
      </c>
      <c r="E334">
        <v>18.877281998806001</v>
      </c>
      <c r="F334">
        <v>4.3799999999999999E-2</v>
      </c>
      <c r="G334">
        <v>0.1096</v>
      </c>
      <c r="H334">
        <v>6.5750000000000003E-2</v>
      </c>
      <c r="I334">
        <v>1332.25051695466</v>
      </c>
      <c r="J334">
        <v>5849.7375124316004</v>
      </c>
    </row>
    <row r="335" spans="1:10">
      <c r="A335">
        <v>22</v>
      </c>
      <c r="B335">
        <v>7</v>
      </c>
      <c r="C335" t="s">
        <v>51</v>
      </c>
      <c r="D335">
        <v>-33.925923693957301</v>
      </c>
      <c r="E335">
        <v>18.8817138218525</v>
      </c>
      <c r="F335">
        <v>4.3799999999999999E-2</v>
      </c>
      <c r="G335">
        <v>0.1096</v>
      </c>
      <c r="H335">
        <v>6.5750000000000003E-2</v>
      </c>
      <c r="I335">
        <v>1377.2221510015399</v>
      </c>
      <c r="J335">
        <v>6086.8982740291203</v>
      </c>
    </row>
    <row r="336" spans="1:10">
      <c r="A336">
        <v>23</v>
      </c>
      <c r="B336">
        <v>7</v>
      </c>
      <c r="C336" t="s">
        <v>51</v>
      </c>
      <c r="D336">
        <v>-33.9257597881872</v>
      </c>
      <c r="E336">
        <v>18.888991832106299</v>
      </c>
      <c r="F336">
        <v>4.3799999999999999E-2</v>
      </c>
      <c r="G336">
        <v>0.1096</v>
      </c>
      <c r="H336">
        <v>6.5750000000000003E-2</v>
      </c>
      <c r="I336">
        <v>1970.2268044206801</v>
      </c>
      <c r="J336">
        <v>6720.0704746985202</v>
      </c>
    </row>
    <row r="337" spans="1:10">
      <c r="A337">
        <v>24</v>
      </c>
      <c r="B337">
        <v>7</v>
      </c>
      <c r="C337" t="s">
        <v>51</v>
      </c>
      <c r="D337">
        <v>-33.9257649067751</v>
      </c>
      <c r="E337">
        <v>18.884771773025602</v>
      </c>
      <c r="F337">
        <v>4.3799999999999999E-2</v>
      </c>
      <c r="G337">
        <v>0.1096</v>
      </c>
      <c r="H337">
        <v>6.5750000000000003E-2</v>
      </c>
      <c r="I337">
        <v>1623.7500833440699</v>
      </c>
      <c r="J337">
        <v>6355.6149082517504</v>
      </c>
    </row>
    <row r="338" spans="1:10">
      <c r="A338">
        <v>25</v>
      </c>
      <c r="B338">
        <v>7</v>
      </c>
      <c r="C338" t="s">
        <v>51</v>
      </c>
      <c r="D338">
        <v>-33.918388971616203</v>
      </c>
      <c r="E338">
        <v>18.8766921958842</v>
      </c>
      <c r="F338">
        <v>4.3799999999999999E-2</v>
      </c>
      <c r="G338">
        <v>0.1096</v>
      </c>
      <c r="H338">
        <v>6.5750000000000003E-2</v>
      </c>
      <c r="I338">
        <v>1769.36144884436</v>
      </c>
      <c r="J338">
        <v>6054.8718567945998</v>
      </c>
    </row>
    <row r="339" spans="1:10">
      <c r="A339">
        <v>26</v>
      </c>
      <c r="B339">
        <v>7</v>
      </c>
      <c r="C339" t="s">
        <v>51</v>
      </c>
      <c r="D339">
        <v>-33.923358384909598</v>
      </c>
      <c r="E339">
        <v>18.885271391502201</v>
      </c>
      <c r="F339">
        <v>4.3799999999999999E-2</v>
      </c>
      <c r="G339">
        <v>0.1096</v>
      </c>
      <c r="H339">
        <v>6.5750000000000003E-2</v>
      </c>
      <c r="I339">
        <v>1811.4227288473501</v>
      </c>
      <c r="J339">
        <v>6501.8671516743898</v>
      </c>
    </row>
    <row r="340" spans="1:10">
      <c r="A340">
        <v>27</v>
      </c>
      <c r="B340">
        <v>7</v>
      </c>
      <c r="C340" t="s">
        <v>51</v>
      </c>
      <c r="D340">
        <v>-33.922369950814598</v>
      </c>
      <c r="E340">
        <v>18.879608168351002</v>
      </c>
      <c r="F340">
        <v>4.3799999999999999E-2</v>
      </c>
      <c r="G340">
        <v>0.1096</v>
      </c>
      <c r="H340">
        <v>6.5750000000000003E-2</v>
      </c>
      <c r="I340">
        <v>1514.7980347361599</v>
      </c>
      <c r="J340">
        <v>6074.7058939212202</v>
      </c>
    </row>
    <row r="341" spans="1:10">
      <c r="A341">
        <v>28</v>
      </c>
      <c r="B341">
        <v>7</v>
      </c>
      <c r="C341" t="s">
        <v>51</v>
      </c>
      <c r="D341">
        <v>-33.920405825476699</v>
      </c>
      <c r="E341">
        <v>18.887844735830601</v>
      </c>
      <c r="F341">
        <v>4.3799999999999999E-2</v>
      </c>
      <c r="G341">
        <v>0.1096</v>
      </c>
      <c r="H341">
        <v>6.5750000000000003E-2</v>
      </c>
      <c r="I341">
        <v>2202.4133570873801</v>
      </c>
      <c r="J341">
        <v>6855.2461046082499</v>
      </c>
    </row>
    <row r="342" spans="1:10">
      <c r="A342">
        <v>29</v>
      </c>
      <c r="B342">
        <v>7</v>
      </c>
      <c r="C342" t="s">
        <v>51</v>
      </c>
      <c r="D342">
        <v>-33.921158178955302</v>
      </c>
      <c r="E342">
        <v>18.886143392132499</v>
      </c>
      <c r="F342">
        <v>4.3799999999999999E-2</v>
      </c>
      <c r="G342">
        <v>0.1096</v>
      </c>
      <c r="H342">
        <v>6.5750000000000003E-2</v>
      </c>
      <c r="I342">
        <v>2028.5671518920799</v>
      </c>
      <c r="J342">
        <v>6677.1359277607398</v>
      </c>
    </row>
    <row r="343" spans="1:10">
      <c r="A343">
        <v>30</v>
      </c>
      <c r="B343">
        <v>7</v>
      </c>
      <c r="C343" t="s">
        <v>51</v>
      </c>
      <c r="D343">
        <v>-33.9236309376737</v>
      </c>
      <c r="E343">
        <v>18.891768233374201</v>
      </c>
      <c r="F343">
        <v>4.3799999999999999E-2</v>
      </c>
      <c r="G343">
        <v>0.1096</v>
      </c>
      <c r="H343">
        <v>6.5750000000000003E-2</v>
      </c>
      <c r="I343">
        <v>2305.1973910509801</v>
      </c>
      <c r="J343">
        <v>7044.9359022216504</v>
      </c>
    </row>
    <row r="344" spans="1:10">
      <c r="A344">
        <v>31</v>
      </c>
      <c r="B344">
        <v>7</v>
      </c>
      <c r="C344" t="s">
        <v>51</v>
      </c>
      <c r="D344">
        <v>-33.924588884976998</v>
      </c>
      <c r="E344">
        <v>18.888773714481001</v>
      </c>
      <c r="F344">
        <v>4.3799999999999999E-2</v>
      </c>
      <c r="G344">
        <v>0.1096</v>
      </c>
      <c r="H344">
        <v>6.5750000000000003E-2</v>
      </c>
      <c r="I344">
        <v>2010.4914430598601</v>
      </c>
      <c r="J344">
        <v>6748.0654745708998</v>
      </c>
    </row>
    <row r="345" spans="1:10">
      <c r="A345">
        <v>32</v>
      </c>
      <c r="B345">
        <v>7</v>
      </c>
      <c r="C345" t="s">
        <v>51</v>
      </c>
      <c r="D345">
        <v>-33.923001515412402</v>
      </c>
      <c r="E345">
        <v>18.889533634818399</v>
      </c>
      <c r="F345">
        <v>4.3799999999999999E-2</v>
      </c>
      <c r="G345">
        <v>0.1096</v>
      </c>
      <c r="H345">
        <v>6.5750000000000003E-2</v>
      </c>
      <c r="I345">
        <v>2159.70466967414</v>
      </c>
      <c r="J345">
        <v>6879.8721780039896</v>
      </c>
    </row>
    <row r="346" spans="1:10">
      <c r="A346">
        <v>33</v>
      </c>
      <c r="B346">
        <v>7</v>
      </c>
      <c r="C346" t="s">
        <v>51</v>
      </c>
      <c r="D346">
        <v>-33.919655388966497</v>
      </c>
      <c r="E346">
        <v>18.871546886573</v>
      </c>
      <c r="F346">
        <v>4.3799999999999999E-2</v>
      </c>
      <c r="G346">
        <v>0.1096</v>
      </c>
      <c r="H346">
        <v>6.5750000000000003E-2</v>
      </c>
      <c r="I346">
        <v>1515.1007027117</v>
      </c>
      <c r="J346">
        <v>5577.17847509076</v>
      </c>
    </row>
    <row r="347" spans="1:10">
      <c r="A347">
        <v>34</v>
      </c>
      <c r="B347">
        <v>7</v>
      </c>
      <c r="C347" t="s">
        <v>51</v>
      </c>
      <c r="D347">
        <v>-33.9225842844113</v>
      </c>
      <c r="E347">
        <v>18.880355246510199</v>
      </c>
      <c r="F347">
        <v>4.3799999999999999E-2</v>
      </c>
      <c r="G347">
        <v>0.1096</v>
      </c>
      <c r="H347">
        <v>6.5750000000000003E-2</v>
      </c>
      <c r="I347">
        <v>1539.42923589717</v>
      </c>
      <c r="J347">
        <v>6125.9495469171598</v>
      </c>
    </row>
    <row r="348" spans="1:10">
      <c r="A348">
        <v>35</v>
      </c>
      <c r="B348">
        <v>7</v>
      </c>
      <c r="C348" t="s">
        <v>51</v>
      </c>
      <c r="D348">
        <v>-33.919641238505598</v>
      </c>
      <c r="E348">
        <v>18.8785034600171</v>
      </c>
      <c r="F348">
        <v>4.3799999999999999E-2</v>
      </c>
      <c r="G348">
        <v>0.1096</v>
      </c>
      <c r="H348">
        <v>6.5750000000000003E-2</v>
      </c>
      <c r="I348">
        <v>1714.1326574084901</v>
      </c>
      <c r="J348">
        <v>6128.0696617845197</v>
      </c>
    </row>
    <row r="349" spans="1:10">
      <c r="A349">
        <v>36</v>
      </c>
      <c r="B349">
        <v>7</v>
      </c>
      <c r="C349" t="s">
        <v>51</v>
      </c>
      <c r="D349">
        <v>-33.925160552105403</v>
      </c>
      <c r="E349">
        <v>18.871587961240301</v>
      </c>
      <c r="F349">
        <v>4.3799999999999999E-2</v>
      </c>
      <c r="G349">
        <v>0.1096</v>
      </c>
      <c r="H349">
        <v>6.5750000000000003E-2</v>
      </c>
      <c r="I349">
        <v>911.27394238080797</v>
      </c>
      <c r="J349">
        <v>5272.6494620773601</v>
      </c>
    </row>
    <row r="350" spans="1:10">
      <c r="A350">
        <v>37</v>
      </c>
      <c r="B350">
        <v>7</v>
      </c>
      <c r="C350" t="s">
        <v>51</v>
      </c>
      <c r="D350">
        <v>-33.9200310646453</v>
      </c>
      <c r="E350">
        <v>18.889327767725799</v>
      </c>
      <c r="F350">
        <v>4.3799999999999999E-2</v>
      </c>
      <c r="G350">
        <v>0.1096</v>
      </c>
      <c r="H350">
        <v>6.5750000000000003E-2</v>
      </c>
      <c r="I350">
        <v>2334.80454861826</v>
      </c>
      <c r="J350">
        <v>6997.0879169724003</v>
      </c>
    </row>
    <row r="351" spans="1:10">
      <c r="A351">
        <v>38</v>
      </c>
      <c r="B351">
        <v>7</v>
      </c>
      <c r="C351" t="s">
        <v>51</v>
      </c>
      <c r="D351">
        <v>-33.9178744342803</v>
      </c>
      <c r="E351">
        <v>18.894524345059601</v>
      </c>
      <c r="F351">
        <v>4.3799999999999999E-2</v>
      </c>
      <c r="G351">
        <v>0.1096</v>
      </c>
      <c r="H351">
        <v>6.5750000000000003E-2</v>
      </c>
      <c r="I351">
        <v>2862.01509457569</v>
      </c>
      <c r="J351">
        <v>7534.3417225817602</v>
      </c>
    </row>
    <row r="352" spans="1:10">
      <c r="A352">
        <v>39</v>
      </c>
      <c r="B352">
        <v>7</v>
      </c>
      <c r="C352" t="s">
        <v>51</v>
      </c>
      <c r="D352">
        <v>-33.925168813678098</v>
      </c>
      <c r="E352">
        <v>18.876406621430402</v>
      </c>
      <c r="F352">
        <v>4.3799999999999999E-2</v>
      </c>
      <c r="G352">
        <v>0.1096</v>
      </c>
      <c r="H352">
        <v>6.5750000000000003E-2</v>
      </c>
      <c r="I352">
        <v>1088.9485159636599</v>
      </c>
      <c r="J352">
        <v>5671.9692550012396</v>
      </c>
    </row>
    <row r="353" spans="1:10">
      <c r="A353">
        <v>40</v>
      </c>
      <c r="B353">
        <v>7</v>
      </c>
      <c r="C353" t="s">
        <v>51</v>
      </c>
      <c r="D353">
        <v>-33.921454191143503</v>
      </c>
      <c r="E353">
        <v>18.8767827934767</v>
      </c>
      <c r="F353">
        <v>4.3799999999999999E-2</v>
      </c>
      <c r="G353">
        <v>0.1096</v>
      </c>
      <c r="H353">
        <v>6.5750000000000003E-2</v>
      </c>
      <c r="I353">
        <v>1461.90513675638</v>
      </c>
      <c r="J353">
        <v>5890.7043254153496</v>
      </c>
    </row>
    <row r="354" spans="1:10">
      <c r="A354">
        <v>41</v>
      </c>
      <c r="B354">
        <v>7</v>
      </c>
      <c r="C354" t="s">
        <v>51</v>
      </c>
      <c r="D354">
        <v>-33.919525753824402</v>
      </c>
      <c r="E354">
        <v>18.876592115293999</v>
      </c>
      <c r="F354">
        <v>4.3799999999999999E-2</v>
      </c>
      <c r="G354">
        <v>0.1096</v>
      </c>
      <c r="H354">
        <v>6.5750000000000003E-2</v>
      </c>
      <c r="I354">
        <v>1648.9844073693901</v>
      </c>
      <c r="J354">
        <v>5981.6105116520703</v>
      </c>
    </row>
    <row r="355" spans="1:10">
      <c r="A355">
        <v>42</v>
      </c>
      <c r="B355">
        <v>7</v>
      </c>
      <c r="C355" t="s">
        <v>51</v>
      </c>
      <c r="D355">
        <v>-33.919065944076202</v>
      </c>
      <c r="E355">
        <v>18.8851425204723</v>
      </c>
      <c r="F355">
        <v>4.3799999999999999E-2</v>
      </c>
      <c r="G355">
        <v>0.1096</v>
      </c>
      <c r="H355">
        <v>6.5750000000000003E-2</v>
      </c>
      <c r="I355">
        <v>2125.3287686839199</v>
      </c>
      <c r="J355">
        <v>6698.0397866100602</v>
      </c>
    </row>
    <row r="356" spans="1:10">
      <c r="A356">
        <v>43</v>
      </c>
      <c r="B356">
        <v>7</v>
      </c>
      <c r="C356" t="s">
        <v>51</v>
      </c>
      <c r="D356">
        <v>-33.9257344109906</v>
      </c>
      <c r="E356">
        <v>18.893133675166801</v>
      </c>
      <c r="F356">
        <v>4.3799999999999999E-2</v>
      </c>
      <c r="G356">
        <v>0.1096</v>
      </c>
      <c r="H356">
        <v>6.5750000000000003E-2</v>
      </c>
      <c r="I356">
        <v>2324.7351357779398</v>
      </c>
      <c r="J356">
        <v>7081.23298470999</v>
      </c>
    </row>
    <row r="357" spans="1:10">
      <c r="A357">
        <v>44</v>
      </c>
      <c r="B357">
        <v>7</v>
      </c>
      <c r="C357" t="s">
        <v>51</v>
      </c>
      <c r="D357">
        <v>-33.923652805582201</v>
      </c>
      <c r="E357">
        <v>18.879674885708098</v>
      </c>
      <c r="F357">
        <v>4.3799999999999999E-2</v>
      </c>
      <c r="G357">
        <v>0.1096</v>
      </c>
      <c r="H357">
        <v>6.5750000000000003E-2</v>
      </c>
      <c r="I357">
        <v>1408.3188346089901</v>
      </c>
      <c r="J357">
        <v>6017.4592752545204</v>
      </c>
    </row>
    <row r="358" spans="1:10">
      <c r="A358">
        <v>45</v>
      </c>
      <c r="B358">
        <v>7</v>
      </c>
      <c r="C358" t="s">
        <v>51</v>
      </c>
      <c r="D358">
        <v>-33.922913337068998</v>
      </c>
      <c r="E358">
        <v>18.877138234610999</v>
      </c>
      <c r="F358">
        <v>4.3799999999999999E-2</v>
      </c>
      <c r="G358">
        <v>0.1096</v>
      </c>
      <c r="H358">
        <v>6.5750000000000003E-2</v>
      </c>
      <c r="I358">
        <v>1335.96200920776</v>
      </c>
      <c r="J358">
        <v>5843.6140786135702</v>
      </c>
    </row>
    <row r="359" spans="1:10">
      <c r="A359">
        <v>46</v>
      </c>
      <c r="B359">
        <v>7</v>
      </c>
      <c r="C359" t="s">
        <v>51</v>
      </c>
      <c r="D359">
        <v>-33.925656196991703</v>
      </c>
      <c r="E359">
        <v>18.885314329210999</v>
      </c>
      <c r="F359">
        <v>4.3799999999999999E-2</v>
      </c>
      <c r="G359">
        <v>0.1096</v>
      </c>
      <c r="H359">
        <v>6.5750000000000003E-2</v>
      </c>
      <c r="I359">
        <v>1673.18624029176</v>
      </c>
      <c r="J359">
        <v>6406.7308618880197</v>
      </c>
    </row>
    <row r="360" spans="1:10">
      <c r="A360">
        <v>47</v>
      </c>
      <c r="B360">
        <v>7</v>
      </c>
      <c r="C360" t="s">
        <v>51</v>
      </c>
      <c r="D360">
        <v>-33.920126357851203</v>
      </c>
      <c r="E360">
        <v>18.877436178481101</v>
      </c>
      <c r="F360">
        <v>4.3799999999999999E-2</v>
      </c>
      <c r="G360">
        <v>0.1096</v>
      </c>
      <c r="H360">
        <v>6.5750000000000003E-2</v>
      </c>
      <c r="I360">
        <v>1620.83260159408</v>
      </c>
      <c r="J360">
        <v>6015.5662068944002</v>
      </c>
    </row>
    <row r="361" spans="1:10">
      <c r="A361">
        <v>48</v>
      </c>
      <c r="B361">
        <v>7</v>
      </c>
      <c r="C361" t="s">
        <v>51</v>
      </c>
      <c r="D361">
        <v>-33.9232598814338</v>
      </c>
      <c r="E361">
        <v>18.876255921566202</v>
      </c>
      <c r="F361">
        <v>4.3799999999999999E-2</v>
      </c>
      <c r="G361">
        <v>0.1096</v>
      </c>
      <c r="H361">
        <v>6.5750000000000003E-2</v>
      </c>
      <c r="I361">
        <v>1261.7811102935</v>
      </c>
      <c r="J361">
        <v>5753.3902061203298</v>
      </c>
    </row>
    <row r="362" spans="1:10">
      <c r="A362">
        <v>49</v>
      </c>
      <c r="B362">
        <v>7</v>
      </c>
      <c r="C362" t="s">
        <v>51</v>
      </c>
      <c r="D362">
        <v>-33.919238711242102</v>
      </c>
      <c r="E362">
        <v>18.8830744403236</v>
      </c>
      <c r="F362">
        <v>4.3799999999999999E-2</v>
      </c>
      <c r="G362">
        <v>0.1096</v>
      </c>
      <c r="H362">
        <v>6.5750000000000003E-2</v>
      </c>
      <c r="I362">
        <v>1986.3491268417599</v>
      </c>
      <c r="J362">
        <v>6519.8964506867496</v>
      </c>
    </row>
    <row r="363" spans="1:10">
      <c r="A363">
        <v>50</v>
      </c>
      <c r="B363">
        <v>7</v>
      </c>
      <c r="C363" t="s">
        <v>51</v>
      </c>
      <c r="D363">
        <v>-33.921015990468298</v>
      </c>
      <c r="E363">
        <v>18.887035291637801</v>
      </c>
      <c r="F363">
        <v>4.3799999999999999E-2</v>
      </c>
      <c r="G363">
        <v>0.1096</v>
      </c>
      <c r="H363">
        <v>6.5750000000000003E-2</v>
      </c>
      <c r="I363">
        <v>2101.4561063040001</v>
      </c>
      <c r="J363">
        <v>6758.4950388389898</v>
      </c>
    </row>
    <row r="364" spans="1:10">
      <c r="A364">
        <v>51</v>
      </c>
      <c r="B364">
        <v>7</v>
      </c>
      <c r="C364" t="s">
        <v>51</v>
      </c>
      <c r="D364">
        <v>-33.918051219529701</v>
      </c>
      <c r="E364">
        <v>18.887151887117401</v>
      </c>
      <c r="F364">
        <v>4.3799999999999999E-2</v>
      </c>
      <c r="G364">
        <v>0.1096</v>
      </c>
      <c r="H364">
        <v>6.5750000000000003E-2</v>
      </c>
      <c r="I364">
        <v>2334.7127604524098</v>
      </c>
      <c r="J364">
        <v>6915.0923111663496</v>
      </c>
    </row>
    <row r="365" spans="1:10">
      <c r="A365">
        <v>52</v>
      </c>
      <c r="B365">
        <v>7</v>
      </c>
      <c r="C365" t="s">
        <v>51</v>
      </c>
      <c r="D365">
        <v>-33.920131071826297</v>
      </c>
      <c r="E365">
        <v>18.871540440737899</v>
      </c>
      <c r="F365">
        <v>4.3799999999999999E-2</v>
      </c>
      <c r="G365">
        <v>0.1096</v>
      </c>
      <c r="H365">
        <v>6.5750000000000003E-2</v>
      </c>
      <c r="I365">
        <v>1462.5720205804801</v>
      </c>
      <c r="J365">
        <v>5548.0872779653801</v>
      </c>
    </row>
    <row r="366" spans="1:10">
      <c r="A366">
        <v>53</v>
      </c>
      <c r="B366">
        <v>7</v>
      </c>
      <c r="C366" t="s">
        <v>51</v>
      </c>
      <c r="D366">
        <v>-33.919187404643303</v>
      </c>
      <c r="E366">
        <v>18.874530882050301</v>
      </c>
      <c r="F366">
        <v>4.3799999999999999E-2</v>
      </c>
      <c r="G366">
        <v>0.1096</v>
      </c>
      <c r="H366">
        <v>6.5750000000000003E-2</v>
      </c>
      <c r="I366">
        <v>1620.7273590903501</v>
      </c>
      <c r="J366">
        <v>5838.1194887232396</v>
      </c>
    </row>
    <row r="367" spans="1:10">
      <c r="A367">
        <v>54</v>
      </c>
      <c r="B367">
        <v>7</v>
      </c>
      <c r="C367" t="s">
        <v>51</v>
      </c>
      <c r="D367">
        <v>-33.921508932686301</v>
      </c>
      <c r="E367">
        <v>18.883248713585498</v>
      </c>
      <c r="F367">
        <v>4.3799999999999999E-2</v>
      </c>
      <c r="G367">
        <v>0.1096</v>
      </c>
      <c r="H367">
        <v>6.5750000000000003E-2</v>
      </c>
      <c r="I367">
        <v>1807.5452779034499</v>
      </c>
      <c r="J367">
        <v>6418.9768204723096</v>
      </c>
    </row>
    <row r="368" spans="1:10">
      <c r="A368">
        <v>55</v>
      </c>
      <c r="B368">
        <v>7</v>
      </c>
      <c r="C368" t="s">
        <v>51</v>
      </c>
      <c r="D368">
        <v>-33.925477194639903</v>
      </c>
      <c r="E368">
        <v>18.893627661507999</v>
      </c>
      <c r="F368">
        <v>4.3799999999999999E-2</v>
      </c>
      <c r="G368">
        <v>0.1096</v>
      </c>
      <c r="H368">
        <v>6.5750000000000003E-2</v>
      </c>
      <c r="I368">
        <v>2377.66691503938</v>
      </c>
      <c r="J368">
        <v>7133.8772052821396</v>
      </c>
    </row>
    <row r="369" spans="1:10">
      <c r="A369">
        <v>56</v>
      </c>
      <c r="B369">
        <v>7</v>
      </c>
      <c r="C369" t="s">
        <v>51</v>
      </c>
      <c r="D369">
        <v>-33.925565810808102</v>
      </c>
      <c r="E369">
        <v>18.872075926652801</v>
      </c>
      <c r="F369">
        <v>4.3799999999999999E-2</v>
      </c>
      <c r="G369">
        <v>0.1096</v>
      </c>
      <c r="H369">
        <v>6.5750000000000003E-2</v>
      </c>
      <c r="I369">
        <v>1884.0160000000001</v>
      </c>
      <c r="J369">
        <v>5912.4930000000004</v>
      </c>
    </row>
    <row r="370" spans="1:10">
      <c r="A370">
        <v>57</v>
      </c>
      <c r="B370">
        <v>7</v>
      </c>
      <c r="C370" t="s">
        <v>51</v>
      </c>
      <c r="D370">
        <v>-33.917849626517501</v>
      </c>
      <c r="E370">
        <v>18.879152909708701</v>
      </c>
      <c r="F370">
        <v>4.3799999999999999E-2</v>
      </c>
      <c r="G370">
        <v>0.1096</v>
      </c>
      <c r="H370">
        <v>6.5750000000000003E-2</v>
      </c>
      <c r="I370">
        <v>3134.2779999999998</v>
      </c>
      <c r="J370">
        <v>7834.24</v>
      </c>
    </row>
    <row r="371" spans="1:10">
      <c r="A371">
        <v>58</v>
      </c>
      <c r="B371">
        <v>7</v>
      </c>
      <c r="C371" t="s">
        <v>51</v>
      </c>
      <c r="D371">
        <v>-33.919377146328102</v>
      </c>
      <c r="E371">
        <v>18.873218424416599</v>
      </c>
      <c r="F371">
        <v>4.3799999999999999E-2</v>
      </c>
      <c r="G371">
        <v>0.1096</v>
      </c>
      <c r="H371">
        <v>6.5750000000000003E-2</v>
      </c>
      <c r="I371">
        <v>4039.7649999999999</v>
      </c>
      <c r="J371">
        <v>7265.9650000000001</v>
      </c>
    </row>
    <row r="372" spans="1:10">
      <c r="A372">
        <v>59</v>
      </c>
      <c r="B372">
        <v>7</v>
      </c>
      <c r="C372" t="s">
        <v>51</v>
      </c>
      <c r="D372">
        <v>-33.922990694568199</v>
      </c>
      <c r="E372">
        <v>18.873392671234701</v>
      </c>
      <c r="F372">
        <v>4.3799999999999999E-2</v>
      </c>
      <c r="G372">
        <v>0.1096</v>
      </c>
      <c r="H372">
        <v>6.5750000000000003E-2</v>
      </c>
      <c r="I372">
        <v>1919.2819999999999</v>
      </c>
      <c r="J372">
        <v>6316.2290000000003</v>
      </c>
    </row>
    <row r="373" spans="1:10">
      <c r="A373">
        <v>60</v>
      </c>
      <c r="B373">
        <v>7</v>
      </c>
      <c r="C373" t="s">
        <v>51</v>
      </c>
      <c r="D373">
        <v>-33.918058984262998</v>
      </c>
      <c r="E373">
        <v>18.871487569248799</v>
      </c>
      <c r="F373">
        <v>4.3799999999999999E-2</v>
      </c>
      <c r="G373">
        <v>0.1096</v>
      </c>
      <c r="H373">
        <v>6.5750000000000003E-2</v>
      </c>
      <c r="I373">
        <v>3423.6410000000001</v>
      </c>
      <c r="J373">
        <v>6649.8419999999996</v>
      </c>
    </row>
    <row r="374" spans="1:10">
      <c r="A374">
        <v>61</v>
      </c>
      <c r="B374">
        <v>7</v>
      </c>
      <c r="C374" t="s">
        <v>51</v>
      </c>
      <c r="D374">
        <v>-33.918116250607</v>
      </c>
      <c r="E374">
        <v>18.8730634864867</v>
      </c>
      <c r="F374">
        <v>4.3799999999999999E-2</v>
      </c>
      <c r="G374">
        <v>0.1096</v>
      </c>
      <c r="H374">
        <v>6.5750000000000003E-2</v>
      </c>
      <c r="I374">
        <v>3657.2779999999998</v>
      </c>
      <c r="J374">
        <v>6883.4780000000001</v>
      </c>
    </row>
    <row r="375" spans="1:10">
      <c r="A375">
        <v>62</v>
      </c>
      <c r="B375">
        <v>7</v>
      </c>
      <c r="C375" t="s">
        <v>51</v>
      </c>
      <c r="D375">
        <v>-33.924430783319004</v>
      </c>
      <c r="E375">
        <v>18.890654931745502</v>
      </c>
      <c r="F375">
        <v>4.3799999999999999E-2</v>
      </c>
      <c r="G375">
        <v>0.1096</v>
      </c>
      <c r="H375">
        <v>6.5750000000000003E-2</v>
      </c>
      <c r="I375">
        <v>2634.799</v>
      </c>
      <c r="J375">
        <v>7693.2129999999997</v>
      </c>
    </row>
    <row r="376" spans="1:10">
      <c r="A376">
        <v>63</v>
      </c>
      <c r="B376">
        <v>7</v>
      </c>
      <c r="C376" t="s">
        <v>51</v>
      </c>
      <c r="D376">
        <v>-33.9200536048331</v>
      </c>
      <c r="E376">
        <v>18.8898943880106</v>
      </c>
      <c r="F376">
        <v>4.3799999999999999E-2</v>
      </c>
      <c r="G376">
        <v>0.1096</v>
      </c>
      <c r="H376">
        <v>6.5750000000000003E-2</v>
      </c>
      <c r="I376">
        <v>2905.174</v>
      </c>
      <c r="J376">
        <v>7963.5889999999999</v>
      </c>
    </row>
    <row r="377" spans="1:10">
      <c r="A377">
        <v>64</v>
      </c>
      <c r="B377">
        <v>7</v>
      </c>
      <c r="C377" t="s">
        <v>51</v>
      </c>
      <c r="D377">
        <v>-33.921850160470797</v>
      </c>
      <c r="E377">
        <v>18.888495189529699</v>
      </c>
      <c r="F377">
        <v>4.3799999999999999E-2</v>
      </c>
      <c r="G377">
        <v>0.1096</v>
      </c>
      <c r="H377">
        <v>6.5750000000000003E-2</v>
      </c>
      <c r="I377">
        <v>2598.8580000000002</v>
      </c>
      <c r="J377">
        <v>7657.2730000000001</v>
      </c>
    </row>
    <row r="378" spans="1:10">
      <c r="A378">
        <v>65</v>
      </c>
      <c r="B378">
        <v>7</v>
      </c>
      <c r="C378" t="s">
        <v>51</v>
      </c>
      <c r="D378">
        <v>-33.923094231643503</v>
      </c>
      <c r="E378">
        <v>18.891807141837699</v>
      </c>
      <c r="F378">
        <v>4.3799999999999999E-2</v>
      </c>
      <c r="G378">
        <v>0.1096</v>
      </c>
      <c r="H378">
        <v>6.5750000000000003E-2</v>
      </c>
      <c r="I378">
        <v>2916.32</v>
      </c>
      <c r="J378">
        <v>7974.7349999999997</v>
      </c>
    </row>
    <row r="379" spans="1:10">
      <c r="A379">
        <v>66</v>
      </c>
      <c r="B379">
        <v>7</v>
      </c>
      <c r="C379" t="s">
        <v>51</v>
      </c>
      <c r="D379">
        <v>-33.925678845800803</v>
      </c>
      <c r="E379">
        <v>18.876282496190601</v>
      </c>
      <c r="F379">
        <v>4.3799999999999999E-2</v>
      </c>
      <c r="G379">
        <v>0.1096</v>
      </c>
      <c r="H379">
        <v>6.5750000000000003E-2</v>
      </c>
      <c r="I379">
        <v>1520.0029999999999</v>
      </c>
      <c r="J379">
        <v>6336.3670000000002</v>
      </c>
    </row>
    <row r="380" spans="1:10">
      <c r="A380">
        <v>67</v>
      </c>
      <c r="B380">
        <v>7</v>
      </c>
      <c r="C380" t="s">
        <v>51</v>
      </c>
      <c r="D380">
        <v>-33.923748732083098</v>
      </c>
      <c r="E380">
        <v>18.891884873734</v>
      </c>
      <c r="F380">
        <v>4.3799999999999999E-2</v>
      </c>
      <c r="G380">
        <v>0.1096</v>
      </c>
      <c r="H380">
        <v>6.5750000000000003E-2</v>
      </c>
      <c r="I380">
        <v>2308.7982818718501</v>
      </c>
      <c r="J380">
        <v>7050.16900064533</v>
      </c>
    </row>
    <row r="381" spans="1:10">
      <c r="A381">
        <v>68</v>
      </c>
      <c r="B381">
        <v>7</v>
      </c>
      <c r="C381" t="s">
        <v>51</v>
      </c>
      <c r="D381">
        <v>-33.9247078782982</v>
      </c>
      <c r="E381">
        <v>18.879089836366699</v>
      </c>
      <c r="F381">
        <v>4.3799999999999999E-2</v>
      </c>
      <c r="G381">
        <v>0.1096</v>
      </c>
      <c r="H381">
        <v>6.5750000000000003E-2</v>
      </c>
      <c r="I381">
        <v>1284.9460848936001</v>
      </c>
      <c r="J381">
        <v>5918.6687222107103</v>
      </c>
    </row>
    <row r="382" spans="1:10">
      <c r="A382">
        <v>69</v>
      </c>
      <c r="B382">
        <v>7</v>
      </c>
      <c r="C382" t="s">
        <v>51</v>
      </c>
      <c r="D382">
        <v>-33.919353955623997</v>
      </c>
      <c r="E382">
        <v>18.887662966804498</v>
      </c>
      <c r="F382">
        <v>4.3799999999999999E-2</v>
      </c>
      <c r="G382">
        <v>0.1096</v>
      </c>
      <c r="H382">
        <v>6.5750000000000003E-2</v>
      </c>
      <c r="I382">
        <v>2267.1804299953601</v>
      </c>
      <c r="J382">
        <v>6891.32796109026</v>
      </c>
    </row>
    <row r="383" spans="1:10">
      <c r="A383">
        <v>70</v>
      </c>
      <c r="B383">
        <v>7</v>
      </c>
      <c r="C383" t="s">
        <v>51</v>
      </c>
      <c r="D383">
        <v>-33.925588817043703</v>
      </c>
      <c r="E383">
        <v>18.8822346224349</v>
      </c>
      <c r="F383">
        <v>4.3799999999999999E-2</v>
      </c>
      <c r="G383">
        <v>0.1096</v>
      </c>
      <c r="H383">
        <v>6.5750000000000003E-2</v>
      </c>
      <c r="I383">
        <v>1438.0779685058901</v>
      </c>
      <c r="J383">
        <v>6145.7197740218198</v>
      </c>
    </row>
    <row r="384" spans="1:10">
      <c r="A384">
        <v>71</v>
      </c>
      <c r="B384">
        <v>7</v>
      </c>
      <c r="C384" t="s">
        <v>51</v>
      </c>
      <c r="D384">
        <v>-33.922350933024497</v>
      </c>
      <c r="E384">
        <v>18.8822698620225</v>
      </c>
      <c r="F384">
        <v>4.3799999999999999E-2</v>
      </c>
      <c r="G384">
        <v>0.1096</v>
      </c>
      <c r="H384">
        <v>6.5750000000000003E-2</v>
      </c>
      <c r="I384">
        <v>2045.4090000000001</v>
      </c>
      <c r="J384">
        <v>7103.8230000000003</v>
      </c>
    </row>
    <row r="385" spans="1:10">
      <c r="A385">
        <v>72</v>
      </c>
      <c r="B385">
        <v>7</v>
      </c>
      <c r="C385" t="s">
        <v>51</v>
      </c>
      <c r="D385">
        <v>-33.918511495944799</v>
      </c>
      <c r="E385">
        <v>18.891382549698001</v>
      </c>
      <c r="F385">
        <v>4.3799999999999999E-2</v>
      </c>
      <c r="G385">
        <v>0.1096</v>
      </c>
      <c r="H385">
        <v>6.5750000000000003E-2</v>
      </c>
      <c r="I385">
        <v>3173.16</v>
      </c>
      <c r="J385">
        <v>8231.5750000000007</v>
      </c>
    </row>
    <row r="386" spans="1:10">
      <c r="A386">
        <v>73</v>
      </c>
      <c r="B386">
        <v>7</v>
      </c>
      <c r="C386" t="s">
        <v>51</v>
      </c>
      <c r="D386">
        <v>-33.925171023675198</v>
      </c>
      <c r="E386">
        <v>18.892039156453801</v>
      </c>
      <c r="F386">
        <v>4.3799999999999999E-2</v>
      </c>
      <c r="G386">
        <v>0.1096</v>
      </c>
      <c r="H386">
        <v>6.5750000000000003E-2</v>
      </c>
      <c r="I386">
        <v>2935.6480000000001</v>
      </c>
      <c r="J386">
        <v>7994.0619999999999</v>
      </c>
    </row>
    <row r="387" spans="1:10">
      <c r="A387">
        <v>74</v>
      </c>
      <c r="B387">
        <v>7</v>
      </c>
      <c r="C387" t="s">
        <v>51</v>
      </c>
      <c r="D387">
        <v>-33.920462600931003</v>
      </c>
      <c r="E387">
        <v>18.8831404692544</v>
      </c>
      <c r="F387">
        <v>4.3799999999999999E-2</v>
      </c>
      <c r="G387">
        <v>0.1096</v>
      </c>
      <c r="H387">
        <v>6.5750000000000003E-2</v>
      </c>
      <c r="I387">
        <v>2190.81</v>
      </c>
      <c r="J387">
        <v>7249.2250000000004</v>
      </c>
    </row>
    <row r="388" spans="1:10">
      <c r="A388">
        <v>75</v>
      </c>
      <c r="B388">
        <v>7</v>
      </c>
      <c r="C388" t="s">
        <v>51</v>
      </c>
      <c r="D388">
        <v>-33.922986428076797</v>
      </c>
      <c r="E388">
        <v>18.874933130215801</v>
      </c>
      <c r="F388">
        <v>4.3799999999999999E-2</v>
      </c>
      <c r="G388">
        <v>0.1096</v>
      </c>
      <c r="H388">
        <v>6.5750000000000003E-2</v>
      </c>
      <c r="I388">
        <v>2045.675</v>
      </c>
      <c r="J388">
        <v>6442.6220000000003</v>
      </c>
    </row>
    <row r="389" spans="1:10">
      <c r="A389">
        <v>76</v>
      </c>
      <c r="B389">
        <v>7</v>
      </c>
      <c r="C389" t="s">
        <v>51</v>
      </c>
      <c r="D389">
        <v>-33.918668094980298</v>
      </c>
      <c r="E389">
        <v>18.880637791720599</v>
      </c>
      <c r="F389">
        <v>4.3799999999999999E-2</v>
      </c>
      <c r="G389">
        <v>0.1096</v>
      </c>
      <c r="H389">
        <v>6.5750000000000003E-2</v>
      </c>
      <c r="I389">
        <v>2498.9749999999999</v>
      </c>
      <c r="J389">
        <v>7198.9359999999997</v>
      </c>
    </row>
    <row r="390" spans="1:10">
      <c r="A390">
        <v>77</v>
      </c>
      <c r="B390">
        <v>7</v>
      </c>
      <c r="C390" t="s">
        <v>51</v>
      </c>
      <c r="D390">
        <v>-33.924899969703503</v>
      </c>
      <c r="E390">
        <v>18.8766865900329</v>
      </c>
      <c r="F390">
        <v>4.3799999999999999E-2</v>
      </c>
      <c r="G390">
        <v>0.1096</v>
      </c>
      <c r="H390">
        <v>6.5750000000000003E-2</v>
      </c>
      <c r="I390">
        <v>1468.7470000000001</v>
      </c>
      <c r="J390">
        <v>6327.7629999999999</v>
      </c>
    </row>
    <row r="391" spans="1:10">
      <c r="A391">
        <v>78</v>
      </c>
      <c r="B391">
        <v>7</v>
      </c>
      <c r="C391" t="s">
        <v>51</v>
      </c>
      <c r="D391">
        <v>-33.9185412693015</v>
      </c>
      <c r="E391">
        <v>18.8714896790433</v>
      </c>
      <c r="F391">
        <v>4.3799999999999999E-2</v>
      </c>
      <c r="G391">
        <v>0.1096</v>
      </c>
      <c r="H391">
        <v>6.5750000000000003E-2</v>
      </c>
      <c r="I391">
        <v>3464.0169999999998</v>
      </c>
      <c r="J391">
        <v>6690.2169999999996</v>
      </c>
    </row>
    <row r="392" spans="1:10">
      <c r="A392">
        <v>79</v>
      </c>
      <c r="B392">
        <v>7</v>
      </c>
      <c r="C392" t="s">
        <v>51</v>
      </c>
      <c r="D392">
        <v>-33.9255927974801</v>
      </c>
      <c r="E392">
        <v>18.889173667336198</v>
      </c>
      <c r="F392">
        <v>4.3799999999999999E-2</v>
      </c>
      <c r="G392">
        <v>0.1096</v>
      </c>
      <c r="H392">
        <v>6.5750000000000003E-2</v>
      </c>
      <c r="I392">
        <v>2499.2220000000002</v>
      </c>
      <c r="J392">
        <v>7557.6369999999997</v>
      </c>
    </row>
    <row r="393" spans="1:10">
      <c r="A393">
        <v>80</v>
      </c>
      <c r="B393">
        <v>7</v>
      </c>
      <c r="C393" t="s">
        <v>51</v>
      </c>
      <c r="D393">
        <v>-33.923101946886597</v>
      </c>
      <c r="E393">
        <v>18.885854045188101</v>
      </c>
      <c r="F393">
        <v>4.3799999999999999E-2</v>
      </c>
      <c r="G393">
        <v>0.1096</v>
      </c>
      <c r="H393">
        <v>6.5750000000000003E-2</v>
      </c>
      <c r="I393">
        <v>2293.4050000000002</v>
      </c>
      <c r="J393">
        <v>7351.82</v>
      </c>
    </row>
    <row r="394" spans="1:10">
      <c r="A394">
        <v>81</v>
      </c>
      <c r="B394">
        <v>7</v>
      </c>
      <c r="C394" t="s">
        <v>51</v>
      </c>
      <c r="D394">
        <v>-33.920692411503097</v>
      </c>
      <c r="E394">
        <v>18.872443957528699</v>
      </c>
      <c r="F394">
        <v>4.3799999999999999E-2</v>
      </c>
      <c r="G394">
        <v>0.1096</v>
      </c>
      <c r="H394">
        <v>6.5750000000000003E-2</v>
      </c>
      <c r="I394">
        <v>4283.6670000000004</v>
      </c>
      <c r="J394">
        <v>7509.8680000000004</v>
      </c>
    </row>
    <row r="395" spans="1:10">
      <c r="A395">
        <v>82</v>
      </c>
      <c r="B395">
        <v>7</v>
      </c>
      <c r="C395" t="s">
        <v>51</v>
      </c>
      <c r="D395">
        <v>-33.921676118385399</v>
      </c>
      <c r="E395">
        <v>18.892538118866799</v>
      </c>
      <c r="F395">
        <v>4.3799999999999999E-2</v>
      </c>
      <c r="G395">
        <v>0.1096</v>
      </c>
      <c r="H395">
        <v>6.5750000000000003E-2</v>
      </c>
      <c r="I395">
        <v>3066.0349999999999</v>
      </c>
      <c r="J395">
        <v>8124.45</v>
      </c>
    </row>
    <row r="396" spans="1:10">
      <c r="A396">
        <v>83</v>
      </c>
      <c r="B396">
        <v>7</v>
      </c>
      <c r="C396" t="s">
        <v>51</v>
      </c>
      <c r="D396">
        <v>-33.924792162908098</v>
      </c>
      <c r="E396">
        <v>18.874768133227501</v>
      </c>
      <c r="F396">
        <v>4.3799999999999999E-2</v>
      </c>
      <c r="G396">
        <v>0.1096</v>
      </c>
      <c r="H396">
        <v>6.5750000000000003E-2</v>
      </c>
      <c r="I396">
        <v>1645.77</v>
      </c>
      <c r="J396">
        <v>6150.74</v>
      </c>
    </row>
    <row r="397" spans="1:10">
      <c r="A397">
        <v>84</v>
      </c>
      <c r="B397">
        <v>7</v>
      </c>
      <c r="C397" t="s">
        <v>51</v>
      </c>
      <c r="D397">
        <v>-33.919879034370197</v>
      </c>
      <c r="E397">
        <v>18.890304082536499</v>
      </c>
      <c r="F397">
        <v>4.3799999999999999E-2</v>
      </c>
      <c r="G397">
        <v>0.1096</v>
      </c>
      <c r="H397">
        <v>6.5750000000000003E-2</v>
      </c>
      <c r="I397">
        <v>2962.8270000000002</v>
      </c>
      <c r="J397">
        <v>8021.2420000000002</v>
      </c>
    </row>
    <row r="398" spans="1:10">
      <c r="A398">
        <v>85</v>
      </c>
      <c r="B398">
        <v>7</v>
      </c>
      <c r="C398" t="s">
        <v>51</v>
      </c>
      <c r="D398">
        <v>-33.922697134998401</v>
      </c>
      <c r="E398">
        <v>18.881901927846499</v>
      </c>
      <c r="F398">
        <v>4.3799999999999999E-2</v>
      </c>
      <c r="G398">
        <v>0.1096</v>
      </c>
      <c r="H398">
        <v>6.5750000000000003E-2</v>
      </c>
      <c r="I398">
        <v>1943.1</v>
      </c>
      <c r="J398">
        <v>7001.5150000000003</v>
      </c>
    </row>
    <row r="399" spans="1:10">
      <c r="A399">
        <v>86</v>
      </c>
      <c r="B399">
        <v>7</v>
      </c>
      <c r="C399" t="s">
        <v>51</v>
      </c>
      <c r="D399">
        <v>-33.9185535338775</v>
      </c>
      <c r="E399">
        <v>18.887992050222302</v>
      </c>
      <c r="F399">
        <v>4.3799999999999999E-2</v>
      </c>
      <c r="G399">
        <v>0.1096</v>
      </c>
      <c r="H399">
        <v>6.5750000000000003E-2</v>
      </c>
      <c r="I399">
        <v>2678.3069999999998</v>
      </c>
      <c r="J399">
        <v>7736.7209999999995</v>
      </c>
    </row>
    <row r="400" spans="1:10">
      <c r="A400">
        <v>87</v>
      </c>
      <c r="B400">
        <v>7</v>
      </c>
      <c r="C400" t="s">
        <v>51</v>
      </c>
      <c r="D400">
        <v>-33.917865050233502</v>
      </c>
      <c r="E400">
        <v>18.888621111171901</v>
      </c>
      <c r="F400">
        <v>4.3799999999999999E-2</v>
      </c>
      <c r="G400">
        <v>0.1096</v>
      </c>
      <c r="H400">
        <v>6.5750000000000003E-2</v>
      </c>
      <c r="I400">
        <v>3224.5189999999998</v>
      </c>
      <c r="J400">
        <v>8282.9339999999993</v>
      </c>
    </row>
    <row r="401" spans="1:12">
      <c r="A401">
        <v>88</v>
      </c>
      <c r="B401">
        <v>7</v>
      </c>
      <c r="C401" t="s">
        <v>51</v>
      </c>
      <c r="D401">
        <v>-33.921654134790401</v>
      </c>
      <c r="E401">
        <v>18.8771973982176</v>
      </c>
      <c r="F401">
        <v>4.3799999999999999E-2</v>
      </c>
      <c r="G401">
        <v>0.1096</v>
      </c>
      <c r="H401">
        <v>6.5750000000000003E-2</v>
      </c>
      <c r="I401">
        <v>2306.0680000000002</v>
      </c>
      <c r="J401">
        <v>7006.03</v>
      </c>
    </row>
    <row r="402" spans="1:12">
      <c r="A402">
        <v>89</v>
      </c>
      <c r="B402">
        <v>7</v>
      </c>
      <c r="C402" t="s">
        <v>51</v>
      </c>
      <c r="D402">
        <v>-33.925729613375999</v>
      </c>
      <c r="E402">
        <v>18.883173860910301</v>
      </c>
      <c r="F402">
        <v>4.3799999999999999E-2</v>
      </c>
      <c r="G402">
        <v>0.1096</v>
      </c>
      <c r="H402">
        <v>6.5750000000000003E-2</v>
      </c>
      <c r="I402">
        <v>1881.098</v>
      </c>
      <c r="J402">
        <v>6939.5129999999999</v>
      </c>
    </row>
    <row r="403" spans="1:12">
      <c r="A403">
        <v>90</v>
      </c>
      <c r="B403">
        <v>7</v>
      </c>
      <c r="C403" t="s">
        <v>51</v>
      </c>
      <c r="D403">
        <v>-33.9200111647135</v>
      </c>
      <c r="E403">
        <v>18.883408205014</v>
      </c>
      <c r="F403">
        <v>4.3799999999999999E-2</v>
      </c>
      <c r="G403">
        <v>0.1096</v>
      </c>
      <c r="H403">
        <v>6.5750000000000003E-2</v>
      </c>
      <c r="I403">
        <v>2246.6370000000002</v>
      </c>
      <c r="J403">
        <v>7305.0510000000004</v>
      </c>
    </row>
    <row r="404" spans="1:12">
      <c r="A404">
        <v>91</v>
      </c>
      <c r="B404">
        <v>7</v>
      </c>
      <c r="C404" t="s">
        <v>51</v>
      </c>
      <c r="D404">
        <v>-33.923187437540598</v>
      </c>
      <c r="E404">
        <v>18.892965652392999</v>
      </c>
      <c r="F404">
        <v>4.3799999999999999E-2</v>
      </c>
      <c r="G404">
        <v>0.1096</v>
      </c>
      <c r="H404">
        <v>6.5750000000000003E-2</v>
      </c>
      <c r="I404">
        <v>2933.5279999999998</v>
      </c>
      <c r="J404">
        <v>7991.9430000000002</v>
      </c>
    </row>
    <row r="405" spans="1:12">
      <c r="A405">
        <v>92</v>
      </c>
      <c r="B405">
        <v>7</v>
      </c>
      <c r="C405" t="s">
        <v>51</v>
      </c>
      <c r="D405">
        <v>-33.917877959397899</v>
      </c>
      <c r="E405">
        <v>18.8783773154031</v>
      </c>
      <c r="F405">
        <v>4.3799999999999999E-2</v>
      </c>
      <c r="G405">
        <v>0.1096</v>
      </c>
      <c r="H405">
        <v>6.5750000000000003E-2</v>
      </c>
      <c r="I405">
        <v>2544.0079999999998</v>
      </c>
      <c r="J405">
        <v>7243.9690000000001</v>
      </c>
    </row>
    <row r="406" spans="1:12">
      <c r="A406">
        <v>93</v>
      </c>
      <c r="B406">
        <v>7</v>
      </c>
      <c r="C406" t="s">
        <v>51</v>
      </c>
      <c r="D406">
        <v>-33.920398458180401</v>
      </c>
      <c r="E406">
        <v>18.889110562091901</v>
      </c>
      <c r="F406">
        <v>4.3799999999999999E-2</v>
      </c>
      <c r="G406">
        <v>0.1096</v>
      </c>
      <c r="H406">
        <v>6.5750000000000003E-2</v>
      </c>
      <c r="I406">
        <v>2774.415</v>
      </c>
      <c r="J406">
        <v>7832.83</v>
      </c>
    </row>
    <row r="407" spans="1:12">
      <c r="A407">
        <v>94</v>
      </c>
      <c r="B407">
        <v>7</v>
      </c>
      <c r="C407" t="s">
        <v>51</v>
      </c>
      <c r="D407">
        <v>-33.918657904704602</v>
      </c>
      <c r="E407">
        <v>18.889272289527302</v>
      </c>
      <c r="F407">
        <v>4.3799999999999999E-2</v>
      </c>
      <c r="G407">
        <v>0.1096</v>
      </c>
      <c r="H407">
        <v>6.5750000000000003E-2</v>
      </c>
      <c r="I407">
        <v>3165.0790000000002</v>
      </c>
      <c r="J407">
        <v>8223.4940000000006</v>
      </c>
    </row>
    <row r="408" spans="1:12">
      <c r="A408">
        <v>95</v>
      </c>
      <c r="B408">
        <v>7</v>
      </c>
      <c r="C408" t="s">
        <v>51</v>
      </c>
      <c r="D408">
        <v>-33.926243486627897</v>
      </c>
      <c r="E408">
        <v>18.876476616872001</v>
      </c>
      <c r="F408">
        <v>4.3799999999999999E-2</v>
      </c>
      <c r="G408">
        <v>0.1096</v>
      </c>
      <c r="H408">
        <v>6.5750000000000003E-2</v>
      </c>
      <c r="I408">
        <v>1220.6659999999999</v>
      </c>
      <c r="J408">
        <v>6266.29</v>
      </c>
      <c r="L408">
        <f ca="1">RANDBETWEEN(0,106)</f>
        <v>15</v>
      </c>
    </row>
    <row r="409" spans="1:12">
      <c r="A409">
        <v>96</v>
      </c>
      <c r="B409">
        <v>7</v>
      </c>
      <c r="C409" t="s">
        <v>51</v>
      </c>
      <c r="D409">
        <v>-33.9236268526085</v>
      </c>
      <c r="E409">
        <v>18.8852902527093</v>
      </c>
      <c r="F409">
        <v>4.3799999999999999E-2</v>
      </c>
      <c r="G409">
        <v>0.1096</v>
      </c>
      <c r="H409">
        <v>6.5750000000000003E-2</v>
      </c>
      <c r="I409">
        <v>2194.991</v>
      </c>
      <c r="J409">
        <v>7253.4059999999999</v>
      </c>
    </row>
    <row r="410" spans="1:12">
      <c r="A410">
        <v>97</v>
      </c>
      <c r="B410">
        <v>7</v>
      </c>
      <c r="C410" t="s">
        <v>51</v>
      </c>
      <c r="D410">
        <v>-33.925601305169401</v>
      </c>
      <c r="E410">
        <v>18.883646579144699</v>
      </c>
      <c r="F410">
        <v>4.3799999999999999E-2</v>
      </c>
      <c r="G410">
        <v>0.1096</v>
      </c>
      <c r="H410">
        <v>6.5750000000000003E-2</v>
      </c>
      <c r="I410">
        <v>1922.452</v>
      </c>
      <c r="J410">
        <v>6980.8670000000002</v>
      </c>
    </row>
    <row r="411" spans="1:12">
      <c r="A411">
        <v>98</v>
      </c>
      <c r="B411">
        <v>7</v>
      </c>
      <c r="C411" t="s">
        <v>51</v>
      </c>
      <c r="D411">
        <v>-33.9254851836547</v>
      </c>
      <c r="E411">
        <v>18.8842683992216</v>
      </c>
      <c r="F411">
        <v>4.3799999999999999E-2</v>
      </c>
      <c r="G411">
        <v>0.1096</v>
      </c>
      <c r="H411">
        <v>6.5750000000000003E-2</v>
      </c>
      <c r="I411">
        <v>2025.55</v>
      </c>
      <c r="J411">
        <v>7083.9650000000001</v>
      </c>
    </row>
    <row r="412" spans="1:12">
      <c r="A412">
        <v>99</v>
      </c>
      <c r="B412">
        <v>7</v>
      </c>
      <c r="C412" t="s">
        <v>51</v>
      </c>
      <c r="D412">
        <v>-33.9233514571592</v>
      </c>
      <c r="E412">
        <v>18.8822343017973</v>
      </c>
      <c r="F412">
        <v>4.3799999999999999E-2</v>
      </c>
      <c r="G412">
        <v>0.1096</v>
      </c>
      <c r="H412">
        <v>6.5750000000000003E-2</v>
      </c>
      <c r="I412">
        <v>2025.799</v>
      </c>
      <c r="J412">
        <v>7084.2139999999999</v>
      </c>
    </row>
    <row r="413" spans="1:12">
      <c r="A413">
        <v>100</v>
      </c>
      <c r="B413">
        <v>7</v>
      </c>
      <c r="C413" t="s">
        <v>51</v>
      </c>
      <c r="D413">
        <v>-33.920017549557301</v>
      </c>
      <c r="E413">
        <v>18.871864668125198</v>
      </c>
      <c r="F413">
        <v>4.3799999999999999E-2</v>
      </c>
      <c r="G413">
        <v>0.1096</v>
      </c>
      <c r="H413">
        <v>6.5750000000000003E-2</v>
      </c>
      <c r="I413">
        <v>3597.0430000000001</v>
      </c>
      <c r="J413">
        <v>6823.2439999999997</v>
      </c>
    </row>
    <row r="414" spans="1:12">
      <c r="A414">
        <v>101</v>
      </c>
      <c r="B414">
        <v>7</v>
      </c>
      <c r="C414" t="s">
        <v>51</v>
      </c>
      <c r="D414">
        <v>-33.924602633173301</v>
      </c>
      <c r="E414">
        <v>18.884915542174099</v>
      </c>
      <c r="F414">
        <v>4.3799999999999999E-2</v>
      </c>
      <c r="G414">
        <v>0.1096</v>
      </c>
      <c r="H414">
        <v>6.5750000000000003E-2</v>
      </c>
      <c r="I414">
        <v>2112.3879999999999</v>
      </c>
      <c r="J414">
        <v>7170.8019999999997</v>
      </c>
    </row>
    <row r="415" spans="1:12">
      <c r="A415">
        <v>102</v>
      </c>
      <c r="B415">
        <v>7</v>
      </c>
      <c r="C415" t="s">
        <v>51</v>
      </c>
      <c r="D415">
        <v>-33.922057066595201</v>
      </c>
      <c r="E415">
        <v>18.8926268547931</v>
      </c>
      <c r="F415">
        <v>4.3799999999999999E-2</v>
      </c>
      <c r="G415">
        <v>0.1096</v>
      </c>
      <c r="H415">
        <v>6.5750000000000003E-2</v>
      </c>
      <c r="I415">
        <v>3016.8119999999999</v>
      </c>
      <c r="J415">
        <v>8075.2269999999999</v>
      </c>
    </row>
    <row r="416" spans="1:12">
      <c r="A416">
        <v>103</v>
      </c>
      <c r="B416">
        <v>7</v>
      </c>
      <c r="C416" t="s">
        <v>51</v>
      </c>
      <c r="D416">
        <v>-33.919140305735603</v>
      </c>
      <c r="E416">
        <v>18.8831008684548</v>
      </c>
      <c r="F416">
        <v>4.3799999999999999E-2</v>
      </c>
      <c r="G416">
        <v>0.1096</v>
      </c>
      <c r="H416">
        <v>6.5750000000000003E-2</v>
      </c>
      <c r="I416">
        <v>2241.3809999999999</v>
      </c>
      <c r="J416">
        <v>7299.7960000000003</v>
      </c>
    </row>
    <row r="417" spans="1:10">
      <c r="A417">
        <v>104</v>
      </c>
      <c r="B417">
        <v>7</v>
      </c>
      <c r="C417" t="s">
        <v>51</v>
      </c>
      <c r="D417">
        <v>-33.926144492389199</v>
      </c>
      <c r="E417">
        <v>18.893637161898599</v>
      </c>
      <c r="F417">
        <v>4.3799999999999999E-2</v>
      </c>
      <c r="G417">
        <v>0.1096</v>
      </c>
      <c r="H417">
        <v>6.5750000000000003E-2</v>
      </c>
      <c r="I417">
        <v>2881.134</v>
      </c>
      <c r="J417">
        <v>7939.5479999999998</v>
      </c>
    </row>
    <row r="418" spans="1:10">
      <c r="A418">
        <v>105</v>
      </c>
      <c r="B418">
        <v>7</v>
      </c>
      <c r="C418" t="s">
        <v>51</v>
      </c>
      <c r="D418">
        <v>-33.918456016802999</v>
      </c>
      <c r="E418">
        <v>18.885497048947201</v>
      </c>
      <c r="F418">
        <v>4.3799999999999999E-2</v>
      </c>
      <c r="G418">
        <v>0.1096</v>
      </c>
      <c r="H418">
        <v>6.5750000000000003E-2</v>
      </c>
      <c r="I418">
        <v>2462.2759999999998</v>
      </c>
      <c r="J418">
        <v>7520.6909999999998</v>
      </c>
    </row>
    <row r="419" spans="1:10">
      <c r="A419">
        <v>106</v>
      </c>
      <c r="B419">
        <v>7</v>
      </c>
      <c r="C419" t="s">
        <v>51</v>
      </c>
      <c r="D419">
        <v>-33.924591661463701</v>
      </c>
      <c r="E419">
        <v>18.8821379579115</v>
      </c>
      <c r="F419">
        <v>4.3799999999999999E-2</v>
      </c>
      <c r="G419">
        <v>0.1096</v>
      </c>
      <c r="H419">
        <v>6.5750000000000003E-2</v>
      </c>
      <c r="I419">
        <v>1820.46</v>
      </c>
      <c r="J419">
        <v>6878.875</v>
      </c>
    </row>
    <row r="420" spans="1:10">
      <c r="A420">
        <v>0</v>
      </c>
      <c r="B420">
        <v>8</v>
      </c>
      <c r="C420" t="s">
        <v>11</v>
      </c>
      <c r="D420">
        <v>-33.90845831483</v>
      </c>
      <c r="E420">
        <v>18.8521130056046</v>
      </c>
      <c r="F420">
        <v>6.5750000000000003E-2</v>
      </c>
      <c r="G420">
        <v>0.1643</v>
      </c>
      <c r="H420">
        <v>9.8599999999999993E-2</v>
      </c>
      <c r="I420">
        <v>5052.2330000000002</v>
      </c>
      <c r="J420">
        <v>6969.7740000000003</v>
      </c>
    </row>
    <row r="421" spans="1:10">
      <c r="A421">
        <v>1</v>
      </c>
      <c r="B421">
        <v>8</v>
      </c>
      <c r="C421" t="s">
        <v>11</v>
      </c>
      <c r="D421">
        <v>-33.905068410556296</v>
      </c>
      <c r="E421">
        <v>18.8464069003305</v>
      </c>
      <c r="F421">
        <v>6.5750000000000003E-2</v>
      </c>
      <c r="G421">
        <v>0.1643</v>
      </c>
      <c r="H421">
        <v>9.8599999999999993E-2</v>
      </c>
      <c r="I421">
        <v>6153.0770000000002</v>
      </c>
      <c r="J421">
        <v>8070.6170000000002</v>
      </c>
    </row>
    <row r="422" spans="1:10">
      <c r="A422">
        <v>2</v>
      </c>
      <c r="B422">
        <v>8</v>
      </c>
      <c r="C422" t="s">
        <v>11</v>
      </c>
      <c r="D422">
        <v>-33.915726435300499</v>
      </c>
      <c r="E422">
        <v>18.852047076256198</v>
      </c>
      <c r="F422">
        <v>6.5750000000000003E-2</v>
      </c>
      <c r="G422">
        <v>0.1643</v>
      </c>
      <c r="H422">
        <v>9.8599999999999993E-2</v>
      </c>
      <c r="I422">
        <v>3824.848</v>
      </c>
      <c r="J422">
        <v>5742.3890000000001</v>
      </c>
    </row>
    <row r="423" spans="1:10">
      <c r="A423">
        <v>3</v>
      </c>
      <c r="B423">
        <v>8</v>
      </c>
      <c r="C423" t="s">
        <v>11</v>
      </c>
      <c r="D423">
        <v>-33.910545536628703</v>
      </c>
      <c r="E423">
        <v>18.8469285168946</v>
      </c>
      <c r="F423">
        <v>6.5750000000000003E-2</v>
      </c>
      <c r="G423">
        <v>0.1643</v>
      </c>
      <c r="H423">
        <v>9.8599999999999993E-2</v>
      </c>
      <c r="I423">
        <v>4552.2129999999997</v>
      </c>
      <c r="J423">
        <v>6469.7539999999999</v>
      </c>
    </row>
    <row r="424" spans="1:10">
      <c r="A424">
        <v>4</v>
      </c>
      <c r="B424">
        <v>8</v>
      </c>
      <c r="C424" t="s">
        <v>11</v>
      </c>
      <c r="D424">
        <v>-33.898688923937797</v>
      </c>
      <c r="E424">
        <v>18.8440857495473</v>
      </c>
      <c r="F424">
        <v>6.5750000000000003E-2</v>
      </c>
      <c r="G424">
        <v>0.1643</v>
      </c>
      <c r="H424">
        <v>9.8599999999999993E-2</v>
      </c>
      <c r="I424">
        <v>6392.2520000000004</v>
      </c>
      <c r="J424">
        <v>8309.7929999999997</v>
      </c>
    </row>
    <row r="425" spans="1:10">
      <c r="A425">
        <v>5</v>
      </c>
      <c r="B425">
        <v>8</v>
      </c>
      <c r="C425" t="s">
        <v>11</v>
      </c>
      <c r="D425">
        <v>-33.917119772361403</v>
      </c>
      <c r="E425">
        <v>18.8538243231412</v>
      </c>
      <c r="F425">
        <v>6.5750000000000003E-2</v>
      </c>
      <c r="G425">
        <v>0.1643</v>
      </c>
      <c r="H425">
        <v>9.8599999999999993E-2</v>
      </c>
      <c r="I425">
        <v>3885.0050000000001</v>
      </c>
      <c r="J425">
        <v>5802.5450000000001</v>
      </c>
    </row>
    <row r="426" spans="1:10">
      <c r="A426">
        <v>6</v>
      </c>
      <c r="B426">
        <v>8</v>
      </c>
      <c r="C426" t="s">
        <v>11</v>
      </c>
      <c r="D426">
        <v>-33.911021138859901</v>
      </c>
      <c r="E426">
        <v>18.850825337581401</v>
      </c>
      <c r="F426">
        <v>6.5750000000000003E-2</v>
      </c>
      <c r="G426">
        <v>0.1643</v>
      </c>
      <c r="H426">
        <v>9.8599999999999993E-2</v>
      </c>
      <c r="I426">
        <v>5077.7280000000001</v>
      </c>
      <c r="J426">
        <v>6995.2690000000002</v>
      </c>
    </row>
    <row r="427" spans="1:10">
      <c r="A427">
        <v>7</v>
      </c>
      <c r="B427">
        <v>8</v>
      </c>
      <c r="C427" t="s">
        <v>11</v>
      </c>
      <c r="D427">
        <v>-33.907922019346401</v>
      </c>
      <c r="E427">
        <v>18.8593188387797</v>
      </c>
      <c r="F427">
        <v>6.5750000000000003E-2</v>
      </c>
      <c r="G427">
        <v>0.1643</v>
      </c>
      <c r="H427">
        <v>9.8599999999999993E-2</v>
      </c>
      <c r="I427">
        <v>4758.5820000000003</v>
      </c>
      <c r="J427">
        <v>6676.1229999999996</v>
      </c>
    </row>
    <row r="428" spans="1:10">
      <c r="A428">
        <v>8</v>
      </c>
      <c r="B428">
        <v>8</v>
      </c>
      <c r="C428" t="s">
        <v>11</v>
      </c>
      <c r="D428">
        <v>-33.9078376675687</v>
      </c>
      <c r="E428">
        <v>18.851270941766501</v>
      </c>
      <c r="F428">
        <v>6.5750000000000003E-2</v>
      </c>
      <c r="G428">
        <v>0.1643</v>
      </c>
      <c r="H428">
        <v>9.8599999999999993E-2</v>
      </c>
      <c r="I428">
        <v>5136.9279999999999</v>
      </c>
      <c r="J428">
        <v>7054.4690000000001</v>
      </c>
    </row>
    <row r="429" spans="1:10">
      <c r="A429">
        <v>9</v>
      </c>
      <c r="B429">
        <v>8</v>
      </c>
      <c r="C429" t="s">
        <v>11</v>
      </c>
      <c r="D429">
        <v>-33.9028196056395</v>
      </c>
      <c r="E429">
        <v>18.858739008196899</v>
      </c>
      <c r="F429">
        <v>6.5750000000000003E-2</v>
      </c>
      <c r="G429">
        <v>0.1643</v>
      </c>
      <c r="H429">
        <v>9.8599999999999993E-2</v>
      </c>
      <c r="I429">
        <v>5930.9290000000001</v>
      </c>
      <c r="J429">
        <v>7848.47</v>
      </c>
    </row>
    <row r="430" spans="1:10">
      <c r="A430">
        <v>10</v>
      </c>
      <c r="B430">
        <v>8</v>
      </c>
      <c r="C430" t="s">
        <v>11</v>
      </c>
      <c r="D430">
        <v>-33.906849370459703</v>
      </c>
      <c r="E430">
        <v>18.852286062134699</v>
      </c>
      <c r="F430">
        <v>6.5750000000000003E-2</v>
      </c>
      <c r="G430">
        <v>0.1643</v>
      </c>
      <c r="H430">
        <v>9.8599999999999993E-2</v>
      </c>
      <c r="I430">
        <v>5059.3890000000001</v>
      </c>
      <c r="J430">
        <v>6976.93</v>
      </c>
    </row>
    <row r="431" spans="1:10">
      <c r="A431">
        <v>11</v>
      </c>
      <c r="B431">
        <v>8</v>
      </c>
      <c r="C431" t="s">
        <v>11</v>
      </c>
      <c r="D431">
        <v>-33.903257975498597</v>
      </c>
      <c r="E431">
        <v>18.8467229059513</v>
      </c>
      <c r="F431">
        <v>6.5750000000000003E-2</v>
      </c>
      <c r="G431">
        <v>0.1643</v>
      </c>
      <c r="H431">
        <v>9.8599999999999993E-2</v>
      </c>
      <c r="I431">
        <v>5702.5190000000002</v>
      </c>
      <c r="J431">
        <v>7620.06</v>
      </c>
    </row>
    <row r="432" spans="1:10">
      <c r="A432">
        <v>12</v>
      </c>
      <c r="B432">
        <v>8</v>
      </c>
      <c r="C432" t="s">
        <v>11</v>
      </c>
      <c r="D432">
        <v>-33.914602314213198</v>
      </c>
      <c r="E432">
        <v>18.859067067201899</v>
      </c>
      <c r="F432">
        <v>6.5750000000000003E-2</v>
      </c>
      <c r="G432">
        <v>0.1643</v>
      </c>
      <c r="H432">
        <v>9.8599999999999993E-2</v>
      </c>
      <c r="I432">
        <v>4052.0569999999998</v>
      </c>
      <c r="J432">
        <v>5969.5969999999998</v>
      </c>
    </row>
    <row r="433" spans="1:10">
      <c r="A433">
        <v>13</v>
      </c>
      <c r="B433">
        <v>8</v>
      </c>
      <c r="C433" t="s">
        <v>11</v>
      </c>
      <c r="D433">
        <v>-33.916084280175397</v>
      </c>
      <c r="E433">
        <v>18.853586796745201</v>
      </c>
      <c r="F433">
        <v>6.5750000000000003E-2</v>
      </c>
      <c r="G433">
        <v>0.1643</v>
      </c>
      <c r="H433">
        <v>9.8599999999999993E-2</v>
      </c>
      <c r="I433">
        <v>3962.904</v>
      </c>
      <c r="J433">
        <v>5880.4449999999997</v>
      </c>
    </row>
    <row r="434" spans="1:10">
      <c r="A434">
        <v>14</v>
      </c>
      <c r="B434">
        <v>8</v>
      </c>
      <c r="C434" t="s">
        <v>11</v>
      </c>
      <c r="D434">
        <v>-33.915010255049502</v>
      </c>
      <c r="E434">
        <v>18.8574378254667</v>
      </c>
      <c r="F434">
        <v>6.5750000000000003E-2</v>
      </c>
      <c r="G434">
        <v>0.1643</v>
      </c>
      <c r="H434">
        <v>9.8599999999999993E-2</v>
      </c>
      <c r="I434">
        <v>4024.6869999999999</v>
      </c>
      <c r="J434">
        <v>5942.2280000000001</v>
      </c>
    </row>
    <row r="435" spans="1:10">
      <c r="A435">
        <v>15</v>
      </c>
      <c r="B435">
        <v>8</v>
      </c>
      <c r="C435" t="s">
        <v>11</v>
      </c>
      <c r="D435">
        <v>-33.907793796460602</v>
      </c>
      <c r="E435">
        <v>18.859130478603699</v>
      </c>
      <c r="F435">
        <v>6.5750000000000003E-2</v>
      </c>
      <c r="G435">
        <v>0.1643</v>
      </c>
      <c r="H435">
        <v>9.8599999999999993E-2</v>
      </c>
      <c r="I435">
        <v>4774.0929999999998</v>
      </c>
      <c r="J435">
        <v>6691.634</v>
      </c>
    </row>
    <row r="436" spans="1:10">
      <c r="A436">
        <v>16</v>
      </c>
      <c r="B436">
        <v>8</v>
      </c>
      <c r="C436" t="s">
        <v>11</v>
      </c>
      <c r="D436">
        <v>-33.900266841726904</v>
      </c>
      <c r="E436">
        <v>18.845439054670301</v>
      </c>
      <c r="F436">
        <v>6.5750000000000003E-2</v>
      </c>
      <c r="G436">
        <v>0.1643</v>
      </c>
      <c r="H436">
        <v>9.8599999999999993E-2</v>
      </c>
      <c r="I436">
        <v>6363.2839999999997</v>
      </c>
      <c r="J436">
        <v>8280.8250000000007</v>
      </c>
    </row>
    <row r="437" spans="1:10">
      <c r="A437">
        <v>17</v>
      </c>
      <c r="B437">
        <v>8</v>
      </c>
      <c r="C437" t="s">
        <v>11</v>
      </c>
      <c r="D437">
        <v>-33.917600576766702</v>
      </c>
      <c r="E437">
        <v>18.8532640823755</v>
      </c>
      <c r="F437">
        <v>6.5750000000000003E-2</v>
      </c>
      <c r="G437">
        <v>0.1643</v>
      </c>
      <c r="H437">
        <v>9.8599999999999993E-2</v>
      </c>
      <c r="I437">
        <v>3890.8510000000001</v>
      </c>
      <c r="J437">
        <v>5808.3909999999996</v>
      </c>
    </row>
    <row r="438" spans="1:10">
      <c r="A438">
        <v>18</v>
      </c>
      <c r="B438">
        <v>8</v>
      </c>
      <c r="C438" t="s">
        <v>11</v>
      </c>
      <c r="D438">
        <v>-33.918240195232201</v>
      </c>
      <c r="E438">
        <v>18.844652177982699</v>
      </c>
      <c r="F438">
        <v>6.5750000000000003E-2</v>
      </c>
      <c r="G438">
        <v>0.1643</v>
      </c>
      <c r="H438">
        <v>9.8599999999999993E-2</v>
      </c>
      <c r="I438">
        <v>4592.4690000000001</v>
      </c>
      <c r="J438">
        <v>6510.01</v>
      </c>
    </row>
    <row r="439" spans="1:10">
      <c r="A439">
        <v>19</v>
      </c>
      <c r="B439">
        <v>8</v>
      </c>
      <c r="C439" t="s">
        <v>11</v>
      </c>
      <c r="D439">
        <v>-33.905532254418901</v>
      </c>
      <c r="E439">
        <v>18.856950754276799</v>
      </c>
      <c r="F439">
        <v>6.5750000000000003E-2</v>
      </c>
      <c r="G439">
        <v>0.1643</v>
      </c>
      <c r="H439">
        <v>9.8599999999999993E-2</v>
      </c>
      <c r="I439">
        <v>5418.2259999999997</v>
      </c>
      <c r="J439">
        <v>7335.7659999999996</v>
      </c>
    </row>
    <row r="440" spans="1:10">
      <c r="A440">
        <v>20</v>
      </c>
      <c r="B440">
        <v>8</v>
      </c>
      <c r="C440" t="s">
        <v>11</v>
      </c>
      <c r="D440">
        <v>-33.912997036292502</v>
      </c>
      <c r="E440">
        <v>18.8573757511537</v>
      </c>
      <c r="F440">
        <v>6.5750000000000003E-2</v>
      </c>
      <c r="G440">
        <v>0.1643</v>
      </c>
      <c r="H440">
        <v>9.8599999999999993E-2</v>
      </c>
      <c r="I440">
        <v>4304.7889999999998</v>
      </c>
      <c r="J440">
        <v>6222.33</v>
      </c>
    </row>
    <row r="441" spans="1:10">
      <c r="A441">
        <v>21</v>
      </c>
      <c r="B441">
        <v>8</v>
      </c>
      <c r="C441" t="s">
        <v>11</v>
      </c>
      <c r="D441">
        <v>-33.910993406331897</v>
      </c>
      <c r="E441">
        <v>18.847779898257201</v>
      </c>
      <c r="F441">
        <v>6.5750000000000003E-2</v>
      </c>
      <c r="G441">
        <v>0.1643</v>
      </c>
      <c r="H441">
        <v>9.8599999999999993E-2</v>
      </c>
      <c r="I441">
        <v>4479.2460000000001</v>
      </c>
      <c r="J441">
        <v>6396.7870000000003</v>
      </c>
    </row>
    <row r="442" spans="1:10">
      <c r="A442">
        <v>22</v>
      </c>
      <c r="B442">
        <v>8</v>
      </c>
      <c r="C442" t="s">
        <v>11</v>
      </c>
      <c r="D442">
        <v>-33.918942019618903</v>
      </c>
      <c r="E442">
        <v>18.850735751802901</v>
      </c>
      <c r="F442">
        <v>6.5750000000000003E-2</v>
      </c>
      <c r="G442">
        <v>0.1643</v>
      </c>
      <c r="H442">
        <v>9.8599999999999993E-2</v>
      </c>
      <c r="I442">
        <v>3958.8380000000002</v>
      </c>
      <c r="J442">
        <v>5876.3789999999999</v>
      </c>
    </row>
    <row r="443" spans="1:10">
      <c r="A443">
        <v>23</v>
      </c>
      <c r="B443">
        <v>8</v>
      </c>
      <c r="C443" t="s">
        <v>11</v>
      </c>
      <c r="D443">
        <v>-33.918492401200403</v>
      </c>
      <c r="E443">
        <v>18.855589901480901</v>
      </c>
      <c r="F443">
        <v>6.5750000000000003E-2</v>
      </c>
      <c r="G443">
        <v>0.1643</v>
      </c>
      <c r="H443">
        <v>9.8599999999999993E-2</v>
      </c>
      <c r="I443">
        <v>3647.7280000000001</v>
      </c>
      <c r="J443">
        <v>5565.2690000000002</v>
      </c>
    </row>
    <row r="444" spans="1:10">
      <c r="A444">
        <v>24</v>
      </c>
      <c r="B444">
        <v>8</v>
      </c>
      <c r="C444" t="s">
        <v>11</v>
      </c>
      <c r="D444">
        <v>-33.918506442264203</v>
      </c>
      <c r="E444">
        <v>18.852775286261501</v>
      </c>
      <c r="F444">
        <v>6.5750000000000003E-2</v>
      </c>
      <c r="G444">
        <v>0.1643</v>
      </c>
      <c r="H444">
        <v>9.8599999999999993E-2</v>
      </c>
      <c r="I444">
        <v>3931.4769999999999</v>
      </c>
      <c r="J444">
        <v>5849.018</v>
      </c>
    </row>
    <row r="445" spans="1:10">
      <c r="A445">
        <v>25</v>
      </c>
      <c r="B445">
        <v>8</v>
      </c>
      <c r="C445" t="s">
        <v>11</v>
      </c>
      <c r="D445">
        <v>-33.898273131995701</v>
      </c>
      <c r="E445">
        <v>18.847386522655501</v>
      </c>
      <c r="F445">
        <v>6.5750000000000003E-2</v>
      </c>
      <c r="G445">
        <v>0.1643</v>
      </c>
      <c r="H445">
        <v>9.8599999999999993E-2</v>
      </c>
      <c r="I445">
        <v>6512.87</v>
      </c>
      <c r="J445">
        <v>8430.4110000000001</v>
      </c>
    </row>
    <row r="446" spans="1:10">
      <c r="A446">
        <v>26</v>
      </c>
      <c r="B446">
        <v>8</v>
      </c>
      <c r="C446" t="s">
        <v>11</v>
      </c>
      <c r="D446">
        <v>-33.9119049873268</v>
      </c>
      <c r="E446">
        <v>18.853108512346999</v>
      </c>
      <c r="F446">
        <v>6.5750000000000003E-2</v>
      </c>
      <c r="G446">
        <v>0.1643</v>
      </c>
      <c r="H446">
        <v>9.8599999999999993E-2</v>
      </c>
      <c r="I446">
        <v>4779.0259999999998</v>
      </c>
      <c r="J446">
        <v>6696.5659999999998</v>
      </c>
    </row>
    <row r="447" spans="1:10">
      <c r="A447">
        <v>27</v>
      </c>
      <c r="B447">
        <v>8</v>
      </c>
      <c r="C447" t="s">
        <v>11</v>
      </c>
      <c r="D447">
        <v>-33.909193562498402</v>
      </c>
      <c r="E447">
        <v>18.8493313628409</v>
      </c>
      <c r="F447">
        <v>6.5750000000000003E-2</v>
      </c>
      <c r="G447">
        <v>0.1643</v>
      </c>
      <c r="H447">
        <v>9.8599999999999993E-2</v>
      </c>
      <c r="I447">
        <v>5366.2309999999998</v>
      </c>
      <c r="J447">
        <v>7283.7719999999999</v>
      </c>
    </row>
    <row r="448" spans="1:10">
      <c r="A448">
        <v>28</v>
      </c>
      <c r="B448">
        <v>8</v>
      </c>
      <c r="C448" t="s">
        <v>11</v>
      </c>
      <c r="D448">
        <v>-33.903805668419501</v>
      </c>
      <c r="E448">
        <v>18.854824832894501</v>
      </c>
      <c r="F448">
        <v>6.5750000000000003E-2</v>
      </c>
      <c r="G448">
        <v>0.1643</v>
      </c>
      <c r="H448">
        <v>9.8599999999999993E-2</v>
      </c>
      <c r="I448">
        <v>5943.0339999999997</v>
      </c>
      <c r="J448">
        <v>7860.5739999999996</v>
      </c>
    </row>
    <row r="449" spans="1:10">
      <c r="A449">
        <v>29</v>
      </c>
      <c r="B449">
        <v>8</v>
      </c>
      <c r="C449" t="s">
        <v>11</v>
      </c>
      <c r="D449">
        <v>-33.905869488265601</v>
      </c>
      <c r="E449">
        <v>18.853690102841</v>
      </c>
      <c r="F449">
        <v>6.5750000000000003E-2</v>
      </c>
      <c r="G449">
        <v>0.1643</v>
      </c>
      <c r="H449">
        <v>9.8599999999999993E-2</v>
      </c>
      <c r="I449">
        <v>5415.3010000000004</v>
      </c>
      <c r="J449">
        <v>7332.8419999999996</v>
      </c>
    </row>
    <row r="450" spans="1:10">
      <c r="A450">
        <v>30</v>
      </c>
      <c r="B450">
        <v>8</v>
      </c>
      <c r="C450" t="s">
        <v>11</v>
      </c>
      <c r="D450">
        <v>-33.912652640949403</v>
      </c>
      <c r="E450">
        <v>18.8574416531068</v>
      </c>
      <c r="F450">
        <v>6.5750000000000003E-2</v>
      </c>
      <c r="G450">
        <v>0.1643</v>
      </c>
      <c r="H450">
        <v>9.8599999999999993E-2</v>
      </c>
      <c r="I450">
        <v>4340.1850000000004</v>
      </c>
      <c r="J450">
        <v>6257.7259999999997</v>
      </c>
    </row>
    <row r="451" spans="1:10">
      <c r="A451">
        <v>31</v>
      </c>
      <c r="B451">
        <v>8</v>
      </c>
      <c r="C451" t="s">
        <v>11</v>
      </c>
      <c r="D451">
        <v>-33.9152804358786</v>
      </c>
      <c r="E451">
        <v>18.855444425511099</v>
      </c>
      <c r="F451">
        <v>6.5750000000000003E-2</v>
      </c>
      <c r="G451">
        <v>0.1643</v>
      </c>
      <c r="H451">
        <v>9.8599999999999993E-2</v>
      </c>
      <c r="I451">
        <v>4224.2969999999996</v>
      </c>
      <c r="J451">
        <v>6141.8370000000004</v>
      </c>
    </row>
    <row r="452" spans="1:10">
      <c r="A452">
        <v>32</v>
      </c>
      <c r="B452">
        <v>8</v>
      </c>
      <c r="C452" t="s">
        <v>11</v>
      </c>
      <c r="D452">
        <v>-33.910926040101103</v>
      </c>
      <c r="E452">
        <v>18.855951262810301</v>
      </c>
      <c r="F452">
        <v>6.5750000000000003E-2</v>
      </c>
      <c r="G452">
        <v>0.1643</v>
      </c>
      <c r="H452">
        <v>9.8599999999999993E-2</v>
      </c>
      <c r="I452">
        <v>4497.6689999999999</v>
      </c>
      <c r="J452">
        <v>6415.21</v>
      </c>
    </row>
    <row r="453" spans="1:10">
      <c r="A453">
        <v>33</v>
      </c>
      <c r="B453">
        <v>8</v>
      </c>
      <c r="C453" t="s">
        <v>11</v>
      </c>
      <c r="D453">
        <v>-33.901747107108797</v>
      </c>
      <c r="E453">
        <v>18.843954801530501</v>
      </c>
      <c r="F453">
        <v>6.5750000000000003E-2</v>
      </c>
      <c r="G453">
        <v>0.1643</v>
      </c>
      <c r="H453">
        <v>9.8599999999999993E-2</v>
      </c>
      <c r="I453">
        <v>6124.268</v>
      </c>
      <c r="J453">
        <v>8041.8090000000002</v>
      </c>
    </row>
    <row r="454" spans="1:10">
      <c r="A454">
        <v>34</v>
      </c>
      <c r="B454">
        <v>8</v>
      </c>
      <c r="C454" t="s">
        <v>11</v>
      </c>
      <c r="D454">
        <v>-33.909781512103301</v>
      </c>
      <c r="E454">
        <v>18.8498296349069</v>
      </c>
      <c r="F454">
        <v>6.5750000000000003E-2</v>
      </c>
      <c r="G454">
        <v>0.1643</v>
      </c>
      <c r="H454">
        <v>9.8599999999999993E-2</v>
      </c>
      <c r="I454">
        <v>5276.0860000000002</v>
      </c>
      <c r="J454">
        <v>7193.6260000000002</v>
      </c>
    </row>
    <row r="455" spans="1:10">
      <c r="A455">
        <v>35</v>
      </c>
      <c r="B455">
        <v>8</v>
      </c>
      <c r="C455" t="s">
        <v>11</v>
      </c>
      <c r="D455">
        <v>-33.901708290245601</v>
      </c>
      <c r="E455">
        <v>18.848594565362401</v>
      </c>
      <c r="F455">
        <v>6.5750000000000003E-2</v>
      </c>
      <c r="G455">
        <v>0.1643</v>
      </c>
      <c r="H455">
        <v>9.8599999999999993E-2</v>
      </c>
      <c r="I455">
        <v>5910.9530000000004</v>
      </c>
      <c r="J455">
        <v>7828.4939999999997</v>
      </c>
    </row>
    <row r="456" spans="1:10">
      <c r="A456">
        <v>36</v>
      </c>
      <c r="B456">
        <v>8</v>
      </c>
      <c r="C456" t="s">
        <v>11</v>
      </c>
      <c r="D456">
        <v>-33.916848605626598</v>
      </c>
      <c r="E456">
        <v>18.843982196735499</v>
      </c>
      <c r="F456">
        <v>6.5750000000000003E-2</v>
      </c>
      <c r="G456">
        <v>0.1643</v>
      </c>
      <c r="H456">
        <v>9.8599999999999993E-2</v>
      </c>
      <c r="I456">
        <v>4903.7560000000003</v>
      </c>
      <c r="J456">
        <v>6821.2969999999996</v>
      </c>
    </row>
    <row r="457" spans="1:10">
      <c r="A457">
        <v>37</v>
      </c>
      <c r="B457">
        <v>8</v>
      </c>
      <c r="C457" t="s">
        <v>11</v>
      </c>
      <c r="D457">
        <v>-33.902777642546901</v>
      </c>
      <c r="E457">
        <v>18.855813957469099</v>
      </c>
      <c r="F457">
        <v>6.5750000000000003E-2</v>
      </c>
      <c r="G457">
        <v>0.1643</v>
      </c>
      <c r="H457">
        <v>9.8599999999999993E-2</v>
      </c>
      <c r="I457">
        <v>5951.0709999999999</v>
      </c>
      <c r="J457">
        <v>7868.6120000000001</v>
      </c>
    </row>
    <row r="458" spans="1:10">
      <c r="A458">
        <v>38</v>
      </c>
      <c r="B458">
        <v>8</v>
      </c>
      <c r="C458" t="s">
        <v>11</v>
      </c>
      <c r="D458">
        <v>-33.896861677944301</v>
      </c>
      <c r="E458">
        <v>18.8592798723706</v>
      </c>
      <c r="F458">
        <v>6.5750000000000003E-2</v>
      </c>
      <c r="G458">
        <v>0.1643</v>
      </c>
      <c r="H458">
        <v>9.8599999999999993E-2</v>
      </c>
      <c r="I458">
        <v>5989.8779999999997</v>
      </c>
      <c r="J458">
        <v>7907.4189999999999</v>
      </c>
    </row>
    <row r="459" spans="1:10">
      <c r="A459">
        <v>39</v>
      </c>
      <c r="B459">
        <v>8</v>
      </c>
      <c r="C459" t="s">
        <v>11</v>
      </c>
      <c r="D459">
        <v>-33.916871268374898</v>
      </c>
      <c r="E459">
        <v>18.847196055605501</v>
      </c>
      <c r="F459">
        <v>6.5750000000000003E-2</v>
      </c>
      <c r="G459">
        <v>0.1643</v>
      </c>
      <c r="H459">
        <v>9.8599999999999993E-2</v>
      </c>
      <c r="I459">
        <v>4119.29</v>
      </c>
      <c r="J459">
        <v>6036.83</v>
      </c>
    </row>
    <row r="460" spans="1:10">
      <c r="A460">
        <v>40</v>
      </c>
      <c r="B460">
        <v>8</v>
      </c>
      <c r="C460" t="s">
        <v>11</v>
      </c>
      <c r="D460">
        <v>-33.906681494650897</v>
      </c>
      <c r="E460">
        <v>18.847446947724901</v>
      </c>
      <c r="F460">
        <v>6.5750000000000003E-2</v>
      </c>
      <c r="G460">
        <v>0.1643</v>
      </c>
      <c r="H460">
        <v>9.8599999999999993E-2</v>
      </c>
      <c r="I460">
        <v>5674.4290000000001</v>
      </c>
      <c r="J460">
        <v>7591.9690000000001</v>
      </c>
    </row>
    <row r="461" spans="1:10">
      <c r="A461">
        <v>41</v>
      </c>
      <c r="B461">
        <v>8</v>
      </c>
      <c r="C461" t="s">
        <v>11</v>
      </c>
      <c r="D461">
        <v>-33.901391498227397</v>
      </c>
      <c r="E461">
        <v>18.8473197727957</v>
      </c>
      <c r="F461">
        <v>6.5750000000000003E-2</v>
      </c>
      <c r="G461">
        <v>0.1643</v>
      </c>
      <c r="H461">
        <v>9.8599999999999993E-2</v>
      </c>
      <c r="I461">
        <v>5984.9579999999996</v>
      </c>
      <c r="J461">
        <v>7902.4989999999998</v>
      </c>
    </row>
    <row r="462" spans="1:10">
      <c r="A462">
        <v>42</v>
      </c>
      <c r="B462">
        <v>8</v>
      </c>
      <c r="C462" t="s">
        <v>11</v>
      </c>
      <c r="D462">
        <v>-33.900130170260297</v>
      </c>
      <c r="E462">
        <v>18.853022560384002</v>
      </c>
      <c r="F462">
        <v>6.5750000000000003E-2</v>
      </c>
      <c r="G462">
        <v>0.1643</v>
      </c>
      <c r="H462">
        <v>9.8599999999999993E-2</v>
      </c>
      <c r="I462">
        <v>7004.4279999999999</v>
      </c>
      <c r="J462">
        <v>8921.9680000000008</v>
      </c>
    </row>
    <row r="463" spans="1:10">
      <c r="A463">
        <v>43</v>
      </c>
      <c r="B463">
        <v>8</v>
      </c>
      <c r="C463" t="s">
        <v>11</v>
      </c>
      <c r="D463">
        <v>-33.918422787696301</v>
      </c>
      <c r="E463">
        <v>18.858352349657999</v>
      </c>
      <c r="F463">
        <v>6.5750000000000003E-2</v>
      </c>
      <c r="G463">
        <v>0.1643</v>
      </c>
      <c r="H463">
        <v>9.8599999999999993E-2</v>
      </c>
      <c r="I463">
        <v>4013.9769999999999</v>
      </c>
      <c r="J463">
        <v>6311.7340000000004</v>
      </c>
    </row>
    <row r="464" spans="1:10">
      <c r="A464">
        <v>44</v>
      </c>
      <c r="B464">
        <v>8</v>
      </c>
      <c r="C464" t="s">
        <v>11</v>
      </c>
      <c r="D464">
        <v>-33.9127126279433</v>
      </c>
      <c r="E464">
        <v>18.849375860722301</v>
      </c>
      <c r="F464">
        <v>6.5750000000000003E-2</v>
      </c>
      <c r="G464">
        <v>0.1643</v>
      </c>
      <c r="H464">
        <v>9.8599999999999993E-2</v>
      </c>
      <c r="I464">
        <v>4305.6450000000004</v>
      </c>
      <c r="J464">
        <v>6223.1859999999997</v>
      </c>
    </row>
    <row r="465" spans="1:10">
      <c r="A465">
        <v>45</v>
      </c>
      <c r="B465">
        <v>8</v>
      </c>
      <c r="C465" t="s">
        <v>11</v>
      </c>
      <c r="D465">
        <v>-33.910684153514097</v>
      </c>
      <c r="E465">
        <v>18.847684013132501</v>
      </c>
      <c r="F465">
        <v>6.5750000000000003E-2</v>
      </c>
      <c r="G465">
        <v>0.1643</v>
      </c>
      <c r="H465">
        <v>9.8599999999999993E-2</v>
      </c>
      <c r="I465">
        <v>4514.7160000000003</v>
      </c>
      <c r="J465">
        <v>6432.2569999999996</v>
      </c>
    </row>
    <row r="466" spans="1:10">
      <c r="A466">
        <v>46</v>
      </c>
      <c r="B466">
        <v>8</v>
      </c>
      <c r="C466" t="s">
        <v>11</v>
      </c>
      <c r="D466">
        <v>-33.918208234819602</v>
      </c>
      <c r="E466">
        <v>18.853137150128202</v>
      </c>
      <c r="F466">
        <v>6.5750000000000003E-2</v>
      </c>
      <c r="G466">
        <v>0.1643</v>
      </c>
      <c r="H466">
        <v>9.8599999999999993E-2</v>
      </c>
      <c r="I466">
        <v>3914.1840000000002</v>
      </c>
      <c r="J466">
        <v>5831.7250000000004</v>
      </c>
    </row>
    <row r="467" spans="1:10">
      <c r="A467">
        <v>47</v>
      </c>
      <c r="B467">
        <v>8</v>
      </c>
      <c r="C467" t="s">
        <v>11</v>
      </c>
      <c r="D467">
        <v>-33.903039046281997</v>
      </c>
      <c r="E467">
        <v>18.847882730102</v>
      </c>
      <c r="F467">
        <v>6.5750000000000003E-2</v>
      </c>
      <c r="G467">
        <v>0.1643</v>
      </c>
      <c r="H467">
        <v>9.8599999999999993E-2</v>
      </c>
      <c r="I467">
        <v>5726.6229999999996</v>
      </c>
      <c r="J467">
        <v>7644.1639999999998</v>
      </c>
    </row>
    <row r="468" spans="1:10">
      <c r="A468">
        <v>48</v>
      </c>
      <c r="B468">
        <v>8</v>
      </c>
      <c r="C468" t="s">
        <v>11</v>
      </c>
      <c r="D468">
        <v>-33.911634777333902</v>
      </c>
      <c r="E468">
        <v>18.8470955446593</v>
      </c>
      <c r="F468">
        <v>6.5750000000000003E-2</v>
      </c>
      <c r="G468">
        <v>0.1643</v>
      </c>
      <c r="H468">
        <v>9.8599999999999993E-2</v>
      </c>
      <c r="I468">
        <v>4535.9989999999998</v>
      </c>
      <c r="J468">
        <v>6453.54</v>
      </c>
    </row>
    <row r="469" spans="1:10">
      <c r="A469">
        <v>49</v>
      </c>
      <c r="B469">
        <v>8</v>
      </c>
      <c r="C469" t="s">
        <v>11</v>
      </c>
      <c r="D469">
        <v>-33.900604096833099</v>
      </c>
      <c r="E469">
        <v>18.851643231386401</v>
      </c>
      <c r="F469">
        <v>6.5750000000000003E-2</v>
      </c>
      <c r="G469">
        <v>0.1643</v>
      </c>
      <c r="H469">
        <v>9.8599999999999993E-2</v>
      </c>
      <c r="I469">
        <v>7004.4279999999999</v>
      </c>
      <c r="J469">
        <v>8921.9680000000008</v>
      </c>
    </row>
    <row r="470" spans="1:10">
      <c r="A470">
        <v>50</v>
      </c>
      <c r="B470">
        <v>8</v>
      </c>
      <c r="C470" t="s">
        <v>11</v>
      </c>
      <c r="D470">
        <v>-33.905479443652503</v>
      </c>
      <c r="E470">
        <v>18.854284965110399</v>
      </c>
      <c r="F470">
        <v>6.5750000000000003E-2</v>
      </c>
      <c r="G470">
        <v>0.1643</v>
      </c>
      <c r="H470">
        <v>9.8599999999999993E-2</v>
      </c>
      <c r="I470">
        <v>5385.0780000000004</v>
      </c>
      <c r="J470">
        <v>7302.6189999999997</v>
      </c>
    </row>
    <row r="471" spans="1:10">
      <c r="A471">
        <v>51</v>
      </c>
      <c r="B471">
        <v>8</v>
      </c>
      <c r="C471" t="s">
        <v>11</v>
      </c>
      <c r="D471">
        <v>-33.897346626730602</v>
      </c>
      <c r="E471">
        <v>18.854362729759</v>
      </c>
      <c r="F471">
        <v>6.5750000000000003E-2</v>
      </c>
      <c r="G471">
        <v>0.1643</v>
      </c>
      <c r="H471">
        <v>9.8599999999999993E-2</v>
      </c>
      <c r="I471">
        <v>6906.085</v>
      </c>
      <c r="J471">
        <v>8823.6260000000002</v>
      </c>
    </row>
    <row r="472" spans="1:10">
      <c r="A472">
        <v>52</v>
      </c>
      <c r="B472">
        <v>8</v>
      </c>
      <c r="C472" t="s">
        <v>11</v>
      </c>
      <c r="D472">
        <v>-33.903051977431801</v>
      </c>
      <c r="E472">
        <v>18.8439505024092</v>
      </c>
      <c r="F472">
        <v>6.5750000000000003E-2</v>
      </c>
      <c r="G472">
        <v>0.1643</v>
      </c>
      <c r="H472">
        <v>9.8599999999999993E-2</v>
      </c>
      <c r="I472">
        <v>6001.576</v>
      </c>
      <c r="J472">
        <v>7919.1170000000002</v>
      </c>
    </row>
    <row r="473" spans="1:10">
      <c r="A473">
        <v>53</v>
      </c>
      <c r="B473">
        <v>8</v>
      </c>
      <c r="C473" t="s">
        <v>11</v>
      </c>
      <c r="D473">
        <v>-33.900463355041097</v>
      </c>
      <c r="E473">
        <v>18.845945010417299</v>
      </c>
      <c r="F473">
        <v>6.5750000000000003E-2</v>
      </c>
      <c r="G473">
        <v>0.1643</v>
      </c>
      <c r="H473">
        <v>9.8599999999999993E-2</v>
      </c>
      <c r="I473">
        <v>6019.4250000000002</v>
      </c>
      <c r="J473">
        <v>7936.9650000000001</v>
      </c>
    </row>
    <row r="474" spans="1:10">
      <c r="A474">
        <v>54</v>
      </c>
      <c r="B474">
        <v>8</v>
      </c>
      <c r="C474" t="s">
        <v>11</v>
      </c>
      <c r="D474">
        <v>-33.906831659015999</v>
      </c>
      <c r="E474">
        <v>18.851759464871702</v>
      </c>
      <c r="F474">
        <v>6.5750000000000003E-2</v>
      </c>
      <c r="G474">
        <v>0.1643</v>
      </c>
      <c r="H474">
        <v>9.8599999999999993E-2</v>
      </c>
      <c r="I474">
        <v>5093.4229999999998</v>
      </c>
      <c r="J474">
        <v>7010.9639999999999</v>
      </c>
    </row>
    <row r="475" spans="1:10">
      <c r="A475">
        <v>55</v>
      </c>
      <c r="B475">
        <v>8</v>
      </c>
      <c r="C475" t="s">
        <v>11</v>
      </c>
      <c r="D475">
        <v>-33.917717204184903</v>
      </c>
      <c r="E475">
        <v>18.8586818193283</v>
      </c>
      <c r="F475">
        <v>6.5750000000000003E-2</v>
      </c>
      <c r="G475">
        <v>0.1643</v>
      </c>
      <c r="H475">
        <v>9.8599999999999993E-2</v>
      </c>
      <c r="I475">
        <v>4095.788</v>
      </c>
      <c r="J475">
        <v>6848.8609999999999</v>
      </c>
    </row>
    <row r="476" spans="1:10">
      <c r="A476">
        <v>56</v>
      </c>
      <c r="B476">
        <v>8</v>
      </c>
      <c r="C476" t="s">
        <v>11</v>
      </c>
      <c r="D476">
        <v>-33.917960291791601</v>
      </c>
      <c r="E476">
        <v>18.844307650680701</v>
      </c>
      <c r="F476">
        <v>6.5750000000000003E-2</v>
      </c>
      <c r="G476">
        <v>0.1643</v>
      </c>
      <c r="H476">
        <v>9.8599999999999993E-2</v>
      </c>
      <c r="I476">
        <v>4662.3869999999997</v>
      </c>
      <c r="J476">
        <v>6579.9279999999999</v>
      </c>
    </row>
    <row r="477" spans="1:10">
      <c r="A477">
        <v>57</v>
      </c>
      <c r="B477">
        <v>8</v>
      </c>
      <c r="C477" t="s">
        <v>11</v>
      </c>
      <c r="D477">
        <v>-33.8967936264836</v>
      </c>
      <c r="E477">
        <v>18.849027723038901</v>
      </c>
      <c r="F477">
        <v>6.5750000000000003E-2</v>
      </c>
      <c r="G477">
        <v>0.1643</v>
      </c>
      <c r="H477">
        <v>9.8599999999999993E-2</v>
      </c>
      <c r="I477">
        <v>6851.3580000000002</v>
      </c>
      <c r="J477">
        <v>8768.8989999999994</v>
      </c>
    </row>
    <row r="478" spans="1:10">
      <c r="A478">
        <v>58</v>
      </c>
      <c r="B478">
        <v>8</v>
      </c>
      <c r="C478" t="s">
        <v>11</v>
      </c>
      <c r="D478">
        <v>-33.900983845297198</v>
      </c>
      <c r="E478">
        <v>18.8450696522386</v>
      </c>
      <c r="F478">
        <v>6.5750000000000003E-2</v>
      </c>
      <c r="G478">
        <v>0.1643</v>
      </c>
      <c r="H478">
        <v>9.8599999999999993E-2</v>
      </c>
      <c r="I478">
        <v>6055.6210000000001</v>
      </c>
      <c r="J478">
        <v>7973.1620000000003</v>
      </c>
    </row>
    <row r="479" spans="1:10">
      <c r="A479">
        <v>59</v>
      </c>
      <c r="B479">
        <v>8</v>
      </c>
      <c r="C479" t="s">
        <v>11</v>
      </c>
      <c r="D479">
        <v>-33.910896356881999</v>
      </c>
      <c r="E479">
        <v>18.845185868087</v>
      </c>
      <c r="F479">
        <v>6.5750000000000003E-2</v>
      </c>
      <c r="G479">
        <v>0.1643</v>
      </c>
      <c r="H479">
        <v>9.8599999999999993E-2</v>
      </c>
      <c r="I479">
        <v>4727.7879999999996</v>
      </c>
      <c r="J479">
        <v>6645.3289999999997</v>
      </c>
    </row>
    <row r="480" spans="1:10">
      <c r="A480">
        <v>60</v>
      </c>
      <c r="B480">
        <v>8</v>
      </c>
      <c r="C480" t="s">
        <v>11</v>
      </c>
      <c r="D480">
        <v>-33.897367926573303</v>
      </c>
      <c r="E480">
        <v>18.843915239183101</v>
      </c>
      <c r="F480">
        <v>6.5750000000000003E-2</v>
      </c>
      <c r="G480">
        <v>0.1643</v>
      </c>
      <c r="H480">
        <v>9.8599999999999993E-2</v>
      </c>
      <c r="I480">
        <v>6522.08</v>
      </c>
      <c r="J480">
        <v>8439.6200000000008</v>
      </c>
    </row>
    <row r="481" spans="1:10">
      <c r="A481">
        <v>61</v>
      </c>
      <c r="B481">
        <v>8</v>
      </c>
      <c r="C481" t="s">
        <v>11</v>
      </c>
      <c r="D481">
        <v>-33.897525016851397</v>
      </c>
      <c r="E481">
        <v>18.844966314667499</v>
      </c>
      <c r="F481">
        <v>6.5750000000000003E-2</v>
      </c>
      <c r="G481">
        <v>0.1643</v>
      </c>
      <c r="H481">
        <v>9.8599999999999993E-2</v>
      </c>
      <c r="I481">
        <v>6648.8180000000002</v>
      </c>
      <c r="J481">
        <v>8566.3580000000002</v>
      </c>
    </row>
    <row r="482" spans="1:10">
      <c r="A482">
        <v>62</v>
      </c>
      <c r="B482">
        <v>8</v>
      </c>
      <c r="C482" t="s">
        <v>11</v>
      </c>
      <c r="D482">
        <v>-33.914846739021002</v>
      </c>
      <c r="E482">
        <v>18.856699124235099</v>
      </c>
      <c r="F482">
        <v>6.5750000000000003E-2</v>
      </c>
      <c r="G482">
        <v>0.1643</v>
      </c>
      <c r="H482">
        <v>9.8599999999999993E-2</v>
      </c>
      <c r="I482">
        <v>4127.4080000000004</v>
      </c>
      <c r="J482">
        <v>6044.9489999999996</v>
      </c>
    </row>
    <row r="483" spans="1:10">
      <c r="A483">
        <v>63</v>
      </c>
      <c r="B483">
        <v>8</v>
      </c>
      <c r="C483" t="s">
        <v>11</v>
      </c>
      <c r="D483">
        <v>-33.9028394737051</v>
      </c>
      <c r="E483">
        <v>18.8561918711539</v>
      </c>
      <c r="F483">
        <v>6.5750000000000003E-2</v>
      </c>
      <c r="G483">
        <v>0.1643</v>
      </c>
      <c r="H483">
        <v>9.8599999999999993E-2</v>
      </c>
      <c r="I483">
        <v>5858</v>
      </c>
      <c r="J483">
        <v>7775.5410000000002</v>
      </c>
    </row>
    <row r="484" spans="1:10">
      <c r="A484">
        <v>64</v>
      </c>
      <c r="B484">
        <v>8</v>
      </c>
      <c r="C484" t="s">
        <v>11</v>
      </c>
      <c r="D484">
        <v>-33.907767698648698</v>
      </c>
      <c r="E484">
        <v>18.8552586602049</v>
      </c>
      <c r="F484">
        <v>6.5750000000000003E-2</v>
      </c>
      <c r="G484">
        <v>0.1643</v>
      </c>
      <c r="H484">
        <v>9.8599999999999993E-2</v>
      </c>
      <c r="I484">
        <v>4999.0469999999996</v>
      </c>
      <c r="J484">
        <v>6916.5879999999997</v>
      </c>
    </row>
    <row r="485" spans="1:10">
      <c r="A485">
        <v>65</v>
      </c>
      <c r="B485">
        <v>8</v>
      </c>
      <c r="C485" t="s">
        <v>11</v>
      </c>
      <c r="D485">
        <v>-33.911180374803102</v>
      </c>
      <c r="E485">
        <v>18.857467603538201</v>
      </c>
      <c r="F485">
        <v>6.5750000000000003E-2</v>
      </c>
      <c r="G485">
        <v>0.1643</v>
      </c>
      <c r="H485">
        <v>9.8599999999999993E-2</v>
      </c>
      <c r="I485">
        <v>4519.3649999999998</v>
      </c>
      <c r="J485">
        <v>6436.9059999999999</v>
      </c>
    </row>
    <row r="486" spans="1:10">
      <c r="A486">
        <v>66</v>
      </c>
      <c r="B486">
        <v>8</v>
      </c>
      <c r="C486" t="s">
        <v>11</v>
      </c>
      <c r="D486">
        <v>-33.918270363942398</v>
      </c>
      <c r="E486">
        <v>18.8471132688998</v>
      </c>
      <c r="F486">
        <v>6.5750000000000003E-2</v>
      </c>
      <c r="G486">
        <v>0.1643</v>
      </c>
      <c r="H486">
        <v>9.8599999999999993E-2</v>
      </c>
      <c r="I486">
        <v>4194.335</v>
      </c>
      <c r="J486">
        <v>6111.875</v>
      </c>
    </row>
    <row r="487" spans="1:10">
      <c r="A487">
        <v>67</v>
      </c>
      <c r="B487">
        <v>8</v>
      </c>
      <c r="C487" t="s">
        <v>11</v>
      </c>
      <c r="D487">
        <v>-33.912975768902903</v>
      </c>
      <c r="E487">
        <v>18.857519447688698</v>
      </c>
      <c r="F487">
        <v>6.5750000000000003E-2</v>
      </c>
      <c r="G487">
        <v>0.1643</v>
      </c>
      <c r="H487">
        <v>9.8599999999999993E-2</v>
      </c>
      <c r="I487">
        <v>4303.6239999999998</v>
      </c>
      <c r="J487">
        <v>6221.165</v>
      </c>
    </row>
    <row r="488" spans="1:10">
      <c r="A488">
        <v>68</v>
      </c>
      <c r="B488">
        <v>8</v>
      </c>
      <c r="C488" t="s">
        <v>11</v>
      </c>
      <c r="D488">
        <v>-33.915606852629097</v>
      </c>
      <c r="E488">
        <v>18.848985655573799</v>
      </c>
      <c r="F488">
        <v>6.5750000000000003E-2</v>
      </c>
      <c r="G488">
        <v>0.1643</v>
      </c>
      <c r="H488">
        <v>9.8599999999999993E-2</v>
      </c>
      <c r="I488">
        <v>4119.0209999999997</v>
      </c>
      <c r="J488">
        <v>6036.5619999999999</v>
      </c>
    </row>
    <row r="489" spans="1:10">
      <c r="A489">
        <v>69</v>
      </c>
      <c r="B489">
        <v>8</v>
      </c>
      <c r="C489" t="s">
        <v>11</v>
      </c>
      <c r="D489">
        <v>-33.900920229673801</v>
      </c>
      <c r="E489">
        <v>18.854703600025999</v>
      </c>
      <c r="F489">
        <v>6.5750000000000003E-2</v>
      </c>
      <c r="G489">
        <v>0.1643</v>
      </c>
      <c r="H489">
        <v>9.8599999999999993E-2</v>
      </c>
      <c r="I489">
        <v>6048.7039999999997</v>
      </c>
      <c r="J489">
        <v>7966.2439999999997</v>
      </c>
    </row>
    <row r="490" spans="1:10">
      <c r="A490">
        <v>70</v>
      </c>
      <c r="B490">
        <v>8</v>
      </c>
      <c r="C490" t="s">
        <v>11</v>
      </c>
      <c r="D490">
        <v>-33.918023401389704</v>
      </c>
      <c r="E490">
        <v>18.8510831055289</v>
      </c>
      <c r="F490">
        <v>6.5750000000000003E-2</v>
      </c>
      <c r="G490">
        <v>0.1643</v>
      </c>
      <c r="H490">
        <v>9.8599999999999993E-2</v>
      </c>
      <c r="I490">
        <v>3729.14</v>
      </c>
      <c r="J490">
        <v>5646.6809999999996</v>
      </c>
    </row>
    <row r="491" spans="1:10">
      <c r="A491">
        <v>71</v>
      </c>
      <c r="B491">
        <v>8</v>
      </c>
      <c r="C491" t="s">
        <v>11</v>
      </c>
      <c r="D491">
        <v>-33.909141393811801</v>
      </c>
      <c r="E491">
        <v>18.851106608962802</v>
      </c>
      <c r="F491">
        <v>6.5750000000000003E-2</v>
      </c>
      <c r="G491">
        <v>0.1643</v>
      </c>
      <c r="H491">
        <v>9.8599999999999993E-2</v>
      </c>
      <c r="I491">
        <v>5162.2510000000002</v>
      </c>
      <c r="J491">
        <v>7079.7920000000004</v>
      </c>
    </row>
    <row r="492" spans="1:10">
      <c r="A492">
        <v>72</v>
      </c>
      <c r="B492">
        <v>8</v>
      </c>
      <c r="C492" t="s">
        <v>11</v>
      </c>
      <c r="D492">
        <v>-33.898609234835803</v>
      </c>
      <c r="E492">
        <v>18.857184417100399</v>
      </c>
      <c r="F492">
        <v>6.5750000000000003E-2</v>
      </c>
      <c r="G492">
        <v>0.1643</v>
      </c>
      <c r="H492">
        <v>9.8599999999999993E-2</v>
      </c>
      <c r="I492">
        <v>6139.9669999999996</v>
      </c>
      <c r="J492">
        <v>8057.5079999999998</v>
      </c>
    </row>
    <row r="493" spans="1:10">
      <c r="A493">
        <v>73</v>
      </c>
      <c r="B493">
        <v>8</v>
      </c>
      <c r="C493" t="s">
        <v>11</v>
      </c>
      <c r="D493">
        <v>-33.916877330732603</v>
      </c>
      <c r="E493">
        <v>18.8576223482603</v>
      </c>
      <c r="F493">
        <v>6.5750000000000003E-2</v>
      </c>
      <c r="G493">
        <v>0.1643</v>
      </c>
      <c r="H493">
        <v>9.8599999999999993E-2</v>
      </c>
      <c r="I493">
        <v>3955.7829999999999</v>
      </c>
      <c r="J493">
        <v>5873.3239999999996</v>
      </c>
    </row>
    <row r="494" spans="1:10">
      <c r="A494">
        <v>74</v>
      </c>
      <c r="B494">
        <v>8</v>
      </c>
      <c r="C494" t="s">
        <v>11</v>
      </c>
      <c r="D494">
        <v>-33.903961412112601</v>
      </c>
      <c r="E494">
        <v>18.851687270114301</v>
      </c>
      <c r="F494">
        <v>6.5750000000000003E-2</v>
      </c>
      <c r="G494">
        <v>0.1643</v>
      </c>
      <c r="H494">
        <v>9.8599999999999993E-2</v>
      </c>
      <c r="I494">
        <v>5946.741</v>
      </c>
      <c r="J494">
        <v>7864.2820000000002</v>
      </c>
    </row>
    <row r="495" spans="1:10">
      <c r="A495">
        <v>75</v>
      </c>
      <c r="B495">
        <v>8</v>
      </c>
      <c r="C495" t="s">
        <v>11</v>
      </c>
      <c r="D495">
        <v>-33.910884653248303</v>
      </c>
      <c r="E495">
        <v>18.846213294293602</v>
      </c>
      <c r="F495">
        <v>6.5750000000000003E-2</v>
      </c>
      <c r="G495">
        <v>0.1643</v>
      </c>
      <c r="H495">
        <v>9.8599999999999993E-2</v>
      </c>
      <c r="I495">
        <v>4634.9989999999998</v>
      </c>
      <c r="J495">
        <v>6552.54</v>
      </c>
    </row>
    <row r="496" spans="1:10">
      <c r="A496">
        <v>76</v>
      </c>
      <c r="B496">
        <v>8</v>
      </c>
      <c r="C496" t="s">
        <v>11</v>
      </c>
      <c r="D496">
        <v>-33.899038809771803</v>
      </c>
      <c r="E496">
        <v>18.850018081569399</v>
      </c>
      <c r="F496">
        <v>6.5750000000000003E-2</v>
      </c>
      <c r="G496">
        <v>0.1643</v>
      </c>
      <c r="H496">
        <v>9.8599999999999993E-2</v>
      </c>
      <c r="I496">
        <v>6749.2839999999997</v>
      </c>
      <c r="J496">
        <v>8666.8250000000007</v>
      </c>
    </row>
    <row r="497" spans="1:10">
      <c r="A497">
        <v>77</v>
      </c>
      <c r="B497">
        <v>8</v>
      </c>
      <c r="C497" t="s">
        <v>11</v>
      </c>
      <c r="D497">
        <v>-33.9161337885254</v>
      </c>
      <c r="E497">
        <v>18.847382783770801</v>
      </c>
      <c r="F497">
        <v>6.5750000000000003E-2</v>
      </c>
      <c r="G497">
        <v>0.1643</v>
      </c>
      <c r="H497">
        <v>9.8599999999999993E-2</v>
      </c>
      <c r="I497">
        <v>4177.9690000000001</v>
      </c>
      <c r="J497">
        <v>6095.51</v>
      </c>
    </row>
    <row r="498" spans="1:10">
      <c r="A498">
        <v>78</v>
      </c>
      <c r="B498">
        <v>8</v>
      </c>
      <c r="C498" t="s">
        <v>11</v>
      </c>
      <c r="D498">
        <v>-33.898690907674798</v>
      </c>
      <c r="E498">
        <v>18.843916646333899</v>
      </c>
      <c r="F498">
        <v>6.5750000000000003E-2</v>
      </c>
      <c r="G498">
        <v>0.1643</v>
      </c>
      <c r="H498">
        <v>9.8599999999999993E-2</v>
      </c>
      <c r="I498">
        <v>6400.5860000000002</v>
      </c>
      <c r="J498">
        <v>8318.1270000000004</v>
      </c>
    </row>
    <row r="499" spans="1:10">
      <c r="A499">
        <v>79</v>
      </c>
      <c r="B499">
        <v>8</v>
      </c>
      <c r="C499" t="s">
        <v>11</v>
      </c>
      <c r="D499">
        <v>-33.918034320331202</v>
      </c>
      <c r="E499">
        <v>18.855711178504698</v>
      </c>
      <c r="F499">
        <v>6.5750000000000003E-2</v>
      </c>
      <c r="G499">
        <v>0.1643</v>
      </c>
      <c r="H499">
        <v>9.8599999999999993E-2</v>
      </c>
      <c r="I499">
        <v>3898.7449999999999</v>
      </c>
      <c r="J499">
        <v>5816.2860000000001</v>
      </c>
    </row>
    <row r="500" spans="1:10">
      <c r="A500">
        <v>80</v>
      </c>
      <c r="B500">
        <v>8</v>
      </c>
      <c r="C500" t="s">
        <v>11</v>
      </c>
      <c r="D500">
        <v>-33.911201538886502</v>
      </c>
      <c r="E500">
        <v>18.853497119686601</v>
      </c>
      <c r="F500">
        <v>6.5750000000000003E-2</v>
      </c>
      <c r="G500">
        <v>0.1643</v>
      </c>
      <c r="H500">
        <v>9.8599999999999993E-2</v>
      </c>
      <c r="I500">
        <v>4786.9269999999997</v>
      </c>
      <c r="J500">
        <v>6704.4679999999998</v>
      </c>
    </row>
    <row r="501" spans="1:10">
      <c r="A501">
        <v>81</v>
      </c>
      <c r="B501">
        <v>8</v>
      </c>
      <c r="C501" t="s">
        <v>11</v>
      </c>
      <c r="D501">
        <v>-33.9045918174115</v>
      </c>
      <c r="E501">
        <v>18.844553112956099</v>
      </c>
      <c r="F501">
        <v>6.5750000000000003E-2</v>
      </c>
      <c r="G501">
        <v>0.1643</v>
      </c>
      <c r="H501">
        <v>9.8599999999999993E-2</v>
      </c>
      <c r="I501">
        <v>6070.5360000000001</v>
      </c>
      <c r="J501">
        <v>7988.076</v>
      </c>
    </row>
    <row r="502" spans="1:10">
      <c r="A502">
        <v>82</v>
      </c>
      <c r="B502">
        <v>8</v>
      </c>
      <c r="C502" t="s">
        <v>11</v>
      </c>
      <c r="D502">
        <v>-33.9072902747779</v>
      </c>
      <c r="E502">
        <v>18.857955136776901</v>
      </c>
      <c r="F502">
        <v>6.5750000000000003E-2</v>
      </c>
      <c r="G502">
        <v>0.1643</v>
      </c>
      <c r="H502">
        <v>9.8599999999999993E-2</v>
      </c>
      <c r="I502">
        <v>5103.5029999999997</v>
      </c>
      <c r="J502">
        <v>7021.0439999999999</v>
      </c>
    </row>
    <row r="503" spans="1:10">
      <c r="A503">
        <v>83</v>
      </c>
      <c r="B503">
        <v>8</v>
      </c>
      <c r="C503" t="s">
        <v>11</v>
      </c>
      <c r="D503">
        <v>-33.9158380581137</v>
      </c>
      <c r="E503">
        <v>18.846103247721899</v>
      </c>
      <c r="F503">
        <v>6.5750000000000003E-2</v>
      </c>
      <c r="G503">
        <v>0.1643</v>
      </c>
      <c r="H503">
        <v>9.8599999999999993E-2</v>
      </c>
      <c r="I503">
        <v>4279.1260000000002</v>
      </c>
      <c r="J503">
        <v>6196.6670000000004</v>
      </c>
    </row>
    <row r="504" spans="1:10">
      <c r="A504">
        <v>84</v>
      </c>
      <c r="B504">
        <v>8</v>
      </c>
      <c r="C504" t="s">
        <v>11</v>
      </c>
      <c r="D504">
        <v>-33.902360600414603</v>
      </c>
      <c r="E504">
        <v>18.8564651214629</v>
      </c>
      <c r="F504">
        <v>6.5750000000000003E-2</v>
      </c>
      <c r="G504">
        <v>0.1643</v>
      </c>
      <c r="H504">
        <v>9.8599999999999993E-2</v>
      </c>
      <c r="I504">
        <v>5654.5709999999999</v>
      </c>
      <c r="J504">
        <v>7572.1109999999999</v>
      </c>
    </row>
    <row r="505" spans="1:10">
      <c r="A505">
        <v>85</v>
      </c>
      <c r="B505">
        <v>8</v>
      </c>
      <c r="C505" t="s">
        <v>11</v>
      </c>
      <c r="D505">
        <v>-33.9100910784014</v>
      </c>
      <c r="E505">
        <v>18.850861211182401</v>
      </c>
      <c r="F505">
        <v>6.5750000000000003E-2</v>
      </c>
      <c r="G505">
        <v>0.1643</v>
      </c>
      <c r="H505">
        <v>9.8599999999999993E-2</v>
      </c>
      <c r="I505">
        <v>5136.6880000000001</v>
      </c>
      <c r="J505">
        <v>7054.2290000000003</v>
      </c>
    </row>
    <row r="506" spans="1:10">
      <c r="A506">
        <v>86</v>
      </c>
      <c r="B506">
        <v>8</v>
      </c>
      <c r="C506" t="s">
        <v>11</v>
      </c>
      <c r="D506">
        <v>-33.898724551269297</v>
      </c>
      <c r="E506">
        <v>18.8549230858623</v>
      </c>
      <c r="F506">
        <v>6.5750000000000003E-2</v>
      </c>
      <c r="G506">
        <v>0.1643</v>
      </c>
      <c r="H506">
        <v>9.8599999999999993E-2</v>
      </c>
      <c r="I506">
        <v>6358</v>
      </c>
      <c r="J506">
        <v>8275.5400000000009</v>
      </c>
    </row>
    <row r="507" spans="1:10">
      <c r="A507">
        <v>87</v>
      </c>
      <c r="B507">
        <v>8</v>
      </c>
      <c r="C507" t="s">
        <v>11</v>
      </c>
      <c r="D507">
        <v>-33.8968359360791</v>
      </c>
      <c r="E507">
        <v>18.855342645041102</v>
      </c>
      <c r="F507">
        <v>6.5750000000000003E-2</v>
      </c>
      <c r="G507">
        <v>0.1643</v>
      </c>
      <c r="H507">
        <v>9.8599999999999993E-2</v>
      </c>
      <c r="I507">
        <v>6765.8280000000004</v>
      </c>
      <c r="J507">
        <v>8683.3690000000006</v>
      </c>
    </row>
    <row r="508" spans="1:10">
      <c r="A508">
        <v>88</v>
      </c>
      <c r="B508">
        <v>8</v>
      </c>
      <c r="C508" t="s">
        <v>11</v>
      </c>
      <c r="D508">
        <v>-33.907229970438401</v>
      </c>
      <c r="E508">
        <v>18.8477234729563</v>
      </c>
      <c r="F508">
        <v>6.5750000000000003E-2</v>
      </c>
      <c r="G508">
        <v>0.1643</v>
      </c>
      <c r="H508">
        <v>9.8599999999999993E-2</v>
      </c>
      <c r="I508">
        <v>5381.3829999999998</v>
      </c>
      <c r="J508">
        <v>7298.9229999999998</v>
      </c>
    </row>
    <row r="509" spans="1:10">
      <c r="A509">
        <v>89</v>
      </c>
      <c r="B509">
        <v>8</v>
      </c>
      <c r="C509" t="s">
        <v>11</v>
      </c>
      <c r="D509">
        <v>-33.918409627110698</v>
      </c>
      <c r="E509">
        <v>18.851709541049601</v>
      </c>
      <c r="F509">
        <v>6.5750000000000003E-2</v>
      </c>
      <c r="G509">
        <v>0.1643</v>
      </c>
      <c r="H509">
        <v>9.8599999999999993E-2</v>
      </c>
      <c r="I509">
        <v>3620.8910000000001</v>
      </c>
      <c r="J509">
        <v>5538.4319999999998</v>
      </c>
    </row>
    <row r="510" spans="1:10">
      <c r="A510">
        <v>90</v>
      </c>
      <c r="B510">
        <v>8</v>
      </c>
      <c r="C510" t="s">
        <v>11</v>
      </c>
      <c r="D510">
        <v>-33.902723054011901</v>
      </c>
      <c r="E510">
        <v>18.8518658394493</v>
      </c>
      <c r="F510">
        <v>6.5750000000000003E-2</v>
      </c>
      <c r="G510">
        <v>0.1643</v>
      </c>
      <c r="H510">
        <v>9.8599999999999993E-2</v>
      </c>
      <c r="I510">
        <v>5966.7460000000001</v>
      </c>
      <c r="J510">
        <v>7884.2870000000003</v>
      </c>
    </row>
    <row r="511" spans="1:10">
      <c r="A511">
        <v>91</v>
      </c>
      <c r="B511">
        <v>8</v>
      </c>
      <c r="C511" t="s">
        <v>11</v>
      </c>
      <c r="D511">
        <v>-33.911436052733102</v>
      </c>
      <c r="E511">
        <v>18.858240285005099</v>
      </c>
      <c r="F511">
        <v>6.5750000000000003E-2</v>
      </c>
      <c r="G511">
        <v>0.1643</v>
      </c>
      <c r="H511">
        <v>9.8599999999999993E-2</v>
      </c>
      <c r="I511">
        <v>4424.6350000000002</v>
      </c>
      <c r="J511">
        <v>6342.1750000000002</v>
      </c>
    </row>
    <row r="512" spans="1:10">
      <c r="A512">
        <v>92</v>
      </c>
      <c r="B512">
        <v>8</v>
      </c>
      <c r="C512" t="s">
        <v>11</v>
      </c>
      <c r="D512">
        <v>-33.8968713478775</v>
      </c>
      <c r="E512">
        <v>18.848510431812699</v>
      </c>
      <c r="F512">
        <v>6.5750000000000003E-2</v>
      </c>
      <c r="G512">
        <v>0.1643</v>
      </c>
      <c r="H512">
        <v>9.8599999999999993E-2</v>
      </c>
      <c r="I512">
        <v>6851.3580000000002</v>
      </c>
      <c r="J512">
        <v>8768.8989999999994</v>
      </c>
    </row>
    <row r="513" spans="1:10">
      <c r="A513">
        <v>93</v>
      </c>
      <c r="B513">
        <v>8</v>
      </c>
      <c r="C513" t="s">
        <v>11</v>
      </c>
      <c r="D513">
        <v>-33.903785458806901</v>
      </c>
      <c r="E513">
        <v>18.855669089761999</v>
      </c>
      <c r="F513">
        <v>6.5750000000000003E-2</v>
      </c>
      <c r="G513">
        <v>0.1643</v>
      </c>
      <c r="H513">
        <v>9.8599999999999993E-2</v>
      </c>
      <c r="I513">
        <v>5902.442</v>
      </c>
      <c r="J513">
        <v>7819.982</v>
      </c>
    </row>
    <row r="514" spans="1:10">
      <c r="A514">
        <v>94</v>
      </c>
      <c r="B514">
        <v>8</v>
      </c>
      <c r="C514" t="s">
        <v>11</v>
      </c>
      <c r="D514">
        <v>-33.899010856298197</v>
      </c>
      <c r="E514">
        <v>18.8557769556691</v>
      </c>
      <c r="F514">
        <v>6.5750000000000003E-2</v>
      </c>
      <c r="G514">
        <v>0.1643</v>
      </c>
      <c r="H514">
        <v>9.8599999999999993E-2</v>
      </c>
      <c r="I514">
        <v>6330.259</v>
      </c>
      <c r="J514">
        <v>8247.7999999999993</v>
      </c>
    </row>
    <row r="515" spans="1:10">
      <c r="A515">
        <v>95</v>
      </c>
      <c r="B515">
        <v>8</v>
      </c>
      <c r="C515" t="s">
        <v>11</v>
      </c>
      <c r="D515">
        <v>-33.9198192594787</v>
      </c>
      <c r="E515">
        <v>18.8472427398418</v>
      </c>
      <c r="F515">
        <v>6.5750000000000003E-2</v>
      </c>
      <c r="G515">
        <v>0.1643</v>
      </c>
      <c r="H515">
        <v>9.8599999999999993E-2</v>
      </c>
      <c r="I515">
        <v>4145.0280000000002</v>
      </c>
      <c r="J515">
        <v>6062.5690000000004</v>
      </c>
    </row>
    <row r="516" spans="1:10">
      <c r="A516">
        <v>96</v>
      </c>
      <c r="B516">
        <v>8</v>
      </c>
      <c r="C516" t="s">
        <v>11</v>
      </c>
      <c r="D516">
        <v>-33.912641434995002</v>
      </c>
      <c r="E516">
        <v>18.8531210920383</v>
      </c>
      <c r="F516">
        <v>6.5750000000000003E-2</v>
      </c>
      <c r="G516">
        <v>0.1643</v>
      </c>
      <c r="H516">
        <v>9.8599999999999993E-2</v>
      </c>
      <c r="I516">
        <v>4721.6620000000003</v>
      </c>
      <c r="J516">
        <v>6639.2030000000004</v>
      </c>
    </row>
    <row r="517" spans="1:10">
      <c r="A517">
        <v>97</v>
      </c>
      <c r="B517">
        <v>8</v>
      </c>
      <c r="C517" t="s">
        <v>11</v>
      </c>
      <c r="D517">
        <v>-33.918057658214998</v>
      </c>
      <c r="E517">
        <v>18.8520248257202</v>
      </c>
      <c r="F517">
        <v>6.5750000000000003E-2</v>
      </c>
      <c r="G517">
        <v>0.1643</v>
      </c>
      <c r="H517">
        <v>9.8599999999999993E-2</v>
      </c>
      <c r="I517">
        <v>3595.8069999999998</v>
      </c>
      <c r="J517">
        <v>5513.348</v>
      </c>
    </row>
    <row r="518" spans="1:10">
      <c r="A518">
        <v>98</v>
      </c>
      <c r="B518">
        <v>8</v>
      </c>
      <c r="C518" t="s">
        <v>11</v>
      </c>
      <c r="D518">
        <v>-33.917739119265498</v>
      </c>
      <c r="E518">
        <v>18.8524395555187</v>
      </c>
      <c r="F518">
        <v>6.5750000000000003E-2</v>
      </c>
      <c r="G518">
        <v>0.1643</v>
      </c>
      <c r="H518">
        <v>9.8599999999999993E-2</v>
      </c>
      <c r="I518">
        <v>3610.9380000000001</v>
      </c>
      <c r="J518">
        <v>5528.4790000000003</v>
      </c>
    </row>
    <row r="519" spans="1:10">
      <c r="A519">
        <v>99</v>
      </c>
      <c r="B519">
        <v>8</v>
      </c>
      <c r="C519" t="s">
        <v>11</v>
      </c>
      <c r="D519">
        <v>-33.911885983455598</v>
      </c>
      <c r="E519">
        <v>18.8510828916761</v>
      </c>
      <c r="F519">
        <v>6.5750000000000003E-2</v>
      </c>
      <c r="G519">
        <v>0.1643</v>
      </c>
      <c r="H519">
        <v>9.8599999999999993E-2</v>
      </c>
      <c r="I519">
        <v>5087.1310000000003</v>
      </c>
      <c r="J519">
        <v>7004.6719999999996</v>
      </c>
    </row>
    <row r="520" spans="1:10">
      <c r="A520">
        <v>100</v>
      </c>
      <c r="B520">
        <v>8</v>
      </c>
      <c r="C520" t="s">
        <v>11</v>
      </c>
      <c r="D520">
        <v>-33.902740568608202</v>
      </c>
      <c r="E520">
        <v>18.844166749462101</v>
      </c>
      <c r="F520">
        <v>6.5750000000000003E-2</v>
      </c>
      <c r="G520">
        <v>0.1643</v>
      </c>
      <c r="H520">
        <v>9.8599999999999993E-2</v>
      </c>
      <c r="I520">
        <v>6019.8109999999997</v>
      </c>
      <c r="J520">
        <v>7937.3519999999999</v>
      </c>
    </row>
    <row r="521" spans="1:10">
      <c r="A521">
        <v>101</v>
      </c>
      <c r="B521">
        <v>8</v>
      </c>
      <c r="C521" t="s">
        <v>11</v>
      </c>
      <c r="D521">
        <v>-33.915318149268799</v>
      </c>
      <c r="E521">
        <v>18.852871174690002</v>
      </c>
      <c r="F521">
        <v>6.5750000000000003E-2</v>
      </c>
      <c r="G521">
        <v>0.1643</v>
      </c>
      <c r="H521">
        <v>9.8599999999999993E-2</v>
      </c>
      <c r="I521">
        <v>4059.2539999999999</v>
      </c>
      <c r="J521">
        <v>5976.7950000000001</v>
      </c>
    </row>
    <row r="522" spans="1:10">
      <c r="A522">
        <v>102</v>
      </c>
      <c r="B522">
        <v>8</v>
      </c>
      <c r="C522" t="s">
        <v>11</v>
      </c>
      <c r="D522">
        <v>-33.908335273569001</v>
      </c>
      <c r="E522">
        <v>18.858014320187301</v>
      </c>
      <c r="F522">
        <v>6.5750000000000003E-2</v>
      </c>
      <c r="G522">
        <v>0.1643</v>
      </c>
      <c r="H522">
        <v>9.8599999999999993E-2</v>
      </c>
      <c r="I522">
        <v>4958.6350000000002</v>
      </c>
      <c r="J522">
        <v>6876.1760000000004</v>
      </c>
    </row>
    <row r="523" spans="1:10">
      <c r="A523">
        <v>103</v>
      </c>
      <c r="B523">
        <v>8</v>
      </c>
      <c r="C523" t="s">
        <v>11</v>
      </c>
      <c r="D523">
        <v>-33.900334155584801</v>
      </c>
      <c r="E523">
        <v>18.851660857921701</v>
      </c>
      <c r="F523">
        <v>6.5750000000000003E-2</v>
      </c>
      <c r="G523">
        <v>0.1643</v>
      </c>
      <c r="H523">
        <v>9.8599999999999993E-2</v>
      </c>
      <c r="I523">
        <v>7004.4279999999999</v>
      </c>
      <c r="J523">
        <v>8921.9680000000008</v>
      </c>
    </row>
    <row r="524" spans="1:10">
      <c r="A524">
        <v>104</v>
      </c>
      <c r="B524">
        <v>8</v>
      </c>
      <c r="C524" t="s">
        <v>11</v>
      </c>
      <c r="D524">
        <v>-33.919547703248597</v>
      </c>
      <c r="E524">
        <v>18.8586881557193</v>
      </c>
      <c r="F524">
        <v>6.5750000000000003E-2</v>
      </c>
      <c r="G524">
        <v>0.1643</v>
      </c>
      <c r="H524">
        <v>9.8599999999999993E-2</v>
      </c>
      <c r="I524">
        <v>3996.578</v>
      </c>
      <c r="J524">
        <v>6294.335</v>
      </c>
    </row>
    <row r="525" spans="1:10">
      <c r="A525">
        <v>105</v>
      </c>
      <c r="B525">
        <v>8</v>
      </c>
      <c r="C525" t="s">
        <v>11</v>
      </c>
      <c r="D525">
        <v>-33.898457047124801</v>
      </c>
      <c r="E525">
        <v>18.8532590170833</v>
      </c>
      <c r="F525">
        <v>6.5750000000000003E-2</v>
      </c>
      <c r="G525">
        <v>0.1643</v>
      </c>
      <c r="H525">
        <v>9.8599999999999993E-2</v>
      </c>
      <c r="I525">
        <v>6992.0929999999998</v>
      </c>
      <c r="J525">
        <v>8909.6329999999998</v>
      </c>
    </row>
    <row r="526" spans="1:10">
      <c r="A526">
        <v>106</v>
      </c>
      <c r="B526">
        <v>8</v>
      </c>
      <c r="C526" t="s">
        <v>11</v>
      </c>
      <c r="D526">
        <v>-33.915288052203103</v>
      </c>
      <c r="E526">
        <v>18.8510186340527</v>
      </c>
      <c r="F526">
        <v>6.5750000000000003E-2</v>
      </c>
      <c r="G526">
        <v>0.1643</v>
      </c>
      <c r="H526">
        <v>9.8599999999999993E-2</v>
      </c>
      <c r="I526">
        <v>3908.3719999999998</v>
      </c>
      <c r="J526">
        <v>5825.9129999999996</v>
      </c>
    </row>
    <row r="527" spans="1:10">
      <c r="A527">
        <v>107</v>
      </c>
      <c r="B527">
        <v>8</v>
      </c>
      <c r="C527" t="s">
        <v>11</v>
      </c>
      <c r="D527">
        <v>-33.918505236151503</v>
      </c>
      <c r="E527">
        <v>18.844938683826701</v>
      </c>
      <c r="F527">
        <v>6.5750000000000003E-2</v>
      </c>
      <c r="G527">
        <v>0.1643</v>
      </c>
      <c r="H527">
        <v>9.8599999999999993E-2</v>
      </c>
      <c r="I527">
        <v>4392.5079999999998</v>
      </c>
      <c r="J527">
        <v>6310.049</v>
      </c>
    </row>
    <row r="528" spans="1:10">
      <c r="A528">
        <v>108</v>
      </c>
      <c r="B528">
        <v>8</v>
      </c>
      <c r="C528" t="s">
        <v>11</v>
      </c>
      <c r="D528">
        <v>-33.899886745383597</v>
      </c>
      <c r="E528">
        <v>18.843482171036001</v>
      </c>
      <c r="F528">
        <v>6.5750000000000003E-2</v>
      </c>
      <c r="G528">
        <v>0.1643</v>
      </c>
      <c r="H528">
        <v>9.8599999999999993E-2</v>
      </c>
      <c r="I528">
        <v>6176.7020000000002</v>
      </c>
      <c r="J528">
        <v>8094.2430000000004</v>
      </c>
    </row>
    <row r="529" spans="1:10">
      <c r="A529">
        <v>109</v>
      </c>
      <c r="B529">
        <v>8</v>
      </c>
      <c r="C529" t="s">
        <v>11</v>
      </c>
      <c r="D529">
        <v>-33.896954612261901</v>
      </c>
      <c r="E529">
        <v>18.844178702453</v>
      </c>
      <c r="F529">
        <v>6.5750000000000003E-2</v>
      </c>
      <c r="G529">
        <v>0.1643</v>
      </c>
      <c r="H529">
        <v>9.8599999999999993E-2</v>
      </c>
      <c r="I529">
        <v>6684.1459999999997</v>
      </c>
      <c r="J529">
        <v>8601.6869999999999</v>
      </c>
    </row>
    <row r="530" spans="1:10">
      <c r="A530">
        <v>110</v>
      </c>
      <c r="B530">
        <v>8</v>
      </c>
      <c r="C530" t="s">
        <v>11</v>
      </c>
      <c r="D530">
        <v>-33.902682377502799</v>
      </c>
      <c r="E530">
        <v>18.846337368029399</v>
      </c>
      <c r="F530">
        <v>6.5750000000000003E-2</v>
      </c>
      <c r="G530">
        <v>0.1643</v>
      </c>
      <c r="H530">
        <v>9.8599999999999993E-2</v>
      </c>
      <c r="I530">
        <v>5791.5910000000003</v>
      </c>
      <c r="J530">
        <v>7709.1319999999996</v>
      </c>
    </row>
    <row r="531" spans="1:10">
      <c r="A531">
        <v>111</v>
      </c>
      <c r="B531">
        <v>8</v>
      </c>
      <c r="C531" t="s">
        <v>11</v>
      </c>
      <c r="D531">
        <v>-33.915295345593101</v>
      </c>
      <c r="E531">
        <v>18.847636305128201</v>
      </c>
      <c r="F531">
        <v>6.5750000000000003E-2</v>
      </c>
      <c r="G531">
        <v>0.1643</v>
      </c>
      <c r="H531">
        <v>9.8599999999999993E-2</v>
      </c>
      <c r="I531">
        <v>4222.8190000000004</v>
      </c>
      <c r="J531">
        <v>6140.36</v>
      </c>
    </row>
    <row r="532" spans="1:10">
      <c r="A532">
        <v>112</v>
      </c>
      <c r="B532">
        <v>8</v>
      </c>
      <c r="C532" t="s">
        <v>11</v>
      </c>
      <c r="D532">
        <v>-33.901815237447202</v>
      </c>
      <c r="E532">
        <v>18.846708309551499</v>
      </c>
      <c r="F532">
        <v>6.5750000000000003E-2</v>
      </c>
      <c r="G532">
        <v>0.1643</v>
      </c>
      <c r="H532">
        <v>9.8599999999999993E-2</v>
      </c>
      <c r="I532">
        <v>5918.6490000000003</v>
      </c>
      <c r="J532">
        <v>7836.1890000000003</v>
      </c>
    </row>
    <row r="533" spans="1:10">
      <c r="A533">
        <v>113</v>
      </c>
      <c r="B533">
        <v>8</v>
      </c>
      <c r="C533" t="s">
        <v>11</v>
      </c>
      <c r="D533">
        <v>-33.907556804346903</v>
      </c>
      <c r="E533">
        <v>18.854593583918501</v>
      </c>
      <c r="F533">
        <v>6.5750000000000003E-2</v>
      </c>
      <c r="G533">
        <v>0.1643</v>
      </c>
      <c r="H533">
        <v>9.8599999999999993E-2</v>
      </c>
      <c r="I533">
        <v>5112.3270000000002</v>
      </c>
      <c r="J533">
        <v>7029.8680000000004</v>
      </c>
    </row>
    <row r="534" spans="1:10">
      <c r="A534">
        <v>114</v>
      </c>
      <c r="B534">
        <v>8</v>
      </c>
      <c r="C534" t="s">
        <v>11</v>
      </c>
      <c r="D534">
        <v>-33.9096030950151</v>
      </c>
      <c r="E534">
        <v>18.8496248128403</v>
      </c>
      <c r="F534">
        <v>6.5750000000000003E-2</v>
      </c>
      <c r="G534">
        <v>0.1643</v>
      </c>
      <c r="H534">
        <v>9.8599999999999993E-2</v>
      </c>
      <c r="I534">
        <v>5313.3090000000002</v>
      </c>
      <c r="J534">
        <v>7230.85</v>
      </c>
    </row>
    <row r="535" spans="1:10">
      <c r="A535">
        <v>115</v>
      </c>
      <c r="B535">
        <v>8</v>
      </c>
      <c r="C535" t="s">
        <v>11</v>
      </c>
      <c r="D535">
        <v>-33.918108494607701</v>
      </c>
      <c r="E535">
        <v>18.8576572806965</v>
      </c>
      <c r="F535">
        <v>6.5750000000000003E-2</v>
      </c>
      <c r="G535">
        <v>0.1643</v>
      </c>
      <c r="H535">
        <v>9.8599999999999993E-2</v>
      </c>
      <c r="I535">
        <v>3721.4369999999999</v>
      </c>
      <c r="J535">
        <v>5638.9780000000001</v>
      </c>
    </row>
    <row r="536" spans="1:10">
      <c r="A536">
        <v>116</v>
      </c>
      <c r="B536">
        <v>8</v>
      </c>
      <c r="C536" t="s">
        <v>11</v>
      </c>
      <c r="D536">
        <v>-33.900410398638897</v>
      </c>
      <c r="E536">
        <v>18.855995679660801</v>
      </c>
      <c r="F536">
        <v>6.5750000000000003E-2</v>
      </c>
      <c r="G536">
        <v>0.1643</v>
      </c>
      <c r="H536">
        <v>9.8599999999999993E-2</v>
      </c>
      <c r="I536">
        <v>6317.5879999999997</v>
      </c>
      <c r="J536">
        <v>8235.1290000000008</v>
      </c>
    </row>
    <row r="537" spans="1:10">
      <c r="A537">
        <v>117</v>
      </c>
      <c r="B537">
        <v>8</v>
      </c>
      <c r="C537" t="s">
        <v>11</v>
      </c>
      <c r="D537">
        <v>-33.905537440325901</v>
      </c>
      <c r="E537">
        <v>18.8560255752394</v>
      </c>
      <c r="F537">
        <v>6.5750000000000003E-2</v>
      </c>
      <c r="G537">
        <v>0.1643</v>
      </c>
      <c r="H537">
        <v>9.8599999999999993E-2</v>
      </c>
      <c r="I537">
        <v>5385.5370000000003</v>
      </c>
      <c r="J537">
        <v>7303.0780000000004</v>
      </c>
    </row>
    <row r="538" spans="1:10">
      <c r="A538">
        <v>118</v>
      </c>
      <c r="B538">
        <v>8</v>
      </c>
      <c r="C538" t="s">
        <v>11</v>
      </c>
      <c r="D538">
        <v>-33.902156564402297</v>
      </c>
      <c r="E538">
        <v>18.858596251931601</v>
      </c>
      <c r="F538">
        <v>6.5750000000000003E-2</v>
      </c>
      <c r="G538">
        <v>0.1643</v>
      </c>
      <c r="H538">
        <v>9.8599999999999993E-2</v>
      </c>
      <c r="I538">
        <v>5556.8069999999998</v>
      </c>
      <c r="J538">
        <v>7474.348</v>
      </c>
    </row>
    <row r="539" spans="1:10">
      <c r="A539">
        <v>119</v>
      </c>
      <c r="B539">
        <v>8</v>
      </c>
      <c r="C539" t="s">
        <v>11</v>
      </c>
      <c r="D539">
        <v>-33.901402916259698</v>
      </c>
      <c r="E539">
        <v>18.855457794814601</v>
      </c>
      <c r="F539">
        <v>6.5750000000000003E-2</v>
      </c>
      <c r="G539">
        <v>0.1643</v>
      </c>
      <c r="H539">
        <v>9.8599999999999993E-2</v>
      </c>
      <c r="I539">
        <v>6048.7039999999997</v>
      </c>
      <c r="J539">
        <v>7966.2439999999997</v>
      </c>
    </row>
    <row r="540" spans="1:10">
      <c r="A540">
        <v>120</v>
      </c>
      <c r="B540">
        <v>8</v>
      </c>
      <c r="C540" t="s">
        <v>11</v>
      </c>
      <c r="D540">
        <v>-33.896473509468898</v>
      </c>
      <c r="E540">
        <v>18.845973819257299</v>
      </c>
      <c r="F540">
        <v>6.5750000000000003E-2</v>
      </c>
      <c r="G540">
        <v>0.1643</v>
      </c>
      <c r="H540">
        <v>9.8599999999999993E-2</v>
      </c>
      <c r="I540">
        <v>9286.5249999999996</v>
      </c>
      <c r="J540">
        <v>11204.066000000001</v>
      </c>
    </row>
    <row r="541" spans="1:10">
      <c r="A541">
        <v>121</v>
      </c>
      <c r="B541">
        <v>8</v>
      </c>
      <c r="C541" t="s">
        <v>11</v>
      </c>
      <c r="D541">
        <v>-33.914579949784397</v>
      </c>
      <c r="E541">
        <v>18.8547612221493</v>
      </c>
      <c r="F541">
        <v>6.5750000000000003E-2</v>
      </c>
      <c r="G541">
        <v>0.1643</v>
      </c>
      <c r="H541">
        <v>9.8599999999999993E-2</v>
      </c>
      <c r="I541">
        <v>4157.01</v>
      </c>
      <c r="J541">
        <v>6074.5510000000004</v>
      </c>
    </row>
    <row r="542" spans="1:10">
      <c r="A542">
        <v>122</v>
      </c>
      <c r="B542">
        <v>8</v>
      </c>
      <c r="C542" t="s">
        <v>11</v>
      </c>
      <c r="D542">
        <v>-33.908493097572098</v>
      </c>
      <c r="E542">
        <v>18.855709682892599</v>
      </c>
      <c r="F542">
        <v>6.5750000000000003E-2</v>
      </c>
      <c r="G542">
        <v>0.1643</v>
      </c>
      <c r="H542">
        <v>9.8599999999999993E-2</v>
      </c>
      <c r="I542">
        <v>4863.3540000000003</v>
      </c>
      <c r="J542">
        <v>6780.8950000000004</v>
      </c>
    </row>
    <row r="543" spans="1:10">
      <c r="A543">
        <v>123</v>
      </c>
      <c r="B543">
        <v>8</v>
      </c>
      <c r="C543" t="s">
        <v>11</v>
      </c>
      <c r="D543">
        <v>-33.899345500614999</v>
      </c>
      <c r="E543">
        <v>18.854287426849201</v>
      </c>
      <c r="F543">
        <v>6.5750000000000003E-2</v>
      </c>
      <c r="G543">
        <v>0.1643</v>
      </c>
      <c r="H543">
        <v>9.8599999999999993E-2</v>
      </c>
      <c r="I543">
        <v>6358</v>
      </c>
      <c r="J543">
        <v>8275.5400000000009</v>
      </c>
    </row>
    <row r="544" spans="1:10">
      <c r="A544">
        <v>124</v>
      </c>
      <c r="B544">
        <v>8</v>
      </c>
      <c r="C544" t="s">
        <v>11</v>
      </c>
      <c r="D544">
        <v>-33.919307657707201</v>
      </c>
      <c r="E544">
        <v>18.852871924579102</v>
      </c>
      <c r="F544">
        <v>6.5750000000000003E-2</v>
      </c>
      <c r="G544">
        <v>0.1643</v>
      </c>
      <c r="H544">
        <v>9.8599999999999993E-2</v>
      </c>
      <c r="I544">
        <v>3434.5859999999998</v>
      </c>
      <c r="J544">
        <v>5352.1270000000004</v>
      </c>
    </row>
    <row r="545" spans="1:12">
      <c r="A545">
        <v>125</v>
      </c>
      <c r="B545">
        <v>8</v>
      </c>
      <c r="C545" t="s">
        <v>11</v>
      </c>
      <c r="D545">
        <v>-33.907905738456897</v>
      </c>
      <c r="E545">
        <v>18.846609797047002</v>
      </c>
      <c r="F545">
        <v>6.5750000000000003E-2</v>
      </c>
      <c r="G545">
        <v>0.1643</v>
      </c>
      <c r="H545">
        <v>9.8599999999999993E-2</v>
      </c>
      <c r="I545">
        <v>5206.9949999999999</v>
      </c>
      <c r="J545">
        <v>7124.5360000000001</v>
      </c>
    </row>
    <row r="546" spans="1:12">
      <c r="A546">
        <v>126</v>
      </c>
      <c r="B546">
        <v>8</v>
      </c>
      <c r="C546" t="s">
        <v>11</v>
      </c>
      <c r="D546">
        <v>-33.898315249561001</v>
      </c>
      <c r="E546">
        <v>18.847737180410299</v>
      </c>
      <c r="F546">
        <v>6.5750000000000003E-2</v>
      </c>
      <c r="G546">
        <v>0.1643</v>
      </c>
      <c r="H546">
        <v>9.8599999999999993E-2</v>
      </c>
      <c r="I546">
        <v>6522.165</v>
      </c>
      <c r="J546">
        <v>8439.7060000000001</v>
      </c>
    </row>
    <row r="547" spans="1:12">
      <c r="A547">
        <v>127</v>
      </c>
      <c r="B547">
        <v>8</v>
      </c>
      <c r="C547" t="s">
        <v>11</v>
      </c>
      <c r="D547">
        <v>-33.919795329588801</v>
      </c>
      <c r="E547">
        <v>18.848660194809501</v>
      </c>
      <c r="F547">
        <v>6.5750000000000003E-2</v>
      </c>
      <c r="G547">
        <v>0.1643</v>
      </c>
      <c r="H547">
        <v>9.8599999999999993E-2</v>
      </c>
      <c r="I547">
        <v>3995.82</v>
      </c>
      <c r="J547">
        <v>5913.3609999999999</v>
      </c>
    </row>
    <row r="548" spans="1:12">
      <c r="A548">
        <v>128</v>
      </c>
      <c r="B548">
        <v>8</v>
      </c>
      <c r="C548" t="s">
        <v>11</v>
      </c>
      <c r="D548">
        <v>-33.911601825940402</v>
      </c>
      <c r="E548">
        <v>18.846259974427301</v>
      </c>
      <c r="F548">
        <v>6.5750000000000003E-2</v>
      </c>
      <c r="G548">
        <v>0.1643</v>
      </c>
      <c r="H548">
        <v>9.8599999999999993E-2</v>
      </c>
      <c r="I548">
        <v>4631.2179999999998</v>
      </c>
      <c r="J548">
        <v>6548.759</v>
      </c>
    </row>
    <row r="549" spans="1:12">
      <c r="A549">
        <v>129</v>
      </c>
      <c r="B549">
        <v>8</v>
      </c>
      <c r="C549" t="s">
        <v>11</v>
      </c>
      <c r="D549">
        <v>-33.9116261461525</v>
      </c>
      <c r="E549">
        <v>18.848282913618</v>
      </c>
      <c r="F549">
        <v>6.5750000000000003E-2</v>
      </c>
      <c r="G549">
        <v>0.1643</v>
      </c>
      <c r="H549">
        <v>9.8599999999999993E-2</v>
      </c>
      <c r="I549">
        <v>4397.982</v>
      </c>
      <c r="J549">
        <v>6315.5219999999999</v>
      </c>
    </row>
    <row r="550" spans="1:12">
      <c r="A550">
        <v>130</v>
      </c>
      <c r="B550">
        <v>8</v>
      </c>
      <c r="C550" t="s">
        <v>11</v>
      </c>
      <c r="D550">
        <v>-33.897518964489201</v>
      </c>
      <c r="E550">
        <v>18.849155405601401</v>
      </c>
      <c r="F550">
        <v>6.5750000000000003E-2</v>
      </c>
      <c r="G550">
        <v>0.1643</v>
      </c>
      <c r="H550">
        <v>9.8599999999999993E-2</v>
      </c>
      <c r="I550">
        <v>6851.3580000000002</v>
      </c>
      <c r="J550">
        <v>8768.8989999999994</v>
      </c>
    </row>
    <row r="551" spans="1:12">
      <c r="A551">
        <v>131</v>
      </c>
      <c r="B551">
        <v>8</v>
      </c>
      <c r="C551" t="s">
        <v>11</v>
      </c>
      <c r="D551">
        <v>-33.910923313611697</v>
      </c>
      <c r="E551">
        <v>18.8592683634621</v>
      </c>
      <c r="F551">
        <v>6.5750000000000003E-2</v>
      </c>
      <c r="G551">
        <v>0.1643</v>
      </c>
      <c r="H551">
        <v>9.8599999999999993E-2</v>
      </c>
      <c r="I551">
        <v>4795.4960000000001</v>
      </c>
      <c r="J551">
        <v>6713.0370000000003</v>
      </c>
    </row>
    <row r="552" spans="1:12">
      <c r="A552">
        <v>132</v>
      </c>
      <c r="B552">
        <v>8</v>
      </c>
      <c r="C552" t="s">
        <v>11</v>
      </c>
      <c r="D552">
        <v>-33.915266336250703</v>
      </c>
      <c r="E552">
        <v>18.8498562482241</v>
      </c>
      <c r="F552">
        <v>6.5750000000000003E-2</v>
      </c>
      <c r="G552">
        <v>0.1643</v>
      </c>
      <c r="H552">
        <v>9.8599999999999993E-2</v>
      </c>
      <c r="I552">
        <v>3964.9229999999998</v>
      </c>
      <c r="J552">
        <v>5882.4639999999999</v>
      </c>
    </row>
    <row r="553" spans="1:12">
      <c r="A553">
        <v>133</v>
      </c>
      <c r="B553">
        <v>8</v>
      </c>
      <c r="C553" t="s">
        <v>11</v>
      </c>
      <c r="D553">
        <v>-33.915407011045801</v>
      </c>
      <c r="E553">
        <v>18.8547541567794</v>
      </c>
      <c r="F553">
        <v>6.5750000000000003E-2</v>
      </c>
      <c r="G553">
        <v>0.1643</v>
      </c>
      <c r="H553">
        <v>9.8599999999999993E-2</v>
      </c>
      <c r="I553">
        <v>4068.1350000000002</v>
      </c>
      <c r="J553">
        <v>5985.6760000000004</v>
      </c>
    </row>
    <row r="554" spans="1:12">
      <c r="A554">
        <v>134</v>
      </c>
      <c r="B554">
        <v>8</v>
      </c>
      <c r="C554" t="s">
        <v>11</v>
      </c>
      <c r="D554">
        <v>-33.919122564640297</v>
      </c>
      <c r="E554">
        <v>18.848997758533201</v>
      </c>
      <c r="F554">
        <v>6.5750000000000003E-2</v>
      </c>
      <c r="G554">
        <v>0.1643</v>
      </c>
      <c r="H554">
        <v>9.8599999999999993E-2</v>
      </c>
      <c r="I554">
        <v>4092.5830000000001</v>
      </c>
      <c r="J554">
        <v>6010.1239999999998</v>
      </c>
    </row>
    <row r="555" spans="1:12">
      <c r="A555">
        <v>135</v>
      </c>
      <c r="B555">
        <v>8</v>
      </c>
      <c r="C555" t="s">
        <v>11</v>
      </c>
      <c r="D555">
        <v>-33.912104932787003</v>
      </c>
      <c r="E555">
        <v>18.844412525389298</v>
      </c>
      <c r="F555">
        <v>6.5750000000000003E-2</v>
      </c>
      <c r="G555">
        <v>0.1643</v>
      </c>
      <c r="H555">
        <v>9.8599999999999993E-2</v>
      </c>
      <c r="I555">
        <v>4826.3869999999997</v>
      </c>
      <c r="J555">
        <v>6743.9279999999999</v>
      </c>
      <c r="L555">
        <f ca="1">RANDBETWEEN(0,166)</f>
        <v>127</v>
      </c>
    </row>
    <row r="556" spans="1:12">
      <c r="A556">
        <v>136</v>
      </c>
      <c r="B556">
        <v>8</v>
      </c>
      <c r="C556" t="s">
        <v>11</v>
      </c>
      <c r="D556">
        <v>-33.900034647560197</v>
      </c>
      <c r="E556">
        <v>18.843619740624899</v>
      </c>
      <c r="F556">
        <v>6.5750000000000003E-2</v>
      </c>
      <c r="G556">
        <v>0.1643</v>
      </c>
      <c r="H556">
        <v>9.8599999999999993E-2</v>
      </c>
      <c r="I556">
        <v>6120.6880000000001</v>
      </c>
      <c r="J556">
        <v>8038.2290000000003</v>
      </c>
    </row>
    <row r="557" spans="1:12">
      <c r="A557">
        <v>137</v>
      </c>
      <c r="B557">
        <v>8</v>
      </c>
      <c r="C557" t="s">
        <v>11</v>
      </c>
      <c r="D557">
        <v>-33.913554834446899</v>
      </c>
      <c r="E557">
        <v>18.857383237518601</v>
      </c>
      <c r="F557">
        <v>6.5750000000000003E-2</v>
      </c>
      <c r="G557">
        <v>0.1643</v>
      </c>
      <c r="H557">
        <v>9.8599999999999993E-2</v>
      </c>
      <c r="I557">
        <v>4181.5609999999997</v>
      </c>
      <c r="J557">
        <v>6099.1019999999999</v>
      </c>
    </row>
    <row r="558" spans="1:12">
      <c r="A558">
        <v>138</v>
      </c>
      <c r="B558">
        <v>8</v>
      </c>
      <c r="C558" t="s">
        <v>11</v>
      </c>
      <c r="D558">
        <v>-33.913922602458499</v>
      </c>
      <c r="E558">
        <v>18.848381676885801</v>
      </c>
      <c r="F558">
        <v>6.5750000000000003E-2</v>
      </c>
      <c r="G558">
        <v>0.1643</v>
      </c>
      <c r="H558">
        <v>9.8599999999999993E-2</v>
      </c>
      <c r="I558">
        <v>4339.6059999999998</v>
      </c>
      <c r="J558">
        <v>6257.1459999999997</v>
      </c>
    </row>
    <row r="559" spans="1:12">
      <c r="A559">
        <v>139</v>
      </c>
      <c r="B559">
        <v>8</v>
      </c>
      <c r="C559" t="s">
        <v>11</v>
      </c>
      <c r="D559">
        <v>-33.898439072019997</v>
      </c>
      <c r="E559">
        <v>18.850587450383401</v>
      </c>
      <c r="F559">
        <v>6.5750000000000003E-2</v>
      </c>
      <c r="G559">
        <v>0.1643</v>
      </c>
      <c r="H559">
        <v>9.8599999999999993E-2</v>
      </c>
      <c r="I559">
        <v>6829.7460000000001</v>
      </c>
      <c r="J559">
        <v>8747.2860000000001</v>
      </c>
    </row>
    <row r="560" spans="1:12">
      <c r="A560">
        <v>140</v>
      </c>
      <c r="B560">
        <v>8</v>
      </c>
      <c r="C560" t="s">
        <v>11</v>
      </c>
      <c r="D560">
        <v>-33.916950500824797</v>
      </c>
      <c r="E560">
        <v>18.8514809666612</v>
      </c>
      <c r="F560">
        <v>6.5750000000000003E-2</v>
      </c>
      <c r="G560">
        <v>0.1643</v>
      </c>
      <c r="H560">
        <v>9.8599999999999993E-2</v>
      </c>
      <c r="I560">
        <v>3727.9160000000002</v>
      </c>
      <c r="J560">
        <v>5645.4570000000003</v>
      </c>
    </row>
    <row r="561" spans="1:10">
      <c r="A561">
        <v>141</v>
      </c>
      <c r="B561">
        <v>8</v>
      </c>
      <c r="C561" t="s">
        <v>11</v>
      </c>
      <c r="D561">
        <v>-33.897019545517999</v>
      </c>
      <c r="E561">
        <v>18.851448163053998</v>
      </c>
      <c r="F561">
        <v>6.5750000000000003E-2</v>
      </c>
      <c r="G561">
        <v>0.1643</v>
      </c>
      <c r="H561">
        <v>9.8599999999999993E-2</v>
      </c>
      <c r="I561">
        <v>7320.0479999999998</v>
      </c>
      <c r="J561">
        <v>9237.5879999999997</v>
      </c>
    </row>
    <row r="562" spans="1:10">
      <c r="A562">
        <v>142</v>
      </c>
      <c r="B562">
        <v>8</v>
      </c>
      <c r="C562" t="s">
        <v>11</v>
      </c>
      <c r="D562">
        <v>-33.896447553887</v>
      </c>
      <c r="E562">
        <v>18.849783578039599</v>
      </c>
      <c r="F562">
        <v>6.5750000000000003E-2</v>
      </c>
      <c r="G562">
        <v>0.1643</v>
      </c>
      <c r="H562">
        <v>9.8599999999999993E-2</v>
      </c>
      <c r="I562">
        <v>8634.2009999999991</v>
      </c>
      <c r="J562">
        <v>10551.742</v>
      </c>
    </row>
    <row r="563" spans="1:10">
      <c r="A563">
        <v>143</v>
      </c>
      <c r="B563">
        <v>8</v>
      </c>
      <c r="C563" t="s">
        <v>11</v>
      </c>
      <c r="D563">
        <v>-33.905275968128898</v>
      </c>
      <c r="E563">
        <v>18.8551572049486</v>
      </c>
      <c r="F563">
        <v>6.5750000000000003E-2</v>
      </c>
      <c r="G563">
        <v>0.1643</v>
      </c>
      <c r="H563">
        <v>9.8599999999999993E-2</v>
      </c>
      <c r="I563">
        <v>5375.6719999999996</v>
      </c>
      <c r="J563">
        <v>7293.2129999999997</v>
      </c>
    </row>
    <row r="564" spans="1:10">
      <c r="A564">
        <v>144</v>
      </c>
      <c r="B564">
        <v>8</v>
      </c>
      <c r="C564" t="s">
        <v>11</v>
      </c>
      <c r="D564">
        <v>-33.918555416535099</v>
      </c>
      <c r="E564">
        <v>18.857928664856999</v>
      </c>
      <c r="F564">
        <v>6.5750000000000003E-2</v>
      </c>
      <c r="G564">
        <v>0.1643</v>
      </c>
      <c r="H564">
        <v>9.8599999999999993E-2</v>
      </c>
      <c r="I564">
        <v>4032.1289999999999</v>
      </c>
      <c r="J564">
        <v>5949.67</v>
      </c>
    </row>
    <row r="565" spans="1:10">
      <c r="A565">
        <v>145</v>
      </c>
      <c r="B565">
        <v>8</v>
      </c>
      <c r="C565" t="s">
        <v>11</v>
      </c>
      <c r="D565">
        <v>-33.904016869678003</v>
      </c>
      <c r="E565">
        <v>18.8568709290541</v>
      </c>
      <c r="F565">
        <v>6.5750000000000003E-2</v>
      </c>
      <c r="G565">
        <v>0.1643</v>
      </c>
      <c r="H565">
        <v>9.8599999999999993E-2</v>
      </c>
      <c r="I565">
        <v>5824.2470000000003</v>
      </c>
      <c r="J565">
        <v>7741.7879999999996</v>
      </c>
    </row>
    <row r="566" spans="1:10">
      <c r="A566">
        <v>146</v>
      </c>
      <c r="B566">
        <v>8</v>
      </c>
      <c r="C566" t="s">
        <v>11</v>
      </c>
      <c r="D566">
        <v>-33.899166368561701</v>
      </c>
      <c r="E566">
        <v>18.8535609449413</v>
      </c>
      <c r="F566">
        <v>6.5750000000000003E-2</v>
      </c>
      <c r="G566">
        <v>0.1643</v>
      </c>
      <c r="H566">
        <v>9.8599999999999993E-2</v>
      </c>
      <c r="I566">
        <v>6992.0929999999998</v>
      </c>
      <c r="J566">
        <v>8909.6329999999998</v>
      </c>
    </row>
    <row r="567" spans="1:10">
      <c r="A567">
        <v>147</v>
      </c>
      <c r="B567">
        <v>8</v>
      </c>
      <c r="C567" t="s">
        <v>11</v>
      </c>
      <c r="D567">
        <v>-33.918173249856999</v>
      </c>
      <c r="E567">
        <v>18.848186039667102</v>
      </c>
      <c r="F567">
        <v>6.5750000000000003E-2</v>
      </c>
      <c r="G567">
        <v>0.1643</v>
      </c>
      <c r="H567">
        <v>9.8599999999999993E-2</v>
      </c>
      <c r="I567">
        <v>4204.3130000000001</v>
      </c>
      <c r="J567">
        <v>6121.8540000000003</v>
      </c>
    </row>
    <row r="568" spans="1:10">
      <c r="A568">
        <v>148</v>
      </c>
      <c r="B568">
        <v>8</v>
      </c>
      <c r="C568" t="s">
        <v>11</v>
      </c>
      <c r="D568">
        <v>-33.9039615457745</v>
      </c>
      <c r="E568">
        <v>18.8468068946543</v>
      </c>
      <c r="F568">
        <v>6.5750000000000003E-2</v>
      </c>
      <c r="G568">
        <v>0.1643</v>
      </c>
      <c r="H568">
        <v>9.8599999999999993E-2</v>
      </c>
      <c r="I568">
        <v>5685.8729999999996</v>
      </c>
      <c r="J568">
        <v>7603.4139999999998</v>
      </c>
    </row>
    <row r="569" spans="1:10">
      <c r="A569">
        <v>149</v>
      </c>
      <c r="B569">
        <v>8</v>
      </c>
      <c r="C569" t="s">
        <v>11</v>
      </c>
      <c r="D569">
        <v>-33.901897296953798</v>
      </c>
      <c r="E569">
        <v>18.849066229306299</v>
      </c>
      <c r="F569">
        <v>6.5750000000000003E-2</v>
      </c>
      <c r="G569">
        <v>0.1643</v>
      </c>
      <c r="H569">
        <v>9.8599999999999993E-2</v>
      </c>
      <c r="I569">
        <v>5889.9279999999999</v>
      </c>
      <c r="J569">
        <v>7807.4679999999998</v>
      </c>
    </row>
    <row r="570" spans="1:10">
      <c r="A570">
        <v>150</v>
      </c>
      <c r="B570">
        <v>8</v>
      </c>
      <c r="C570" t="s">
        <v>11</v>
      </c>
      <c r="D570">
        <v>-33.910522872044702</v>
      </c>
      <c r="E570">
        <v>18.853793058938798</v>
      </c>
      <c r="F570">
        <v>6.5750000000000003E-2</v>
      </c>
      <c r="G570">
        <v>0.1643</v>
      </c>
      <c r="H570">
        <v>9.8599999999999993E-2</v>
      </c>
      <c r="I570">
        <v>4842.0810000000001</v>
      </c>
      <c r="J570">
        <v>6759.6220000000003</v>
      </c>
    </row>
    <row r="571" spans="1:10">
      <c r="A571">
        <v>151</v>
      </c>
      <c r="B571">
        <v>8</v>
      </c>
      <c r="C571" t="s">
        <v>11</v>
      </c>
      <c r="D571">
        <v>-33.899257083447097</v>
      </c>
      <c r="E571">
        <v>18.844213548327001</v>
      </c>
      <c r="F571">
        <v>6.5750000000000003E-2</v>
      </c>
      <c r="G571">
        <v>0.1643</v>
      </c>
      <c r="H571">
        <v>9.8599999999999993E-2</v>
      </c>
      <c r="I571">
        <v>6309.1210000000001</v>
      </c>
      <c r="J571">
        <v>8226.6620000000003</v>
      </c>
    </row>
    <row r="572" spans="1:10">
      <c r="A572">
        <v>152</v>
      </c>
      <c r="B572">
        <v>8</v>
      </c>
      <c r="C572" t="s">
        <v>11</v>
      </c>
      <c r="D572">
        <v>-33.898162872514703</v>
      </c>
      <c r="E572">
        <v>18.859252026615199</v>
      </c>
      <c r="F572">
        <v>6.5750000000000003E-2</v>
      </c>
      <c r="G572">
        <v>0.1643</v>
      </c>
      <c r="H572">
        <v>9.8599999999999993E-2</v>
      </c>
      <c r="I572">
        <v>5845.7129999999997</v>
      </c>
      <c r="J572">
        <v>7763.2529999999997</v>
      </c>
    </row>
    <row r="573" spans="1:10">
      <c r="A573">
        <v>153</v>
      </c>
      <c r="B573">
        <v>8</v>
      </c>
      <c r="C573" t="s">
        <v>11</v>
      </c>
      <c r="D573">
        <v>-33.919106653306997</v>
      </c>
      <c r="E573">
        <v>18.845696687915598</v>
      </c>
      <c r="F573">
        <v>6.5750000000000003E-2</v>
      </c>
      <c r="G573">
        <v>0.1643</v>
      </c>
      <c r="H573">
        <v>9.8599999999999993E-2</v>
      </c>
      <c r="I573">
        <v>4308.3190000000004</v>
      </c>
      <c r="J573">
        <v>6225.86</v>
      </c>
    </row>
    <row r="574" spans="1:10">
      <c r="A574">
        <v>154</v>
      </c>
      <c r="B574">
        <v>8</v>
      </c>
      <c r="C574" t="s">
        <v>11</v>
      </c>
      <c r="D574">
        <v>-33.904499015997501</v>
      </c>
      <c r="E574">
        <v>18.857225874504898</v>
      </c>
      <c r="F574">
        <v>6.5750000000000003E-2</v>
      </c>
      <c r="G574">
        <v>0.1643</v>
      </c>
      <c r="H574">
        <v>9.8599999999999993E-2</v>
      </c>
      <c r="I574">
        <v>5892.732</v>
      </c>
      <c r="J574">
        <v>7810.2719999999999</v>
      </c>
    </row>
    <row r="575" spans="1:10">
      <c r="A575">
        <v>155</v>
      </c>
      <c r="B575">
        <v>8</v>
      </c>
      <c r="C575" t="s">
        <v>11</v>
      </c>
      <c r="D575">
        <v>-33.914087418963398</v>
      </c>
      <c r="E575">
        <v>18.847759595858399</v>
      </c>
      <c r="F575">
        <v>6.5750000000000003E-2</v>
      </c>
      <c r="G575">
        <v>0.1643</v>
      </c>
      <c r="H575">
        <v>9.8599999999999993E-2</v>
      </c>
      <c r="I575">
        <v>4328.2960000000003</v>
      </c>
      <c r="J575">
        <v>6245.8370000000004</v>
      </c>
    </row>
    <row r="576" spans="1:10">
      <c r="A576">
        <v>156</v>
      </c>
      <c r="B576">
        <v>8</v>
      </c>
      <c r="C576" t="s">
        <v>11</v>
      </c>
      <c r="D576">
        <v>-33.897221764117297</v>
      </c>
      <c r="E576">
        <v>18.856700127642601</v>
      </c>
      <c r="F576">
        <v>6.5750000000000003E-2</v>
      </c>
      <c r="G576">
        <v>0.1643</v>
      </c>
      <c r="H576">
        <v>9.8599999999999993E-2</v>
      </c>
      <c r="I576">
        <v>6788.1909999999998</v>
      </c>
      <c r="J576">
        <v>8705.7309999999998</v>
      </c>
    </row>
    <row r="577" spans="1:10">
      <c r="A577">
        <v>157</v>
      </c>
      <c r="B577">
        <v>8</v>
      </c>
      <c r="C577" t="s">
        <v>11</v>
      </c>
      <c r="D577">
        <v>-33.912657272976197</v>
      </c>
      <c r="E577">
        <v>18.8559801077717</v>
      </c>
      <c r="F577">
        <v>6.5750000000000003E-2</v>
      </c>
      <c r="G577">
        <v>0.1643</v>
      </c>
      <c r="H577">
        <v>9.8599999999999993E-2</v>
      </c>
      <c r="I577">
        <v>4396.2290000000003</v>
      </c>
      <c r="J577">
        <v>6313.77</v>
      </c>
    </row>
    <row r="578" spans="1:10">
      <c r="A578">
        <v>158</v>
      </c>
      <c r="B578">
        <v>8</v>
      </c>
      <c r="C578" t="s">
        <v>11</v>
      </c>
      <c r="D578">
        <v>-33.9018719825335</v>
      </c>
      <c r="E578">
        <v>18.853964539984901</v>
      </c>
      <c r="F578">
        <v>6.5750000000000003E-2</v>
      </c>
      <c r="G578">
        <v>0.1643</v>
      </c>
      <c r="H578">
        <v>9.8599999999999993E-2</v>
      </c>
      <c r="I578">
        <v>6048.7039999999997</v>
      </c>
      <c r="J578">
        <v>7966.2439999999997</v>
      </c>
    </row>
    <row r="579" spans="1:10">
      <c r="A579">
        <v>159</v>
      </c>
      <c r="B579">
        <v>8</v>
      </c>
      <c r="C579" t="s">
        <v>11</v>
      </c>
      <c r="D579">
        <v>-33.916248339322699</v>
      </c>
      <c r="E579">
        <v>18.8439155137788</v>
      </c>
      <c r="F579">
        <v>6.5750000000000003E-2</v>
      </c>
      <c r="G579">
        <v>0.1643</v>
      </c>
      <c r="H579">
        <v>9.8599999999999993E-2</v>
      </c>
      <c r="I579">
        <v>4810.3190000000004</v>
      </c>
      <c r="J579">
        <v>6727.86</v>
      </c>
    </row>
    <row r="580" spans="1:10">
      <c r="A580">
        <v>160</v>
      </c>
      <c r="B580">
        <v>8</v>
      </c>
      <c r="C580" t="s">
        <v>11</v>
      </c>
      <c r="D580">
        <v>-33.910967879493597</v>
      </c>
      <c r="E580">
        <v>18.856746242519801</v>
      </c>
      <c r="F580">
        <v>6.5750000000000003E-2</v>
      </c>
      <c r="G580">
        <v>0.1643</v>
      </c>
      <c r="H580">
        <v>9.8599999999999993E-2</v>
      </c>
      <c r="I580">
        <v>4505.25</v>
      </c>
      <c r="J580">
        <v>6422.7910000000002</v>
      </c>
    </row>
    <row r="581" spans="1:10">
      <c r="A581">
        <v>161</v>
      </c>
      <c r="B581">
        <v>8</v>
      </c>
      <c r="C581" t="s">
        <v>11</v>
      </c>
      <c r="D581">
        <v>-33.9096247712991</v>
      </c>
      <c r="E581">
        <v>18.8590472398927</v>
      </c>
      <c r="F581">
        <v>6.5750000000000003E-2</v>
      </c>
      <c r="G581">
        <v>0.1643</v>
      </c>
      <c r="H581">
        <v>9.8599999999999993E-2</v>
      </c>
      <c r="I581">
        <v>4626.1059999999998</v>
      </c>
      <c r="J581">
        <v>6543.6459999999997</v>
      </c>
    </row>
    <row r="582" spans="1:10">
      <c r="A582">
        <v>162</v>
      </c>
      <c r="B582">
        <v>8</v>
      </c>
      <c r="C582" t="s">
        <v>11</v>
      </c>
      <c r="D582">
        <v>-33.907594140789797</v>
      </c>
      <c r="E582">
        <v>18.858841063067999</v>
      </c>
      <c r="F582">
        <v>6.5750000000000003E-2</v>
      </c>
      <c r="G582">
        <v>0.1643</v>
      </c>
      <c r="H582">
        <v>9.8599999999999993E-2</v>
      </c>
      <c r="I582">
        <v>5053.6549999999997</v>
      </c>
      <c r="J582">
        <v>6971.1949999999997</v>
      </c>
    </row>
    <row r="583" spans="1:10">
      <c r="A583">
        <v>163</v>
      </c>
      <c r="B583">
        <v>8</v>
      </c>
      <c r="C583" t="s">
        <v>11</v>
      </c>
      <c r="D583">
        <v>-33.9196505086462</v>
      </c>
      <c r="E583">
        <v>18.8536640687005</v>
      </c>
      <c r="F583">
        <v>6.5750000000000003E-2</v>
      </c>
      <c r="G583">
        <v>0.1643</v>
      </c>
      <c r="H583">
        <v>9.8599999999999993E-2</v>
      </c>
      <c r="I583">
        <v>3822.7420000000002</v>
      </c>
      <c r="J583">
        <v>5740.2830000000004</v>
      </c>
    </row>
    <row r="584" spans="1:10">
      <c r="A584">
        <v>164</v>
      </c>
      <c r="B584">
        <v>8</v>
      </c>
      <c r="C584" t="s">
        <v>11</v>
      </c>
      <c r="D584">
        <v>-33.899770420833903</v>
      </c>
      <c r="E584">
        <v>18.858217067161998</v>
      </c>
      <c r="F584">
        <v>6.5750000000000003E-2</v>
      </c>
      <c r="G584">
        <v>0.1643</v>
      </c>
      <c r="H584">
        <v>9.8599999999999993E-2</v>
      </c>
      <c r="I584">
        <v>6321.1710000000003</v>
      </c>
      <c r="J584">
        <v>8238.7119999999995</v>
      </c>
    </row>
    <row r="585" spans="1:10">
      <c r="A585">
        <v>165</v>
      </c>
      <c r="B585">
        <v>8</v>
      </c>
      <c r="C585" t="s">
        <v>11</v>
      </c>
      <c r="D585">
        <v>-33.908089419619699</v>
      </c>
      <c r="E585">
        <v>18.850992574234901</v>
      </c>
      <c r="F585">
        <v>6.5750000000000003E-2</v>
      </c>
      <c r="G585">
        <v>0.1643</v>
      </c>
      <c r="H585">
        <v>9.8599999999999993E-2</v>
      </c>
      <c r="I585">
        <v>5293.13</v>
      </c>
      <c r="J585">
        <v>7210.6710000000003</v>
      </c>
    </row>
    <row r="586" spans="1:10">
      <c r="A586">
        <v>166</v>
      </c>
      <c r="B586">
        <v>8</v>
      </c>
      <c r="C586" t="s">
        <v>11</v>
      </c>
      <c r="D586">
        <v>-33.903800852686203</v>
      </c>
      <c r="E586">
        <v>18.856958619683901</v>
      </c>
      <c r="F586">
        <v>6.5750000000000003E-2</v>
      </c>
      <c r="G586">
        <v>0.1643</v>
      </c>
      <c r="H586">
        <v>9.8599999999999993E-2</v>
      </c>
      <c r="I586">
        <v>5802.4089999999997</v>
      </c>
      <c r="J586">
        <v>7719.95</v>
      </c>
    </row>
    <row r="587" spans="1:10">
      <c r="A587">
        <v>0</v>
      </c>
      <c r="B587">
        <v>9</v>
      </c>
      <c r="C587" t="s">
        <v>105</v>
      </c>
      <c r="D587">
        <v>-33.923294711851497</v>
      </c>
      <c r="E587">
        <v>18.840841092251001</v>
      </c>
      <c r="F587">
        <v>6.5750000000000003E-2</v>
      </c>
      <c r="G587">
        <v>0.1643</v>
      </c>
      <c r="H587">
        <v>9.8599999999999993E-2</v>
      </c>
      <c r="I587">
        <v>4515.2449999999999</v>
      </c>
      <c r="J587">
        <v>6074.1220000000003</v>
      </c>
    </row>
    <row r="588" spans="1:10">
      <c r="A588">
        <v>1</v>
      </c>
      <c r="B588">
        <v>9</v>
      </c>
      <c r="C588" t="s">
        <v>105</v>
      </c>
      <c r="D588">
        <v>-33.922172958619797</v>
      </c>
      <c r="E588">
        <v>18.837642046032499</v>
      </c>
      <c r="F588">
        <v>6.5750000000000003E-2</v>
      </c>
      <c r="G588">
        <v>0.1643</v>
      </c>
      <c r="H588">
        <v>9.8599999999999993E-2</v>
      </c>
      <c r="I588">
        <v>4984.7640000000001</v>
      </c>
      <c r="J588">
        <v>6543.6409999999996</v>
      </c>
    </row>
    <row r="589" spans="1:10">
      <c r="A589">
        <v>2</v>
      </c>
      <c r="B589">
        <v>9</v>
      </c>
      <c r="C589" t="s">
        <v>105</v>
      </c>
      <c r="D589">
        <v>-33.925699805614599</v>
      </c>
      <c r="E589">
        <v>18.840804129905901</v>
      </c>
      <c r="F589">
        <v>6.5750000000000003E-2</v>
      </c>
      <c r="G589">
        <v>0.1643</v>
      </c>
      <c r="H589">
        <v>9.8599999999999993E-2</v>
      </c>
      <c r="I589">
        <v>4711.5730000000003</v>
      </c>
      <c r="J589">
        <v>6270.45</v>
      </c>
    </row>
    <row r="590" spans="1:10">
      <c r="A590">
        <v>3</v>
      </c>
      <c r="B590">
        <v>9</v>
      </c>
      <c r="C590" t="s">
        <v>105</v>
      </c>
      <c r="D590">
        <v>-33.923985394422097</v>
      </c>
      <c r="E590">
        <v>18.8379344828904</v>
      </c>
      <c r="F590">
        <v>6.5750000000000003E-2</v>
      </c>
      <c r="G590">
        <v>0.1643</v>
      </c>
      <c r="H590">
        <v>9.8599999999999993E-2</v>
      </c>
      <c r="I590">
        <v>4923.28</v>
      </c>
      <c r="J590">
        <v>6482.1570000000002</v>
      </c>
    </row>
    <row r="591" spans="1:10">
      <c r="A591">
        <v>4</v>
      </c>
      <c r="B591">
        <v>9</v>
      </c>
      <c r="C591" t="s">
        <v>105</v>
      </c>
      <c r="D591">
        <v>-33.920061922686799</v>
      </c>
      <c r="E591">
        <v>18.836340726081598</v>
      </c>
      <c r="F591">
        <v>6.5750000000000003E-2</v>
      </c>
      <c r="G591">
        <v>0.1643</v>
      </c>
      <c r="H591">
        <v>9.8599999999999993E-2</v>
      </c>
      <c r="I591">
        <v>5043.3549999999996</v>
      </c>
      <c r="J591">
        <v>6602.232</v>
      </c>
    </row>
    <row r="592" spans="1:10">
      <c r="A592">
        <v>5</v>
      </c>
      <c r="B592">
        <v>9</v>
      </c>
      <c r="C592" t="s">
        <v>105</v>
      </c>
      <c r="D592">
        <v>-33.926160874784898</v>
      </c>
      <c r="E592">
        <v>18.841800517924302</v>
      </c>
      <c r="F592">
        <v>6.5750000000000003E-2</v>
      </c>
      <c r="G592">
        <v>0.1643</v>
      </c>
      <c r="H592">
        <v>9.8599999999999993E-2</v>
      </c>
      <c r="I592">
        <v>4194.348</v>
      </c>
      <c r="J592">
        <v>5753.2250000000004</v>
      </c>
    </row>
    <row r="593" spans="1:10">
      <c r="A593">
        <v>6</v>
      </c>
      <c r="B593">
        <v>9</v>
      </c>
      <c r="C593" t="s">
        <v>105</v>
      </c>
      <c r="D593">
        <v>-33.924142775957598</v>
      </c>
      <c r="E593">
        <v>18.840119179611399</v>
      </c>
      <c r="F593">
        <v>6.5750000000000003E-2</v>
      </c>
      <c r="G593">
        <v>0.1643</v>
      </c>
      <c r="H593">
        <v>9.8599999999999993E-2</v>
      </c>
      <c r="I593">
        <v>4593.5690000000004</v>
      </c>
      <c r="J593">
        <v>6152.4459999999999</v>
      </c>
    </row>
    <row r="594" spans="1:10">
      <c r="A594">
        <v>7</v>
      </c>
      <c r="B594">
        <v>9</v>
      </c>
      <c r="C594" t="s">
        <v>105</v>
      </c>
      <c r="D594">
        <v>-33.923117246311698</v>
      </c>
      <c r="E594">
        <v>18.8448809394432</v>
      </c>
      <c r="F594">
        <v>6.5750000000000003E-2</v>
      </c>
      <c r="G594">
        <v>0.1643</v>
      </c>
      <c r="H594">
        <v>9.8599999999999993E-2</v>
      </c>
      <c r="I594">
        <v>3913.4169999999999</v>
      </c>
      <c r="J594">
        <v>5472.2929999999997</v>
      </c>
    </row>
    <row r="595" spans="1:10">
      <c r="A595">
        <v>8</v>
      </c>
      <c r="B595">
        <v>9</v>
      </c>
      <c r="C595" t="s">
        <v>105</v>
      </c>
      <c r="D595">
        <v>-33.923089333464702</v>
      </c>
      <c r="E595">
        <v>18.8403690012174</v>
      </c>
      <c r="F595">
        <v>6.5750000000000003E-2</v>
      </c>
      <c r="G595">
        <v>0.1643</v>
      </c>
      <c r="H595">
        <v>9.8599999999999993E-2</v>
      </c>
      <c r="I595">
        <v>4596.2460000000001</v>
      </c>
      <c r="J595">
        <v>6155.1229999999996</v>
      </c>
    </row>
    <row r="596" spans="1:10">
      <c r="A596">
        <v>9</v>
      </c>
      <c r="B596">
        <v>9</v>
      </c>
      <c r="C596" t="s">
        <v>105</v>
      </c>
      <c r="D596">
        <v>-33.921428806579101</v>
      </c>
      <c r="E596">
        <v>18.844555865729401</v>
      </c>
      <c r="F596">
        <v>6.5750000000000003E-2</v>
      </c>
      <c r="G596">
        <v>0.1643</v>
      </c>
      <c r="H596">
        <v>9.8599999999999993E-2</v>
      </c>
      <c r="I596">
        <v>4555.4769999999999</v>
      </c>
      <c r="J596">
        <v>5883.4960000000001</v>
      </c>
    </row>
    <row r="597" spans="1:10">
      <c r="A597">
        <v>10</v>
      </c>
      <c r="B597">
        <v>9</v>
      </c>
      <c r="C597" t="s">
        <v>105</v>
      </c>
      <c r="D597">
        <v>-33.922762296065898</v>
      </c>
      <c r="E597">
        <v>18.8409381139167</v>
      </c>
      <c r="F597">
        <v>6.5750000000000003E-2</v>
      </c>
      <c r="G597">
        <v>0.1643</v>
      </c>
      <c r="H597">
        <v>9.8599999999999993E-2</v>
      </c>
      <c r="I597">
        <v>4550.3419999999996</v>
      </c>
      <c r="J597">
        <v>6109.2190000000001</v>
      </c>
    </row>
    <row r="598" spans="1:10">
      <c r="A598">
        <v>11</v>
      </c>
      <c r="B598">
        <v>9</v>
      </c>
      <c r="C598" t="s">
        <v>105</v>
      </c>
      <c r="D598">
        <v>-33.9215738675503</v>
      </c>
      <c r="E598">
        <v>18.837819210059099</v>
      </c>
      <c r="F598">
        <v>6.5750000000000003E-2</v>
      </c>
      <c r="G598">
        <v>0.1643</v>
      </c>
      <c r="H598">
        <v>9.8599999999999993E-2</v>
      </c>
      <c r="I598">
        <v>4767.1980000000003</v>
      </c>
      <c r="J598">
        <v>6326.0749999999998</v>
      </c>
    </row>
    <row r="599" spans="1:10">
      <c r="A599">
        <v>12</v>
      </c>
      <c r="B599">
        <v>9</v>
      </c>
      <c r="C599" t="s">
        <v>105</v>
      </c>
      <c r="D599">
        <v>-33.925327822702798</v>
      </c>
      <c r="E599">
        <v>18.844739787313099</v>
      </c>
      <c r="F599">
        <v>6.5750000000000003E-2</v>
      </c>
      <c r="G599">
        <v>0.1643</v>
      </c>
      <c r="H599">
        <v>9.8599999999999993E-2</v>
      </c>
      <c r="I599">
        <v>4025.1889999999999</v>
      </c>
      <c r="J599">
        <v>5584.0659999999998</v>
      </c>
    </row>
    <row r="600" spans="1:10">
      <c r="A600">
        <v>13</v>
      </c>
      <c r="B600">
        <v>9</v>
      </c>
      <c r="C600" t="s">
        <v>105</v>
      </c>
      <c r="D600">
        <v>-33.925818220063</v>
      </c>
      <c r="E600">
        <v>18.841667352151401</v>
      </c>
      <c r="F600">
        <v>6.5750000000000003E-2</v>
      </c>
      <c r="G600">
        <v>0.1643</v>
      </c>
      <c r="H600">
        <v>9.8599999999999993E-2</v>
      </c>
      <c r="I600">
        <v>4706.6750000000002</v>
      </c>
      <c r="J600">
        <v>6265.5519999999997</v>
      </c>
    </row>
    <row r="601" spans="1:10">
      <c r="A601">
        <v>14</v>
      </c>
      <c r="B601">
        <v>9</v>
      </c>
      <c r="C601" t="s">
        <v>105</v>
      </c>
      <c r="D601">
        <v>-33.925462814405897</v>
      </c>
      <c r="E601">
        <v>18.8438263762628</v>
      </c>
      <c r="F601">
        <v>6.5750000000000003E-2</v>
      </c>
      <c r="G601">
        <v>0.1643</v>
      </c>
      <c r="H601">
        <v>9.8599999999999993E-2</v>
      </c>
      <c r="I601">
        <v>4025.0010000000002</v>
      </c>
      <c r="J601">
        <v>5583.8779999999997</v>
      </c>
    </row>
    <row r="602" spans="1:10">
      <c r="A602">
        <v>15</v>
      </c>
      <c r="B602">
        <v>9</v>
      </c>
      <c r="C602" t="s">
        <v>105</v>
      </c>
      <c r="D602">
        <v>-33.923074816076202</v>
      </c>
      <c r="E602">
        <v>18.844775338007601</v>
      </c>
      <c r="F602">
        <v>6.5750000000000003E-2</v>
      </c>
      <c r="G602">
        <v>0.1643</v>
      </c>
      <c r="H602">
        <v>9.8599999999999993E-2</v>
      </c>
      <c r="I602">
        <v>3913.4169999999999</v>
      </c>
      <c r="J602">
        <v>5472.2929999999997</v>
      </c>
    </row>
    <row r="603" spans="1:10">
      <c r="A603">
        <v>16</v>
      </c>
      <c r="B603">
        <v>9</v>
      </c>
      <c r="C603" t="s">
        <v>105</v>
      </c>
      <c r="D603">
        <v>-33.920584071466401</v>
      </c>
      <c r="E603">
        <v>18.837099437221301</v>
      </c>
      <c r="F603">
        <v>6.5750000000000003E-2</v>
      </c>
      <c r="G603">
        <v>0.1643</v>
      </c>
      <c r="H603">
        <v>9.8599999999999993E-2</v>
      </c>
      <c r="I603">
        <v>4891.3959999999997</v>
      </c>
      <c r="J603">
        <v>6450.2730000000001</v>
      </c>
    </row>
    <row r="604" spans="1:10">
      <c r="A604">
        <v>17</v>
      </c>
      <c r="B604">
        <v>9</v>
      </c>
      <c r="C604" t="s">
        <v>105</v>
      </c>
      <c r="D604">
        <v>-33.926319977771897</v>
      </c>
      <c r="E604">
        <v>18.841486426960799</v>
      </c>
      <c r="F604">
        <v>6.5750000000000003E-2</v>
      </c>
      <c r="G604">
        <v>0.1643</v>
      </c>
      <c r="H604">
        <v>9.8599999999999993E-2</v>
      </c>
      <c r="I604">
        <v>4751.0280000000002</v>
      </c>
      <c r="J604">
        <v>6309.9049999999997</v>
      </c>
    </row>
    <row r="605" spans="1:10">
      <c r="A605">
        <v>18</v>
      </c>
      <c r="B605">
        <v>9</v>
      </c>
      <c r="C605" t="s">
        <v>105</v>
      </c>
      <c r="D605">
        <v>-33.9265316339199</v>
      </c>
      <c r="E605">
        <v>18.836658286073401</v>
      </c>
      <c r="F605">
        <v>6.5750000000000003E-2</v>
      </c>
      <c r="G605">
        <v>0.1643</v>
      </c>
      <c r="H605">
        <v>9.8599999999999993E-2</v>
      </c>
      <c r="I605">
        <v>6057.2120000000004</v>
      </c>
      <c r="J605">
        <v>3568.22</v>
      </c>
    </row>
    <row r="606" spans="1:10">
      <c r="A606">
        <v>19</v>
      </c>
      <c r="B606">
        <v>9</v>
      </c>
      <c r="C606" t="s">
        <v>105</v>
      </c>
      <c r="D606">
        <v>-33.922326449193498</v>
      </c>
      <c r="E606">
        <v>18.8435533067743</v>
      </c>
      <c r="F606">
        <v>6.5750000000000003E-2</v>
      </c>
      <c r="G606">
        <v>0.1643</v>
      </c>
      <c r="H606">
        <v>9.8599999999999993E-2</v>
      </c>
      <c r="I606">
        <v>4637.1490000000003</v>
      </c>
      <c r="J606">
        <v>5898.3209999999999</v>
      </c>
    </row>
    <row r="607" spans="1:10">
      <c r="A607">
        <v>20</v>
      </c>
      <c r="B607">
        <v>9</v>
      </c>
      <c r="C607" t="s">
        <v>105</v>
      </c>
      <c r="D607">
        <v>-33.924796620182001</v>
      </c>
      <c r="E607">
        <v>18.843791575188</v>
      </c>
      <c r="F607">
        <v>6.5750000000000003E-2</v>
      </c>
      <c r="G607">
        <v>0.1643</v>
      </c>
      <c r="H607">
        <v>9.8599999999999993E-2</v>
      </c>
      <c r="I607">
        <v>3968.4279999999999</v>
      </c>
      <c r="J607">
        <v>5527.3050000000003</v>
      </c>
    </row>
    <row r="608" spans="1:10">
      <c r="A608">
        <v>21</v>
      </c>
      <c r="B608">
        <v>9</v>
      </c>
      <c r="C608" t="s">
        <v>105</v>
      </c>
      <c r="D608">
        <v>-33.9241335989867</v>
      </c>
      <c r="E608">
        <v>18.8384117976608</v>
      </c>
      <c r="F608">
        <v>6.5750000000000003E-2</v>
      </c>
      <c r="G608">
        <v>0.1643</v>
      </c>
      <c r="H608">
        <v>9.8599999999999993E-2</v>
      </c>
      <c r="I608">
        <v>4800.01</v>
      </c>
      <c r="J608">
        <v>6358.8869999999997</v>
      </c>
    </row>
    <row r="609" spans="1:10">
      <c r="A609">
        <v>22</v>
      </c>
      <c r="B609">
        <v>9</v>
      </c>
      <c r="C609" t="s">
        <v>105</v>
      </c>
      <c r="D609">
        <v>-33.926763874629401</v>
      </c>
      <c r="E609">
        <v>18.840068954627501</v>
      </c>
      <c r="F609">
        <v>6.5750000000000003E-2</v>
      </c>
      <c r="G609">
        <v>0.1643</v>
      </c>
      <c r="H609">
        <v>9.8599999999999993E-2</v>
      </c>
      <c r="I609">
        <v>4753.134</v>
      </c>
      <c r="J609">
        <v>6312.01</v>
      </c>
    </row>
    <row r="610" spans="1:10">
      <c r="A610">
        <v>23</v>
      </c>
      <c r="B610">
        <v>9</v>
      </c>
      <c r="C610" t="s">
        <v>105</v>
      </c>
      <c r="D610">
        <v>-33.926615091397402</v>
      </c>
      <c r="E610">
        <v>18.842790364139798</v>
      </c>
      <c r="F610">
        <v>6.5750000000000003E-2</v>
      </c>
      <c r="G610">
        <v>0.1643</v>
      </c>
      <c r="H610">
        <v>9.8599999999999993E-2</v>
      </c>
      <c r="I610">
        <v>4205.4830000000002</v>
      </c>
      <c r="J610">
        <v>5764.36</v>
      </c>
    </row>
    <row r="611" spans="1:10">
      <c r="A611">
        <v>24</v>
      </c>
      <c r="B611">
        <v>9</v>
      </c>
      <c r="C611" t="s">
        <v>105</v>
      </c>
      <c r="D611">
        <v>-33.9266197377259</v>
      </c>
      <c r="E611">
        <v>18.841212390418399</v>
      </c>
      <c r="F611">
        <v>6.5750000000000003E-2</v>
      </c>
      <c r="G611">
        <v>0.1643</v>
      </c>
      <c r="H611">
        <v>9.8599999999999993E-2</v>
      </c>
      <c r="I611">
        <v>4791.3440000000001</v>
      </c>
      <c r="J611">
        <v>6350.2209999999995</v>
      </c>
    </row>
    <row r="612" spans="1:10">
      <c r="A612">
        <v>25</v>
      </c>
      <c r="B612">
        <v>9</v>
      </c>
      <c r="C612" t="s">
        <v>105</v>
      </c>
      <c r="D612">
        <v>-33.919924332974198</v>
      </c>
      <c r="E612">
        <v>18.838191257262199</v>
      </c>
      <c r="F612">
        <v>6.5750000000000003E-2</v>
      </c>
      <c r="G612">
        <v>0.1643</v>
      </c>
      <c r="H612">
        <v>9.8599999999999993E-2</v>
      </c>
      <c r="I612">
        <v>4892.3810000000003</v>
      </c>
      <c r="J612">
        <v>6451.2579999999998</v>
      </c>
    </row>
    <row r="613" spans="1:10">
      <c r="A613">
        <v>26</v>
      </c>
      <c r="B613">
        <v>9</v>
      </c>
      <c r="C613" t="s">
        <v>105</v>
      </c>
      <c r="D613">
        <v>-33.924435250256003</v>
      </c>
      <c r="E613">
        <v>18.8413992088519</v>
      </c>
      <c r="F613">
        <v>6.5750000000000003E-2</v>
      </c>
      <c r="G613">
        <v>0.1643</v>
      </c>
      <c r="H613">
        <v>9.8599999999999993E-2</v>
      </c>
      <c r="I613">
        <v>4566.7160000000003</v>
      </c>
      <c r="J613">
        <v>6125.5919999999996</v>
      </c>
    </row>
    <row r="614" spans="1:10">
      <c r="A614">
        <v>27</v>
      </c>
      <c r="B614">
        <v>9</v>
      </c>
      <c r="C614" t="s">
        <v>105</v>
      </c>
      <c r="D614">
        <v>-33.923538012659201</v>
      </c>
      <c r="E614">
        <v>18.839281604064801</v>
      </c>
      <c r="F614">
        <v>6.5750000000000003E-2</v>
      </c>
      <c r="G614">
        <v>0.1643</v>
      </c>
      <c r="H614">
        <v>9.8599999999999993E-2</v>
      </c>
      <c r="I614">
        <v>4803.3620000000001</v>
      </c>
      <c r="J614">
        <v>6362.2389999999996</v>
      </c>
    </row>
    <row r="615" spans="1:10">
      <c r="A615">
        <v>28</v>
      </c>
      <c r="B615">
        <v>9</v>
      </c>
      <c r="C615" t="s">
        <v>105</v>
      </c>
      <c r="D615">
        <v>-33.921755104616103</v>
      </c>
      <c r="E615">
        <v>18.8423614393915</v>
      </c>
      <c r="F615">
        <v>6.5750000000000003E-2</v>
      </c>
      <c r="G615">
        <v>0.1643</v>
      </c>
      <c r="H615">
        <v>9.8599999999999993E-2</v>
      </c>
      <c r="I615">
        <v>4347.4769999999999</v>
      </c>
      <c r="J615">
        <v>5906.3540000000003</v>
      </c>
    </row>
    <row r="616" spans="1:10">
      <c r="A616">
        <v>29</v>
      </c>
      <c r="B616">
        <v>9</v>
      </c>
      <c r="C616" t="s">
        <v>105</v>
      </c>
      <c r="D616">
        <v>-33.922438043246501</v>
      </c>
      <c r="E616">
        <v>18.8417252692348</v>
      </c>
      <c r="F616">
        <v>6.5750000000000003E-2</v>
      </c>
      <c r="G616">
        <v>0.1643</v>
      </c>
      <c r="H616">
        <v>9.8599999999999993E-2</v>
      </c>
      <c r="I616">
        <v>4405.9939999999997</v>
      </c>
      <c r="J616">
        <v>5964.87</v>
      </c>
    </row>
    <row r="617" spans="1:10">
      <c r="A617">
        <v>30</v>
      </c>
      <c r="B617">
        <v>9</v>
      </c>
      <c r="C617" t="s">
        <v>105</v>
      </c>
      <c r="D617">
        <v>-33.924682656318197</v>
      </c>
      <c r="E617">
        <v>18.843828522174402</v>
      </c>
      <c r="F617">
        <v>6.5750000000000003E-2</v>
      </c>
      <c r="G617">
        <v>0.1643</v>
      </c>
      <c r="H617">
        <v>9.8599999999999993E-2</v>
      </c>
      <c r="I617">
        <v>3955.9760000000001</v>
      </c>
      <c r="J617">
        <v>5514.8530000000001</v>
      </c>
    </row>
    <row r="618" spans="1:10">
      <c r="A618">
        <v>31</v>
      </c>
      <c r="B618">
        <v>9</v>
      </c>
      <c r="C618" t="s">
        <v>105</v>
      </c>
      <c r="D618">
        <v>-33.925552219944699</v>
      </c>
      <c r="E618">
        <v>18.842708805120299</v>
      </c>
      <c r="F618">
        <v>6.5750000000000003E-2</v>
      </c>
      <c r="G618">
        <v>0.1643</v>
      </c>
      <c r="H618">
        <v>9.8599999999999993E-2</v>
      </c>
      <c r="I618">
        <v>4136.7129999999997</v>
      </c>
      <c r="J618">
        <v>5695.59</v>
      </c>
    </row>
    <row r="619" spans="1:10">
      <c r="A619">
        <v>32</v>
      </c>
      <c r="B619">
        <v>9</v>
      </c>
      <c r="C619" t="s">
        <v>105</v>
      </c>
      <c r="D619">
        <v>-33.924111306827101</v>
      </c>
      <c r="E619">
        <v>18.842992956195001</v>
      </c>
      <c r="F619">
        <v>6.5750000000000003E-2</v>
      </c>
      <c r="G619">
        <v>0.1643</v>
      </c>
      <c r="H619">
        <v>9.8599999999999993E-2</v>
      </c>
      <c r="I619">
        <v>4090.931</v>
      </c>
      <c r="J619">
        <v>5649.8069999999998</v>
      </c>
    </row>
    <row r="620" spans="1:10">
      <c r="A620">
        <v>33</v>
      </c>
      <c r="B620">
        <v>9</v>
      </c>
      <c r="C620" t="s">
        <v>105</v>
      </c>
      <c r="D620">
        <v>-33.921073906087599</v>
      </c>
      <c r="E620">
        <v>18.836267311950898</v>
      </c>
      <c r="F620">
        <v>6.5750000000000003E-2</v>
      </c>
      <c r="G620">
        <v>0.1643</v>
      </c>
      <c r="H620">
        <v>9.8599999999999993E-2</v>
      </c>
      <c r="I620">
        <v>5079.8890000000001</v>
      </c>
      <c r="J620">
        <v>6638.7659999999996</v>
      </c>
    </row>
    <row r="621" spans="1:10">
      <c r="A621">
        <v>34</v>
      </c>
      <c r="B621">
        <v>9</v>
      </c>
      <c r="C621" t="s">
        <v>105</v>
      </c>
      <c r="D621">
        <v>-33.923732571064498</v>
      </c>
      <c r="E621">
        <v>18.839560953164</v>
      </c>
      <c r="F621">
        <v>6.5750000000000003E-2</v>
      </c>
      <c r="G621">
        <v>0.1643</v>
      </c>
      <c r="H621">
        <v>9.8599999999999993E-2</v>
      </c>
      <c r="I621">
        <v>4770.4849999999997</v>
      </c>
      <c r="J621">
        <v>6329.3620000000001</v>
      </c>
    </row>
    <row r="622" spans="1:10">
      <c r="A622">
        <v>35</v>
      </c>
      <c r="B622">
        <v>9</v>
      </c>
      <c r="C622" t="s">
        <v>105</v>
      </c>
      <c r="D622">
        <v>-33.921061061199303</v>
      </c>
      <c r="E622">
        <v>18.8388685291083</v>
      </c>
      <c r="F622">
        <v>6.5750000000000003E-2</v>
      </c>
      <c r="G622">
        <v>0.1643</v>
      </c>
      <c r="H622">
        <v>9.8599999999999993E-2</v>
      </c>
      <c r="I622">
        <v>4775.88</v>
      </c>
      <c r="J622">
        <v>6334.7569999999996</v>
      </c>
    </row>
    <row r="623" spans="1:10">
      <c r="A623">
        <v>36</v>
      </c>
      <c r="B623">
        <v>9</v>
      </c>
      <c r="C623" t="s">
        <v>105</v>
      </c>
      <c r="D623">
        <v>-33.926071143000001</v>
      </c>
      <c r="E623">
        <v>18.836282670680301</v>
      </c>
      <c r="F623">
        <v>6.5750000000000003E-2</v>
      </c>
      <c r="G623">
        <v>0.1643</v>
      </c>
      <c r="H623">
        <v>9.8599999999999993E-2</v>
      </c>
      <c r="I623">
        <v>6070.2039999999997</v>
      </c>
      <c r="J623">
        <v>3581.212</v>
      </c>
    </row>
    <row r="624" spans="1:10">
      <c r="A624">
        <v>37</v>
      </c>
      <c r="B624">
        <v>9</v>
      </c>
      <c r="C624" t="s">
        <v>105</v>
      </c>
      <c r="D624">
        <v>-33.921414920571998</v>
      </c>
      <c r="E624">
        <v>18.8429159779214</v>
      </c>
      <c r="F624">
        <v>6.5750000000000003E-2</v>
      </c>
      <c r="G624">
        <v>0.1643</v>
      </c>
      <c r="H624">
        <v>9.8599999999999993E-2</v>
      </c>
      <c r="I624">
        <v>4703.9780000000001</v>
      </c>
      <c r="J624">
        <v>5955.3419999999996</v>
      </c>
    </row>
    <row r="625" spans="1:10">
      <c r="A625">
        <v>38</v>
      </c>
      <c r="B625">
        <v>9</v>
      </c>
      <c r="C625" t="s">
        <v>105</v>
      </c>
      <c r="D625">
        <v>-33.919457268710502</v>
      </c>
      <c r="E625">
        <v>18.844859093483901</v>
      </c>
      <c r="F625">
        <v>6.5750000000000003E-2</v>
      </c>
      <c r="G625">
        <v>0.1643</v>
      </c>
      <c r="H625">
        <v>9.8599999999999993E-2</v>
      </c>
      <c r="I625">
        <v>4418.7169999999996</v>
      </c>
      <c r="J625">
        <v>6336.2579999999998</v>
      </c>
    </row>
    <row r="626" spans="1:10">
      <c r="A626">
        <v>39</v>
      </c>
      <c r="B626">
        <v>9</v>
      </c>
      <c r="C626" t="s">
        <v>105</v>
      </c>
      <c r="D626">
        <v>-33.926078642330097</v>
      </c>
      <c r="E626">
        <v>18.838084474637899</v>
      </c>
      <c r="F626">
        <v>6.5750000000000003E-2</v>
      </c>
      <c r="G626">
        <v>0.1643</v>
      </c>
      <c r="H626">
        <v>9.8599999999999993E-2</v>
      </c>
      <c r="I626">
        <v>4811.692</v>
      </c>
      <c r="J626">
        <v>6370.5690000000004</v>
      </c>
    </row>
    <row r="627" spans="1:10">
      <c r="A627">
        <v>40</v>
      </c>
      <c r="B627">
        <v>9</v>
      </c>
      <c r="C627" t="s">
        <v>105</v>
      </c>
      <c r="D627">
        <v>-33.922706744281498</v>
      </c>
      <c r="E627">
        <v>18.8382251337122</v>
      </c>
      <c r="F627">
        <v>6.5750000000000003E-2</v>
      </c>
      <c r="G627">
        <v>0.1643</v>
      </c>
      <c r="H627">
        <v>9.8599999999999993E-2</v>
      </c>
      <c r="I627">
        <v>4832.9679999999998</v>
      </c>
      <c r="J627">
        <v>6391.8450000000003</v>
      </c>
    </row>
    <row r="628" spans="1:10">
      <c r="A628">
        <v>41</v>
      </c>
      <c r="B628">
        <v>9</v>
      </c>
      <c r="C628" t="s">
        <v>105</v>
      </c>
      <c r="D628">
        <v>-33.920956231551799</v>
      </c>
      <c r="E628">
        <v>18.8381538349091</v>
      </c>
      <c r="F628">
        <v>6.5750000000000003E-2</v>
      </c>
      <c r="G628">
        <v>0.1643</v>
      </c>
      <c r="H628">
        <v>9.8599999999999993E-2</v>
      </c>
      <c r="I628">
        <v>4826.9160000000002</v>
      </c>
      <c r="J628">
        <v>6385.7929999999997</v>
      </c>
    </row>
    <row r="629" spans="1:10">
      <c r="A629">
        <v>42</v>
      </c>
      <c r="B629">
        <v>9</v>
      </c>
      <c r="C629" t="s">
        <v>105</v>
      </c>
      <c r="D629">
        <v>-33.920538845510997</v>
      </c>
      <c r="E629">
        <v>18.841351021114502</v>
      </c>
      <c r="F629">
        <v>6.5750000000000003E-2</v>
      </c>
      <c r="G629">
        <v>0.1643</v>
      </c>
      <c r="H629">
        <v>9.8599999999999993E-2</v>
      </c>
      <c r="I629">
        <v>4928.4049999999997</v>
      </c>
      <c r="J629">
        <v>6156.482</v>
      </c>
    </row>
    <row r="630" spans="1:10">
      <c r="A630">
        <v>43</v>
      </c>
      <c r="B630">
        <v>9</v>
      </c>
      <c r="C630" t="s">
        <v>105</v>
      </c>
      <c r="D630">
        <v>-33.9265920555926</v>
      </c>
      <c r="E630">
        <v>18.844339091155899</v>
      </c>
      <c r="F630">
        <v>6.5750000000000003E-2</v>
      </c>
      <c r="G630">
        <v>0.1643</v>
      </c>
      <c r="H630">
        <v>9.8599999999999993E-2</v>
      </c>
      <c r="I630">
        <v>4032.4749999999999</v>
      </c>
      <c r="J630">
        <v>5591.3509999999997</v>
      </c>
    </row>
    <row r="631" spans="1:10">
      <c r="A631">
        <v>44</v>
      </c>
      <c r="B631">
        <v>9</v>
      </c>
      <c r="C631" t="s">
        <v>105</v>
      </c>
      <c r="D631">
        <v>-33.924702506614501</v>
      </c>
      <c r="E631">
        <v>18.8393065511648</v>
      </c>
      <c r="F631">
        <v>6.5750000000000003E-2</v>
      </c>
      <c r="G631">
        <v>0.1643</v>
      </c>
      <c r="H631">
        <v>9.8599999999999993E-2</v>
      </c>
      <c r="I631">
        <v>4699.817</v>
      </c>
      <c r="J631">
        <v>6258.6940000000004</v>
      </c>
    </row>
    <row r="632" spans="1:10">
      <c r="A632">
        <v>45</v>
      </c>
      <c r="B632">
        <v>9</v>
      </c>
      <c r="C632" t="s">
        <v>105</v>
      </c>
      <c r="D632">
        <v>-33.924031264135998</v>
      </c>
      <c r="E632">
        <v>18.8383580410385</v>
      </c>
      <c r="F632">
        <v>6.5750000000000003E-2</v>
      </c>
      <c r="G632">
        <v>0.1643</v>
      </c>
      <c r="H632">
        <v>9.8599999999999993E-2</v>
      </c>
      <c r="I632">
        <v>4812.0479999999998</v>
      </c>
      <c r="J632">
        <v>6370.924</v>
      </c>
    </row>
    <row r="633" spans="1:10">
      <c r="A633">
        <v>46</v>
      </c>
      <c r="B633">
        <v>9</v>
      </c>
      <c r="C633" t="s">
        <v>105</v>
      </c>
      <c r="D633">
        <v>-33.926521057899699</v>
      </c>
      <c r="E633">
        <v>18.8414152642139</v>
      </c>
      <c r="F633">
        <v>6.5750000000000003E-2</v>
      </c>
      <c r="G633">
        <v>0.1643</v>
      </c>
      <c r="H633">
        <v>9.8599999999999993E-2</v>
      </c>
      <c r="I633">
        <v>4774.2309999999998</v>
      </c>
      <c r="J633">
        <v>6333.1080000000002</v>
      </c>
    </row>
    <row r="634" spans="1:10">
      <c r="A634">
        <v>47</v>
      </c>
      <c r="B634">
        <v>9</v>
      </c>
      <c r="C634" t="s">
        <v>105</v>
      </c>
      <c r="D634">
        <v>-33.921501421682699</v>
      </c>
      <c r="E634">
        <v>18.838469448862099</v>
      </c>
      <c r="F634">
        <v>6.5750000000000003E-2</v>
      </c>
      <c r="G634">
        <v>0.1643</v>
      </c>
      <c r="H634">
        <v>9.8599999999999993E-2</v>
      </c>
      <c r="I634">
        <v>4752.4319999999998</v>
      </c>
      <c r="J634">
        <v>6311.308</v>
      </c>
    </row>
    <row r="635" spans="1:10">
      <c r="A635">
        <v>48</v>
      </c>
      <c r="B635">
        <v>9</v>
      </c>
      <c r="C635" t="s">
        <v>105</v>
      </c>
      <c r="D635">
        <v>-33.924345835066603</v>
      </c>
      <c r="E635">
        <v>18.838028124615001</v>
      </c>
      <c r="F635">
        <v>6.5750000000000003E-2</v>
      </c>
      <c r="G635">
        <v>0.1643</v>
      </c>
      <c r="H635">
        <v>9.8599999999999993E-2</v>
      </c>
      <c r="I635">
        <v>4896.6329999999998</v>
      </c>
      <c r="J635">
        <v>6455.51</v>
      </c>
    </row>
    <row r="636" spans="1:10">
      <c r="A636">
        <v>49</v>
      </c>
      <c r="B636">
        <v>9</v>
      </c>
      <c r="C636" t="s">
        <v>105</v>
      </c>
      <c r="D636">
        <v>-33.920695672554402</v>
      </c>
      <c r="E636">
        <v>18.8405777200621</v>
      </c>
      <c r="F636">
        <v>6.5750000000000003E-2</v>
      </c>
      <c r="G636">
        <v>0.1643</v>
      </c>
      <c r="H636">
        <v>9.8599999999999993E-2</v>
      </c>
      <c r="I636">
        <v>4987.5479999999998</v>
      </c>
      <c r="J636">
        <v>6204.4750000000004</v>
      </c>
    </row>
    <row r="637" spans="1:10">
      <c r="A637">
        <v>50</v>
      </c>
      <c r="B637">
        <v>9</v>
      </c>
      <c r="C637" t="s">
        <v>105</v>
      </c>
      <c r="D637">
        <v>-33.922308973582702</v>
      </c>
      <c r="E637">
        <v>18.842058770248599</v>
      </c>
      <c r="F637">
        <v>6.5750000000000003E-2</v>
      </c>
      <c r="G637">
        <v>0.1643</v>
      </c>
      <c r="H637">
        <v>9.8599999999999993E-2</v>
      </c>
      <c r="I637">
        <v>4358.6989999999996</v>
      </c>
      <c r="J637">
        <v>5917.576</v>
      </c>
    </row>
    <row r="638" spans="1:10">
      <c r="A638">
        <v>51</v>
      </c>
      <c r="B638">
        <v>9</v>
      </c>
      <c r="C638" t="s">
        <v>105</v>
      </c>
      <c r="D638">
        <v>-33.9196177431146</v>
      </c>
      <c r="E638">
        <v>18.8421023678853</v>
      </c>
      <c r="F638">
        <v>6.5750000000000003E-2</v>
      </c>
      <c r="G638">
        <v>0.1643</v>
      </c>
      <c r="H638">
        <v>9.8599999999999993E-2</v>
      </c>
      <c r="I638">
        <v>4832.83</v>
      </c>
      <c r="J638">
        <v>6750.37</v>
      </c>
    </row>
    <row r="639" spans="1:10">
      <c r="A639">
        <v>52</v>
      </c>
      <c r="B639">
        <v>9</v>
      </c>
      <c r="C639" t="s">
        <v>105</v>
      </c>
      <c r="D639">
        <v>-33.921505700729497</v>
      </c>
      <c r="E639">
        <v>18.836264901710098</v>
      </c>
      <c r="F639">
        <v>6.5750000000000003E-2</v>
      </c>
      <c r="G639">
        <v>0.1643</v>
      </c>
      <c r="H639">
        <v>9.8599999999999993E-2</v>
      </c>
      <c r="I639">
        <v>5125.277</v>
      </c>
      <c r="J639">
        <v>6684.1540000000005</v>
      </c>
    </row>
    <row r="640" spans="1:10">
      <c r="A640">
        <v>53</v>
      </c>
      <c r="B640">
        <v>9</v>
      </c>
      <c r="C640" t="s">
        <v>105</v>
      </c>
      <c r="D640">
        <v>-33.920649099687701</v>
      </c>
      <c r="E640">
        <v>18.837383094066301</v>
      </c>
      <c r="F640">
        <v>6.5750000000000003E-2</v>
      </c>
      <c r="G640">
        <v>0.1643</v>
      </c>
      <c r="H640">
        <v>9.8599999999999993E-2</v>
      </c>
      <c r="I640">
        <v>4874.9579999999996</v>
      </c>
      <c r="J640">
        <v>6433.835</v>
      </c>
    </row>
    <row r="641" spans="1:10">
      <c r="A641">
        <v>54</v>
      </c>
      <c r="B641">
        <v>9</v>
      </c>
      <c r="C641" t="s">
        <v>105</v>
      </c>
      <c r="D641">
        <v>-33.922756435171998</v>
      </c>
      <c r="E641">
        <v>18.8406428847013</v>
      </c>
      <c r="F641">
        <v>6.5750000000000003E-2</v>
      </c>
      <c r="G641">
        <v>0.1643</v>
      </c>
      <c r="H641">
        <v>9.8599999999999993E-2</v>
      </c>
      <c r="I641">
        <v>4570.2330000000002</v>
      </c>
      <c r="J641">
        <v>6129.11</v>
      </c>
    </row>
    <row r="642" spans="1:10">
      <c r="A642">
        <v>55</v>
      </c>
      <c r="B642">
        <v>9</v>
      </c>
      <c r="C642" t="s">
        <v>105</v>
      </c>
      <c r="D642">
        <v>-33.926358570951102</v>
      </c>
      <c r="E642">
        <v>18.844523803609</v>
      </c>
      <c r="F642">
        <v>6.5750000000000003E-2</v>
      </c>
      <c r="G642">
        <v>0.1643</v>
      </c>
      <c r="H642">
        <v>9.8599999999999993E-2</v>
      </c>
      <c r="I642">
        <v>4027.1219999999998</v>
      </c>
      <c r="J642">
        <v>5585.9989999999998</v>
      </c>
    </row>
    <row r="643" spans="1:10">
      <c r="A643">
        <v>56</v>
      </c>
      <c r="B643">
        <v>9</v>
      </c>
      <c r="C643" t="s">
        <v>105</v>
      </c>
      <c r="D643">
        <v>-33.9264390110717</v>
      </c>
      <c r="E643">
        <v>18.836465131774698</v>
      </c>
      <c r="F643">
        <v>6.5750000000000003E-2</v>
      </c>
      <c r="G643">
        <v>0.1643</v>
      </c>
      <c r="H643">
        <v>9.8599999999999993E-2</v>
      </c>
      <c r="I643">
        <v>6076.7110000000002</v>
      </c>
      <c r="J643">
        <v>3587.7190000000001</v>
      </c>
    </row>
    <row r="644" spans="1:10">
      <c r="A644">
        <v>57</v>
      </c>
      <c r="B644">
        <v>9</v>
      </c>
      <c r="C644" t="s">
        <v>105</v>
      </c>
      <c r="D644">
        <v>-33.919434749801503</v>
      </c>
      <c r="E644">
        <v>18.8391113727575</v>
      </c>
      <c r="F644">
        <v>6.5750000000000003E-2</v>
      </c>
      <c r="G644">
        <v>0.1643</v>
      </c>
      <c r="H644">
        <v>9.8599999999999993E-2</v>
      </c>
      <c r="I644">
        <v>5113.0020000000004</v>
      </c>
      <c r="J644">
        <v>6469.9470000000001</v>
      </c>
    </row>
    <row r="645" spans="1:10">
      <c r="A645">
        <v>58</v>
      </c>
      <c r="B645">
        <v>9</v>
      </c>
      <c r="C645" t="s">
        <v>105</v>
      </c>
      <c r="D645">
        <v>-33.920821335119598</v>
      </c>
      <c r="E645">
        <v>18.836892337037298</v>
      </c>
      <c r="F645">
        <v>6.5750000000000003E-2</v>
      </c>
      <c r="G645">
        <v>0.1643</v>
      </c>
      <c r="H645">
        <v>9.8599999999999993E-2</v>
      </c>
      <c r="I645">
        <v>4887.7579999999998</v>
      </c>
      <c r="J645">
        <v>6446.6350000000002</v>
      </c>
    </row>
    <row r="646" spans="1:10">
      <c r="A646">
        <v>59</v>
      </c>
      <c r="B646">
        <v>9</v>
      </c>
      <c r="C646" t="s">
        <v>105</v>
      </c>
      <c r="D646">
        <v>-33.924101484353002</v>
      </c>
      <c r="E646">
        <v>18.836957491788699</v>
      </c>
      <c r="F646">
        <v>6.5750000000000003E-2</v>
      </c>
      <c r="G646">
        <v>0.1643</v>
      </c>
      <c r="H646">
        <v>9.8599999999999993E-2</v>
      </c>
      <c r="I646">
        <v>4987.0600000000004</v>
      </c>
      <c r="J646">
        <v>6545.9369999999999</v>
      </c>
    </row>
    <row r="647" spans="1:10">
      <c r="A647">
        <v>60</v>
      </c>
      <c r="B647">
        <v>9</v>
      </c>
      <c r="C647" t="s">
        <v>105</v>
      </c>
      <c r="D647">
        <v>-33.919624791445599</v>
      </c>
      <c r="E647">
        <v>18.836245131887299</v>
      </c>
      <c r="F647">
        <v>6.5750000000000003E-2</v>
      </c>
      <c r="G647">
        <v>0.1643</v>
      </c>
      <c r="H647">
        <v>9.8599999999999993E-2</v>
      </c>
      <c r="I647">
        <v>5400.2110000000002</v>
      </c>
      <c r="J647">
        <v>6631.4589999999998</v>
      </c>
    </row>
    <row r="648" spans="1:10">
      <c r="A648">
        <v>61</v>
      </c>
      <c r="B648">
        <v>9</v>
      </c>
      <c r="C648" t="s">
        <v>105</v>
      </c>
      <c r="D648">
        <v>-33.919676774189902</v>
      </c>
      <c r="E648">
        <v>18.836834402307701</v>
      </c>
      <c r="F648">
        <v>6.5750000000000003E-2</v>
      </c>
      <c r="G648">
        <v>0.1643</v>
      </c>
      <c r="H648">
        <v>9.8599999999999993E-2</v>
      </c>
      <c r="I648">
        <v>5008.8720000000003</v>
      </c>
      <c r="J648">
        <v>6567.7489999999998</v>
      </c>
    </row>
    <row r="649" spans="1:10">
      <c r="A649">
        <v>62</v>
      </c>
      <c r="B649">
        <v>9</v>
      </c>
      <c r="C649" t="s">
        <v>105</v>
      </c>
      <c r="D649">
        <v>-33.925408705316499</v>
      </c>
      <c r="E649">
        <v>18.8434122339944</v>
      </c>
      <c r="F649">
        <v>6.5750000000000003E-2</v>
      </c>
      <c r="G649">
        <v>0.1643</v>
      </c>
      <c r="H649">
        <v>9.8599999999999993E-2</v>
      </c>
      <c r="I649">
        <v>4034.8359999999998</v>
      </c>
      <c r="J649">
        <v>5593.7129999999997</v>
      </c>
    </row>
    <row r="650" spans="1:10">
      <c r="A650">
        <v>63</v>
      </c>
      <c r="B650">
        <v>9</v>
      </c>
      <c r="C650" t="s">
        <v>105</v>
      </c>
      <c r="D650">
        <v>-33.921435381120702</v>
      </c>
      <c r="E650">
        <v>18.843127849817598</v>
      </c>
      <c r="F650">
        <v>6.5750000000000003E-2</v>
      </c>
      <c r="G650">
        <v>0.1643</v>
      </c>
      <c r="H650">
        <v>9.8599999999999993E-2</v>
      </c>
      <c r="I650">
        <v>4671.4399999999996</v>
      </c>
      <c r="J650">
        <v>5958.1819999999998</v>
      </c>
    </row>
    <row r="651" spans="1:10">
      <c r="A651">
        <v>64</v>
      </c>
      <c r="B651">
        <v>9</v>
      </c>
      <c r="C651" t="s">
        <v>105</v>
      </c>
      <c r="D651">
        <v>-33.923066180049197</v>
      </c>
      <c r="E651">
        <v>18.842604658461301</v>
      </c>
      <c r="F651">
        <v>6.5750000000000003E-2</v>
      </c>
      <c r="G651">
        <v>0.1643</v>
      </c>
      <c r="H651">
        <v>9.8599999999999993E-2</v>
      </c>
      <c r="I651">
        <v>4341.4040000000005</v>
      </c>
      <c r="J651">
        <v>5900.2809999999999</v>
      </c>
    </row>
    <row r="652" spans="1:10">
      <c r="A652">
        <v>65</v>
      </c>
      <c r="B652">
        <v>9</v>
      </c>
      <c r="C652" t="s">
        <v>105</v>
      </c>
      <c r="D652">
        <v>-33.924195468724001</v>
      </c>
      <c r="E652">
        <v>18.843843070912101</v>
      </c>
      <c r="F652">
        <v>6.5750000000000003E-2</v>
      </c>
      <c r="G652">
        <v>0.1643</v>
      </c>
      <c r="H652">
        <v>9.8599999999999993E-2</v>
      </c>
      <c r="I652">
        <v>4013.8519999999999</v>
      </c>
      <c r="J652">
        <v>5572.7290000000003</v>
      </c>
    </row>
    <row r="653" spans="1:10">
      <c r="A653">
        <v>66</v>
      </c>
      <c r="B653">
        <v>9</v>
      </c>
      <c r="C653" t="s">
        <v>105</v>
      </c>
      <c r="D653">
        <v>-33.926541617047903</v>
      </c>
      <c r="E653">
        <v>18.8380380614567</v>
      </c>
      <c r="F653">
        <v>6.5750000000000003E-2</v>
      </c>
      <c r="G653">
        <v>0.1643</v>
      </c>
      <c r="H653">
        <v>9.8599999999999993E-2</v>
      </c>
      <c r="I653">
        <v>5972.3630000000003</v>
      </c>
      <c r="J653">
        <v>3483.3710000000001</v>
      </c>
    </row>
    <row r="654" spans="1:10">
      <c r="A654">
        <v>67</v>
      </c>
      <c r="B654">
        <v>9</v>
      </c>
      <c r="C654" t="s">
        <v>105</v>
      </c>
      <c r="D654">
        <v>-33.924789582590002</v>
      </c>
      <c r="E654">
        <v>18.8438721365928</v>
      </c>
      <c r="F654">
        <v>6.5750000000000003E-2</v>
      </c>
      <c r="G654">
        <v>0.1643</v>
      </c>
      <c r="H654">
        <v>9.8599999999999993E-2</v>
      </c>
      <c r="I654">
        <v>3963.6790000000001</v>
      </c>
      <c r="J654">
        <v>5522.5559999999996</v>
      </c>
    </row>
    <row r="655" spans="1:10">
      <c r="A655">
        <v>68</v>
      </c>
      <c r="B655">
        <v>9</v>
      </c>
      <c r="C655" t="s">
        <v>105</v>
      </c>
      <c r="D655">
        <v>-33.925660234512499</v>
      </c>
      <c r="E655">
        <v>18.839087788235499</v>
      </c>
      <c r="F655">
        <v>6.5750000000000003E-2</v>
      </c>
      <c r="G655">
        <v>0.1643</v>
      </c>
      <c r="H655">
        <v>9.8599999999999993E-2</v>
      </c>
      <c r="I655">
        <v>4805.5450000000001</v>
      </c>
      <c r="J655">
        <v>6364.4219999999996</v>
      </c>
    </row>
    <row r="656" spans="1:10">
      <c r="A656">
        <v>69</v>
      </c>
      <c r="B656">
        <v>9</v>
      </c>
      <c r="C656" t="s">
        <v>105</v>
      </c>
      <c r="D656">
        <v>-33.920800284073501</v>
      </c>
      <c r="E656">
        <v>18.842293471919699</v>
      </c>
      <c r="F656">
        <v>6.5750000000000003E-2</v>
      </c>
      <c r="G656">
        <v>0.1643</v>
      </c>
      <c r="H656">
        <v>9.8599999999999993E-2</v>
      </c>
      <c r="I656">
        <v>4861.4629999999997</v>
      </c>
      <c r="J656">
        <v>6072.8969999999999</v>
      </c>
    </row>
    <row r="657" spans="1:10">
      <c r="A657">
        <v>70</v>
      </c>
      <c r="B657">
        <v>9</v>
      </c>
      <c r="C657" t="s">
        <v>105</v>
      </c>
      <c r="D657">
        <v>-33.926459894668902</v>
      </c>
      <c r="E657">
        <v>18.840263693520299</v>
      </c>
      <c r="F657">
        <v>6.5750000000000003E-2</v>
      </c>
      <c r="G657">
        <v>0.1643</v>
      </c>
      <c r="H657">
        <v>9.8599999999999993E-2</v>
      </c>
      <c r="I657">
        <v>4791.1819999999998</v>
      </c>
      <c r="J657">
        <v>6350.0590000000002</v>
      </c>
    </row>
    <row r="658" spans="1:10">
      <c r="A658">
        <v>71</v>
      </c>
      <c r="B658">
        <v>9</v>
      </c>
      <c r="C658" t="s">
        <v>105</v>
      </c>
      <c r="D658">
        <v>-33.923520749519</v>
      </c>
      <c r="E658">
        <v>18.840276870383999</v>
      </c>
      <c r="F658">
        <v>6.5750000000000003E-2</v>
      </c>
      <c r="G658">
        <v>0.1643</v>
      </c>
      <c r="H658">
        <v>9.8599999999999993E-2</v>
      </c>
      <c r="I658">
        <v>4568.9960000000001</v>
      </c>
      <c r="J658">
        <v>6127.8729999999996</v>
      </c>
    </row>
    <row r="659" spans="1:10">
      <c r="A659">
        <v>72</v>
      </c>
      <c r="B659">
        <v>9</v>
      </c>
      <c r="C659" t="s">
        <v>105</v>
      </c>
      <c r="D659">
        <v>-33.920035552765903</v>
      </c>
      <c r="E659">
        <v>18.843684306490601</v>
      </c>
      <c r="F659">
        <v>6.5750000000000003E-2</v>
      </c>
      <c r="G659">
        <v>0.1643</v>
      </c>
      <c r="H659">
        <v>9.8599999999999993E-2</v>
      </c>
      <c r="I659">
        <v>4573.16</v>
      </c>
      <c r="J659">
        <v>6490.701</v>
      </c>
    </row>
    <row r="660" spans="1:10">
      <c r="A660">
        <v>73</v>
      </c>
      <c r="B660">
        <v>9</v>
      </c>
      <c r="C660" t="s">
        <v>105</v>
      </c>
      <c r="D660">
        <v>-33.9260806484249</v>
      </c>
      <c r="E660">
        <v>18.843929826324899</v>
      </c>
      <c r="F660">
        <v>6.5750000000000003E-2</v>
      </c>
      <c r="G660">
        <v>0.1643</v>
      </c>
      <c r="H660">
        <v>9.8599999999999993E-2</v>
      </c>
      <c r="I660">
        <v>4093.922</v>
      </c>
      <c r="J660">
        <v>5652.799</v>
      </c>
    </row>
    <row r="661" spans="1:10">
      <c r="A661">
        <v>74</v>
      </c>
      <c r="B661">
        <v>9</v>
      </c>
      <c r="C661" t="s">
        <v>105</v>
      </c>
      <c r="D661">
        <v>-33.921806641761997</v>
      </c>
      <c r="E661">
        <v>18.840602409744299</v>
      </c>
      <c r="F661">
        <v>6.5750000000000003E-2</v>
      </c>
      <c r="G661">
        <v>0.1643</v>
      </c>
      <c r="H661">
        <v>9.8599999999999993E-2</v>
      </c>
      <c r="I661">
        <v>4513.9750000000004</v>
      </c>
      <c r="J661">
        <v>6072.8519999999999</v>
      </c>
    </row>
    <row r="662" spans="1:10">
      <c r="A662">
        <v>75</v>
      </c>
      <c r="B662">
        <v>9</v>
      </c>
      <c r="C662" t="s">
        <v>105</v>
      </c>
      <c r="D662">
        <v>-33.924097611503598</v>
      </c>
      <c r="E662">
        <v>18.837533503580101</v>
      </c>
      <c r="F662">
        <v>6.5750000000000003E-2</v>
      </c>
      <c r="G662">
        <v>0.1643</v>
      </c>
      <c r="H662">
        <v>9.8599999999999993E-2</v>
      </c>
      <c r="I662">
        <v>4945.3230000000003</v>
      </c>
      <c r="J662">
        <v>6504.2</v>
      </c>
    </row>
    <row r="663" spans="1:10">
      <c r="A663">
        <v>76</v>
      </c>
      <c r="B663">
        <v>9</v>
      </c>
      <c r="C663" t="s">
        <v>105</v>
      </c>
      <c r="D663">
        <v>-33.920177703409003</v>
      </c>
      <c r="E663">
        <v>18.8396666030871</v>
      </c>
      <c r="F663">
        <v>6.5750000000000003E-2</v>
      </c>
      <c r="G663">
        <v>0.1643</v>
      </c>
      <c r="H663">
        <v>9.8599999999999993E-2</v>
      </c>
      <c r="I663">
        <v>4731.8109999999997</v>
      </c>
      <c r="J663">
        <v>6290.6880000000001</v>
      </c>
    </row>
    <row r="664" spans="1:10">
      <c r="A664">
        <v>77</v>
      </c>
      <c r="B664">
        <v>9</v>
      </c>
      <c r="C664" t="s">
        <v>105</v>
      </c>
      <c r="D664">
        <v>-33.925834602871198</v>
      </c>
      <c r="E664">
        <v>18.838189161110002</v>
      </c>
      <c r="F664">
        <v>6.5750000000000003E-2</v>
      </c>
      <c r="G664">
        <v>0.1643</v>
      </c>
      <c r="H664">
        <v>9.8599999999999993E-2</v>
      </c>
      <c r="I664">
        <v>4787.8789999999999</v>
      </c>
      <c r="J664">
        <v>6346.7550000000001</v>
      </c>
    </row>
    <row r="665" spans="1:10">
      <c r="A665">
        <v>78</v>
      </c>
      <c r="B665">
        <v>9</v>
      </c>
      <c r="C665" t="s">
        <v>105</v>
      </c>
      <c r="D665">
        <v>-33.9200625791253</v>
      </c>
      <c r="E665">
        <v>18.8362459207863</v>
      </c>
      <c r="F665">
        <v>6.5750000000000003E-2</v>
      </c>
      <c r="G665">
        <v>0.1643</v>
      </c>
      <c r="H665">
        <v>9.8599999999999993E-2</v>
      </c>
      <c r="I665">
        <v>5043.3549999999996</v>
      </c>
      <c r="J665">
        <v>6602.232</v>
      </c>
    </row>
    <row r="666" spans="1:10">
      <c r="A666">
        <v>79</v>
      </c>
      <c r="B666">
        <v>9</v>
      </c>
      <c r="C666" t="s">
        <v>105</v>
      </c>
      <c r="D666">
        <v>-33.9264635078559</v>
      </c>
      <c r="E666">
        <v>18.842858356366701</v>
      </c>
      <c r="F666">
        <v>6.5750000000000003E-2</v>
      </c>
      <c r="G666">
        <v>0.1643</v>
      </c>
      <c r="H666">
        <v>9.8599999999999993E-2</v>
      </c>
      <c r="I666">
        <v>4178.0159999999996</v>
      </c>
      <c r="J666">
        <v>5736.893</v>
      </c>
    </row>
    <row r="667" spans="1:10">
      <c r="A667">
        <v>80</v>
      </c>
      <c r="B667">
        <v>9</v>
      </c>
      <c r="C667" t="s">
        <v>105</v>
      </c>
      <c r="D667">
        <v>-33.924202472130901</v>
      </c>
      <c r="E667">
        <v>18.841617075992499</v>
      </c>
      <c r="F667">
        <v>6.5750000000000003E-2</v>
      </c>
      <c r="G667">
        <v>0.1643</v>
      </c>
      <c r="H667">
        <v>9.8599999999999993E-2</v>
      </c>
      <c r="I667">
        <v>4580.3860000000004</v>
      </c>
      <c r="J667">
        <v>6139.2629999999999</v>
      </c>
    </row>
    <row r="668" spans="1:10">
      <c r="A668">
        <v>81</v>
      </c>
      <c r="B668">
        <v>9</v>
      </c>
      <c r="C668" t="s">
        <v>105</v>
      </c>
      <c r="D668">
        <v>-33.922015249181001</v>
      </c>
      <c r="E668">
        <v>18.836602746684701</v>
      </c>
      <c r="F668">
        <v>6.5750000000000003E-2</v>
      </c>
      <c r="G668">
        <v>0.1643</v>
      </c>
      <c r="H668">
        <v>9.8599999999999993E-2</v>
      </c>
      <c r="I668">
        <v>5056.8999999999996</v>
      </c>
      <c r="J668">
        <v>6615.777</v>
      </c>
    </row>
    <row r="669" spans="1:10">
      <c r="A669">
        <v>82</v>
      </c>
      <c r="B669">
        <v>9</v>
      </c>
      <c r="C669" t="s">
        <v>105</v>
      </c>
      <c r="D669">
        <v>-33.922908195714903</v>
      </c>
      <c r="E669">
        <v>18.844116399441599</v>
      </c>
      <c r="F669">
        <v>6.5750000000000003E-2</v>
      </c>
      <c r="G669">
        <v>0.1643</v>
      </c>
      <c r="H669">
        <v>9.8599999999999993E-2</v>
      </c>
      <c r="I669">
        <v>4072.0929999999998</v>
      </c>
      <c r="J669">
        <v>5630.9690000000001</v>
      </c>
    </row>
    <row r="670" spans="1:10">
      <c r="A670">
        <v>83</v>
      </c>
      <c r="B670">
        <v>9</v>
      </c>
      <c r="C670" t="s">
        <v>105</v>
      </c>
      <c r="D670">
        <v>-33.925736742719998</v>
      </c>
      <c r="E670">
        <v>18.837471807545398</v>
      </c>
      <c r="F670">
        <v>6.5750000000000003E-2</v>
      </c>
      <c r="G670">
        <v>0.1643</v>
      </c>
      <c r="H670">
        <v>9.8599999999999993E-2</v>
      </c>
      <c r="I670">
        <v>6074.0829999999996</v>
      </c>
      <c r="J670">
        <v>3585.0909999999999</v>
      </c>
    </row>
    <row r="671" spans="1:10">
      <c r="A671">
        <v>84</v>
      </c>
      <c r="B671">
        <v>9</v>
      </c>
      <c r="C671" t="s">
        <v>105</v>
      </c>
      <c r="D671">
        <v>-33.921276917158998</v>
      </c>
      <c r="E671">
        <v>18.843281043690801</v>
      </c>
      <c r="F671">
        <v>6.5750000000000003E-2</v>
      </c>
      <c r="G671">
        <v>0.1643</v>
      </c>
      <c r="H671">
        <v>9.8599999999999993E-2</v>
      </c>
      <c r="I671">
        <v>4767.6790000000001</v>
      </c>
      <c r="J671">
        <v>6054.4210000000003</v>
      </c>
    </row>
    <row r="672" spans="1:10">
      <c r="A672">
        <v>85</v>
      </c>
      <c r="B672">
        <v>9</v>
      </c>
      <c r="C672" t="s">
        <v>105</v>
      </c>
      <c r="D672">
        <v>-33.923835009648997</v>
      </c>
      <c r="E672">
        <v>18.840139291632099</v>
      </c>
      <c r="F672">
        <v>6.5750000000000003E-2</v>
      </c>
      <c r="G672">
        <v>0.1643</v>
      </c>
      <c r="H672">
        <v>9.8599999999999993E-2</v>
      </c>
      <c r="I672">
        <v>4570.7719999999999</v>
      </c>
      <c r="J672">
        <v>6129.6490000000003</v>
      </c>
    </row>
    <row r="673" spans="1:10">
      <c r="A673">
        <v>86</v>
      </c>
      <c r="B673">
        <v>9</v>
      </c>
      <c r="C673" t="s">
        <v>105</v>
      </c>
      <c r="D673">
        <v>-33.920073712127198</v>
      </c>
      <c r="E673">
        <v>18.842416523511101</v>
      </c>
      <c r="F673">
        <v>6.5750000000000003E-2</v>
      </c>
      <c r="G673">
        <v>0.1643</v>
      </c>
      <c r="H673">
        <v>9.8599999999999993E-2</v>
      </c>
      <c r="I673">
        <v>4860.549</v>
      </c>
      <c r="J673">
        <v>6154.1379999999999</v>
      </c>
    </row>
    <row r="674" spans="1:10">
      <c r="A674">
        <v>87</v>
      </c>
      <c r="B674">
        <v>9</v>
      </c>
      <c r="C674" t="s">
        <v>105</v>
      </c>
      <c r="D674">
        <v>-33.919448750469897</v>
      </c>
      <c r="E674">
        <v>18.842651743357202</v>
      </c>
      <c r="F674">
        <v>6.5750000000000003E-2</v>
      </c>
      <c r="G674">
        <v>0.1643</v>
      </c>
      <c r="H674">
        <v>9.8599999999999993E-2</v>
      </c>
      <c r="I674">
        <v>4837.9279999999999</v>
      </c>
      <c r="J674">
        <v>6755.4679999999998</v>
      </c>
    </row>
    <row r="675" spans="1:10">
      <c r="A675">
        <v>88</v>
      </c>
      <c r="B675">
        <v>9</v>
      </c>
      <c r="C675" t="s">
        <v>105</v>
      </c>
      <c r="D675">
        <v>-33.922888240405797</v>
      </c>
      <c r="E675">
        <v>18.8383801636237</v>
      </c>
      <c r="F675">
        <v>6.5750000000000003E-2</v>
      </c>
      <c r="G675">
        <v>0.1643</v>
      </c>
      <c r="H675">
        <v>9.8599999999999993E-2</v>
      </c>
      <c r="I675">
        <v>4839.6850000000004</v>
      </c>
      <c r="J675">
        <v>6398.5619999999999</v>
      </c>
    </row>
    <row r="676" spans="1:10">
      <c r="A676">
        <v>89</v>
      </c>
      <c r="B676">
        <v>9</v>
      </c>
      <c r="C676" t="s">
        <v>105</v>
      </c>
      <c r="D676">
        <v>-33.926587700623202</v>
      </c>
      <c r="E676">
        <v>18.840614895625301</v>
      </c>
      <c r="F676">
        <v>6.5750000000000003E-2</v>
      </c>
      <c r="G676">
        <v>0.1643</v>
      </c>
      <c r="H676">
        <v>9.8599999999999993E-2</v>
      </c>
      <c r="I676">
        <v>4789.951</v>
      </c>
      <c r="J676">
        <v>6348.8280000000004</v>
      </c>
    </row>
    <row r="677" spans="1:10">
      <c r="A677">
        <v>90</v>
      </c>
      <c r="B677">
        <v>9</v>
      </c>
      <c r="C677" t="s">
        <v>105</v>
      </c>
      <c r="D677">
        <v>-33.921396856679799</v>
      </c>
      <c r="E677">
        <v>18.840702522085099</v>
      </c>
      <c r="F677">
        <v>6.5750000000000003E-2</v>
      </c>
      <c r="G677">
        <v>0.1643</v>
      </c>
      <c r="H677">
        <v>9.8599999999999993E-2</v>
      </c>
      <c r="I677">
        <v>4537.759</v>
      </c>
      <c r="J677">
        <v>6096.6360000000004</v>
      </c>
    </row>
    <row r="678" spans="1:10">
      <c r="A678">
        <v>91</v>
      </c>
      <c r="B678">
        <v>9</v>
      </c>
      <c r="C678" t="s">
        <v>105</v>
      </c>
      <c r="D678">
        <v>-33.924280075108399</v>
      </c>
      <c r="E678">
        <v>18.844276263712899</v>
      </c>
      <c r="F678">
        <v>6.5750000000000003E-2</v>
      </c>
      <c r="G678">
        <v>0.1643</v>
      </c>
      <c r="H678">
        <v>9.8599999999999993E-2</v>
      </c>
      <c r="I678">
        <v>3964.2979999999998</v>
      </c>
      <c r="J678">
        <v>5523.1750000000002</v>
      </c>
    </row>
    <row r="679" spans="1:10">
      <c r="A679">
        <v>92</v>
      </c>
      <c r="B679">
        <v>9</v>
      </c>
      <c r="C679" t="s">
        <v>105</v>
      </c>
      <c r="D679">
        <v>-33.919460468588198</v>
      </c>
      <c r="E679">
        <v>18.838821360838399</v>
      </c>
      <c r="F679">
        <v>6.5750000000000003E-2</v>
      </c>
      <c r="G679">
        <v>0.1643</v>
      </c>
      <c r="H679">
        <v>9.8599999999999993E-2</v>
      </c>
      <c r="I679">
        <v>5139.317</v>
      </c>
      <c r="J679">
        <v>6496.2619999999997</v>
      </c>
    </row>
    <row r="680" spans="1:10">
      <c r="A680">
        <v>93</v>
      </c>
      <c r="B680">
        <v>9</v>
      </c>
      <c r="C680" t="s">
        <v>105</v>
      </c>
      <c r="D680">
        <v>-33.921748417053102</v>
      </c>
      <c r="E680">
        <v>18.8428347599157</v>
      </c>
      <c r="F680">
        <v>6.5750000000000003E-2</v>
      </c>
      <c r="G680">
        <v>0.1643</v>
      </c>
      <c r="H680">
        <v>9.8599999999999993E-2</v>
      </c>
      <c r="I680">
        <v>4679.8500000000004</v>
      </c>
      <c r="J680">
        <v>5931.2139999999999</v>
      </c>
    </row>
    <row r="681" spans="1:10">
      <c r="A681">
        <v>94</v>
      </c>
      <c r="B681">
        <v>9</v>
      </c>
      <c r="C681" t="s">
        <v>105</v>
      </c>
      <c r="D681">
        <v>-33.920168453324997</v>
      </c>
      <c r="E681">
        <v>18.842895233392099</v>
      </c>
      <c r="F681">
        <v>6.5750000000000003E-2</v>
      </c>
      <c r="G681">
        <v>0.1643</v>
      </c>
      <c r="H681">
        <v>9.8599999999999993E-2</v>
      </c>
      <c r="I681">
        <v>4871.33</v>
      </c>
      <c r="J681">
        <v>6158.0709999999999</v>
      </c>
    </row>
    <row r="682" spans="1:10">
      <c r="A682">
        <v>95</v>
      </c>
      <c r="B682">
        <v>9</v>
      </c>
      <c r="C682" t="s">
        <v>105</v>
      </c>
      <c r="D682">
        <v>-33.927054162073603</v>
      </c>
      <c r="E682">
        <v>18.838110647486499</v>
      </c>
      <c r="F682">
        <v>6.5750000000000003E-2</v>
      </c>
      <c r="G682">
        <v>0.1643</v>
      </c>
      <c r="H682">
        <v>9.8599999999999993E-2</v>
      </c>
      <c r="I682">
        <v>5927.4750000000004</v>
      </c>
      <c r="J682">
        <v>3438.4830000000002</v>
      </c>
    </row>
    <row r="683" spans="1:10">
      <c r="A683">
        <v>96</v>
      </c>
      <c r="B683">
        <v>9</v>
      </c>
      <c r="C683" t="s">
        <v>105</v>
      </c>
      <c r="D683">
        <v>-33.924678948155801</v>
      </c>
      <c r="E683">
        <v>18.841406261475701</v>
      </c>
      <c r="F683">
        <v>6.5750000000000003E-2</v>
      </c>
      <c r="G683">
        <v>0.1643</v>
      </c>
      <c r="H683">
        <v>9.8599999999999993E-2</v>
      </c>
      <c r="I683">
        <v>4588.62</v>
      </c>
      <c r="J683">
        <v>6147.4970000000003</v>
      </c>
    </row>
    <row r="684" spans="1:10">
      <c r="A684">
        <v>97</v>
      </c>
      <c r="B684">
        <v>9</v>
      </c>
      <c r="C684" t="s">
        <v>105</v>
      </c>
      <c r="D684">
        <v>-33.926471230595098</v>
      </c>
      <c r="E684">
        <v>18.840791655461398</v>
      </c>
      <c r="F684">
        <v>6.5750000000000003E-2</v>
      </c>
      <c r="G684">
        <v>0.1643</v>
      </c>
      <c r="H684">
        <v>9.8599999999999993E-2</v>
      </c>
      <c r="I684">
        <v>4790.3450000000003</v>
      </c>
      <c r="J684">
        <v>6349.2219999999998</v>
      </c>
    </row>
    <row r="685" spans="1:10">
      <c r="A685">
        <v>98</v>
      </c>
      <c r="B685">
        <v>9</v>
      </c>
      <c r="C685" t="s">
        <v>105</v>
      </c>
      <c r="D685">
        <v>-33.926365822870501</v>
      </c>
      <c r="E685">
        <v>18.8410241677846</v>
      </c>
      <c r="F685">
        <v>6.5750000000000003E-2</v>
      </c>
      <c r="G685">
        <v>0.1643</v>
      </c>
      <c r="H685">
        <v>9.8599999999999993E-2</v>
      </c>
      <c r="I685">
        <v>4771.5259999999998</v>
      </c>
      <c r="J685">
        <v>6330.4030000000002</v>
      </c>
    </row>
    <row r="686" spans="1:10">
      <c r="A686">
        <v>99</v>
      </c>
      <c r="B686">
        <v>9</v>
      </c>
      <c r="C686" t="s">
        <v>105</v>
      </c>
      <c r="D686">
        <v>-33.924428961684903</v>
      </c>
      <c r="E686">
        <v>18.8402635736268</v>
      </c>
      <c r="F686">
        <v>6.5750000000000003E-2</v>
      </c>
      <c r="G686">
        <v>0.1643</v>
      </c>
      <c r="H686">
        <v>9.8599999999999993E-2</v>
      </c>
      <c r="I686">
        <v>4603.0050000000001</v>
      </c>
      <c r="J686">
        <v>6161.8819999999996</v>
      </c>
    </row>
    <row r="687" spans="1:10">
      <c r="A687">
        <v>100</v>
      </c>
      <c r="B687">
        <v>9</v>
      </c>
      <c r="C687" t="s">
        <v>105</v>
      </c>
      <c r="D687">
        <v>-33.921402652434899</v>
      </c>
      <c r="E687">
        <v>18.836386137523998</v>
      </c>
      <c r="F687">
        <v>6.5750000000000003E-2</v>
      </c>
      <c r="G687">
        <v>0.1643</v>
      </c>
      <c r="H687">
        <v>9.8599999999999993E-2</v>
      </c>
      <c r="I687">
        <v>5114.9170000000004</v>
      </c>
      <c r="J687">
        <v>6673.7939999999999</v>
      </c>
    </row>
    <row r="688" spans="1:10">
      <c r="A688">
        <v>101</v>
      </c>
      <c r="B688">
        <v>9</v>
      </c>
      <c r="C688" t="s">
        <v>105</v>
      </c>
      <c r="D688">
        <v>-33.925564699682802</v>
      </c>
      <c r="E688">
        <v>18.841266148892799</v>
      </c>
      <c r="F688">
        <v>6.5750000000000003E-2</v>
      </c>
      <c r="G688">
        <v>0.1643</v>
      </c>
      <c r="H688">
        <v>9.8599999999999993E-2</v>
      </c>
      <c r="I688">
        <v>4687.8360000000002</v>
      </c>
      <c r="J688">
        <v>6246.7120000000004</v>
      </c>
    </row>
    <row r="689" spans="1:10">
      <c r="A689">
        <v>102</v>
      </c>
      <c r="B689">
        <v>9</v>
      </c>
      <c r="C689" t="s">
        <v>105</v>
      </c>
      <c r="D689">
        <v>-33.923253996267498</v>
      </c>
      <c r="E689">
        <v>18.844149579773301</v>
      </c>
      <c r="F689">
        <v>6.5750000000000003E-2</v>
      </c>
      <c r="G689">
        <v>0.1643</v>
      </c>
      <c r="H689">
        <v>9.8599999999999993E-2</v>
      </c>
      <c r="I689">
        <v>4070.05</v>
      </c>
      <c r="J689">
        <v>5628.9269999999997</v>
      </c>
    </row>
    <row r="690" spans="1:10">
      <c r="A690">
        <v>103</v>
      </c>
      <c r="B690">
        <v>9</v>
      </c>
      <c r="C690" t="s">
        <v>105</v>
      </c>
      <c r="D690">
        <v>-33.920606346295301</v>
      </c>
      <c r="E690">
        <v>18.8405876021267</v>
      </c>
      <c r="F690">
        <v>6.5750000000000003E-2</v>
      </c>
      <c r="G690">
        <v>0.1643</v>
      </c>
      <c r="H690">
        <v>9.8599999999999993E-2</v>
      </c>
      <c r="I690">
        <v>4984.893</v>
      </c>
      <c r="J690">
        <v>6207.1310000000003</v>
      </c>
    </row>
    <row r="691" spans="1:10">
      <c r="A691">
        <v>104</v>
      </c>
      <c r="B691">
        <v>9</v>
      </c>
      <c r="C691" t="s">
        <v>105</v>
      </c>
      <c r="D691">
        <v>-33.926964301400901</v>
      </c>
      <c r="E691">
        <v>18.844527356015899</v>
      </c>
      <c r="F691">
        <v>6.5750000000000003E-2</v>
      </c>
      <c r="G691">
        <v>0.1643</v>
      </c>
      <c r="H691">
        <v>9.8599999999999993E-2</v>
      </c>
      <c r="I691">
        <v>4045.1260000000002</v>
      </c>
      <c r="J691">
        <v>5604.0029999999997</v>
      </c>
    </row>
    <row r="692" spans="1:10">
      <c r="A692">
        <v>105</v>
      </c>
      <c r="B692">
        <v>9</v>
      </c>
      <c r="C692" t="s">
        <v>105</v>
      </c>
      <c r="D692">
        <v>-33.919985192330103</v>
      </c>
      <c r="E692">
        <v>18.841483587177301</v>
      </c>
      <c r="F692">
        <v>6.5750000000000003E-2</v>
      </c>
      <c r="G692">
        <v>0.1643</v>
      </c>
      <c r="H692">
        <v>9.8599999999999993E-2</v>
      </c>
      <c r="I692">
        <v>4913.83</v>
      </c>
      <c r="J692">
        <v>6229.8969999999999</v>
      </c>
    </row>
    <row r="693" spans="1:10">
      <c r="A693">
        <v>106</v>
      </c>
      <c r="B693">
        <v>9</v>
      </c>
      <c r="C693" t="s">
        <v>105</v>
      </c>
      <c r="D693">
        <v>-33.925554740262697</v>
      </c>
      <c r="E693">
        <v>18.840227548510299</v>
      </c>
      <c r="F693">
        <v>6.5750000000000003E-2</v>
      </c>
      <c r="G693">
        <v>0.1643</v>
      </c>
      <c r="H693">
        <v>9.8599999999999993E-2</v>
      </c>
      <c r="I693">
        <v>4714.884</v>
      </c>
      <c r="J693">
        <v>6273.7610000000004</v>
      </c>
    </row>
    <row r="694" spans="1:10">
      <c r="A694">
        <v>107</v>
      </c>
      <c r="B694">
        <v>9</v>
      </c>
      <c r="C694" t="s">
        <v>105</v>
      </c>
      <c r="D694">
        <v>-33.926619338611196</v>
      </c>
      <c r="E694">
        <v>18.836818911472498</v>
      </c>
      <c r="F694">
        <v>6.5750000000000003E-2</v>
      </c>
      <c r="G694">
        <v>0.1643</v>
      </c>
      <c r="H694">
        <v>9.8599999999999993E-2</v>
      </c>
      <c r="I694">
        <v>6040.1049999999996</v>
      </c>
      <c r="J694">
        <v>3551.1129999999998</v>
      </c>
    </row>
    <row r="695" spans="1:10">
      <c r="A695">
        <v>108</v>
      </c>
      <c r="B695">
        <v>9</v>
      </c>
      <c r="C695" t="s">
        <v>105</v>
      </c>
      <c r="D695">
        <v>-33.920458293784499</v>
      </c>
      <c r="E695">
        <v>18.836002338431602</v>
      </c>
      <c r="F695">
        <v>6.5750000000000003E-2</v>
      </c>
      <c r="G695">
        <v>0.1643</v>
      </c>
      <c r="H695">
        <v>9.8599999999999993E-2</v>
      </c>
      <c r="I695">
        <v>4996.5690000000004</v>
      </c>
      <c r="J695">
        <v>6555.4459999999999</v>
      </c>
    </row>
    <row r="696" spans="1:10">
      <c r="A696">
        <v>109</v>
      </c>
      <c r="B696">
        <v>9</v>
      </c>
      <c r="C696" t="s">
        <v>105</v>
      </c>
      <c r="D696">
        <v>-33.919488021605801</v>
      </c>
      <c r="E696">
        <v>18.836392838797199</v>
      </c>
      <c r="F696">
        <v>6.5750000000000003E-2</v>
      </c>
      <c r="G696">
        <v>0.1643</v>
      </c>
      <c r="H696">
        <v>9.8599999999999993E-2</v>
      </c>
      <c r="I696">
        <v>5380.9089999999997</v>
      </c>
      <c r="J696">
        <v>6650.7610000000004</v>
      </c>
    </row>
    <row r="697" spans="1:10">
      <c r="A697">
        <v>110</v>
      </c>
      <c r="B697">
        <v>9</v>
      </c>
      <c r="C697" t="s">
        <v>105</v>
      </c>
      <c r="D697">
        <v>-33.921383396415997</v>
      </c>
      <c r="E697">
        <v>18.837603063743501</v>
      </c>
      <c r="F697">
        <v>6.5750000000000003E-2</v>
      </c>
      <c r="G697">
        <v>0.1643</v>
      </c>
      <c r="H697">
        <v>9.8599999999999993E-2</v>
      </c>
      <c r="I697">
        <v>4796.2579999999998</v>
      </c>
      <c r="J697">
        <v>6355.1350000000002</v>
      </c>
    </row>
    <row r="698" spans="1:10">
      <c r="A698">
        <v>111</v>
      </c>
      <c r="B698">
        <v>9</v>
      </c>
      <c r="C698" t="s">
        <v>105</v>
      </c>
      <c r="D698">
        <v>-33.925557153718401</v>
      </c>
      <c r="E698">
        <v>18.838331294229</v>
      </c>
      <c r="F698">
        <v>6.5750000000000003E-2</v>
      </c>
      <c r="G698">
        <v>0.1643</v>
      </c>
      <c r="H698">
        <v>9.8599999999999993E-2</v>
      </c>
      <c r="I698">
        <v>4789.0069999999996</v>
      </c>
      <c r="J698">
        <v>6347.884</v>
      </c>
    </row>
    <row r="699" spans="1:10">
      <c r="A699">
        <v>112</v>
      </c>
      <c r="B699">
        <v>9</v>
      </c>
      <c r="C699" t="s">
        <v>105</v>
      </c>
      <c r="D699">
        <v>-33.921096451098101</v>
      </c>
      <c r="E699">
        <v>18.837811026796501</v>
      </c>
      <c r="F699">
        <v>6.5750000000000003E-2</v>
      </c>
      <c r="G699">
        <v>0.1643</v>
      </c>
      <c r="H699">
        <v>9.8599999999999993E-2</v>
      </c>
      <c r="I699">
        <v>4804.6530000000002</v>
      </c>
      <c r="J699">
        <v>6363.53</v>
      </c>
    </row>
    <row r="700" spans="1:10">
      <c r="A700">
        <v>113</v>
      </c>
      <c r="B700">
        <v>9</v>
      </c>
      <c r="C700" t="s">
        <v>105</v>
      </c>
      <c r="D700">
        <v>-33.922996393015303</v>
      </c>
      <c r="E700">
        <v>18.842231792964299</v>
      </c>
      <c r="F700">
        <v>6.5750000000000003E-2</v>
      </c>
      <c r="G700">
        <v>0.1643</v>
      </c>
      <c r="H700">
        <v>9.8599999999999993E-2</v>
      </c>
      <c r="I700">
        <v>4361.9290000000001</v>
      </c>
      <c r="J700">
        <v>5920.8059999999996</v>
      </c>
    </row>
    <row r="701" spans="1:10">
      <c r="A701">
        <v>114</v>
      </c>
      <c r="B701">
        <v>9</v>
      </c>
      <c r="C701" t="s">
        <v>105</v>
      </c>
      <c r="D701">
        <v>-33.923673531065397</v>
      </c>
      <c r="E701">
        <v>18.839446122605199</v>
      </c>
      <c r="F701">
        <v>6.5750000000000003E-2</v>
      </c>
      <c r="G701">
        <v>0.1643</v>
      </c>
      <c r="H701">
        <v>9.8599999999999993E-2</v>
      </c>
      <c r="I701">
        <v>4782.1570000000002</v>
      </c>
      <c r="J701">
        <v>6341.0339999999997</v>
      </c>
    </row>
    <row r="702" spans="1:10">
      <c r="A702">
        <v>115</v>
      </c>
      <c r="B702">
        <v>9</v>
      </c>
      <c r="C702" t="s">
        <v>105</v>
      </c>
      <c r="D702">
        <v>-33.926488052865899</v>
      </c>
      <c r="E702">
        <v>18.843949410695</v>
      </c>
      <c r="F702">
        <v>6.5750000000000003E-2</v>
      </c>
      <c r="G702">
        <v>0.1643</v>
      </c>
      <c r="H702">
        <v>9.8599999999999993E-2</v>
      </c>
      <c r="I702">
        <v>4112.4679999999998</v>
      </c>
      <c r="J702">
        <v>5671.3450000000003</v>
      </c>
    </row>
    <row r="703" spans="1:10">
      <c r="A703">
        <v>116</v>
      </c>
      <c r="B703">
        <v>9</v>
      </c>
      <c r="C703" t="s">
        <v>105</v>
      </c>
      <c r="D703">
        <v>-33.920631575884499</v>
      </c>
      <c r="E703">
        <v>18.843017857866201</v>
      </c>
      <c r="F703">
        <v>6.5750000000000003E-2</v>
      </c>
      <c r="G703">
        <v>0.1643</v>
      </c>
      <c r="H703">
        <v>9.8599999999999993E-2</v>
      </c>
      <c r="I703">
        <v>4806.7060000000001</v>
      </c>
      <c r="J703">
        <v>6093.4480000000003</v>
      </c>
    </row>
    <row r="704" spans="1:10">
      <c r="A704">
        <v>117</v>
      </c>
      <c r="B704">
        <v>9</v>
      </c>
      <c r="C704" t="s">
        <v>105</v>
      </c>
      <c r="D704">
        <v>-33.922328165262002</v>
      </c>
      <c r="E704">
        <v>18.843034618394199</v>
      </c>
      <c r="F704">
        <v>6.5750000000000003E-2</v>
      </c>
      <c r="G704">
        <v>0.1643</v>
      </c>
      <c r="H704">
        <v>9.8599999999999993E-2</v>
      </c>
      <c r="I704">
        <v>4256.0339999999997</v>
      </c>
      <c r="J704">
        <v>5814.9110000000001</v>
      </c>
    </row>
    <row r="705" spans="1:10">
      <c r="A705">
        <v>118</v>
      </c>
      <c r="B705">
        <v>9</v>
      </c>
      <c r="C705" t="s">
        <v>105</v>
      </c>
      <c r="D705">
        <v>-33.921209399601601</v>
      </c>
      <c r="E705">
        <v>18.844475831473201</v>
      </c>
      <c r="F705">
        <v>6.5750000000000003E-2</v>
      </c>
      <c r="G705">
        <v>0.1643</v>
      </c>
      <c r="H705">
        <v>9.8599999999999993E-2</v>
      </c>
      <c r="I705">
        <v>4497.6329999999998</v>
      </c>
      <c r="J705">
        <v>6415.1729999999998</v>
      </c>
    </row>
    <row r="706" spans="1:10">
      <c r="A706">
        <v>119</v>
      </c>
      <c r="B706">
        <v>9</v>
      </c>
      <c r="C706" t="s">
        <v>105</v>
      </c>
      <c r="D706">
        <v>-33.920960009892902</v>
      </c>
      <c r="E706">
        <v>18.842716300428901</v>
      </c>
      <c r="F706">
        <v>6.5750000000000003E-2</v>
      </c>
      <c r="G706">
        <v>0.1643</v>
      </c>
      <c r="H706">
        <v>9.8599999999999993E-2</v>
      </c>
      <c r="I706">
        <v>4744.5959999999995</v>
      </c>
      <c r="J706">
        <v>6031.3379999999997</v>
      </c>
    </row>
    <row r="707" spans="1:10">
      <c r="A707">
        <v>120</v>
      </c>
      <c r="B707">
        <v>9</v>
      </c>
      <c r="C707" t="s">
        <v>105</v>
      </c>
      <c r="D707">
        <v>-33.919328819879397</v>
      </c>
      <c r="E707">
        <v>18.837399245330001</v>
      </c>
      <c r="F707">
        <v>6.5750000000000003E-2</v>
      </c>
      <c r="G707">
        <v>0.1643</v>
      </c>
      <c r="H707">
        <v>9.8599999999999993E-2</v>
      </c>
      <c r="I707">
        <v>5307.3540000000003</v>
      </c>
      <c r="J707">
        <v>6581.4920000000002</v>
      </c>
    </row>
    <row r="708" spans="1:10">
      <c r="A708">
        <v>121</v>
      </c>
      <c r="B708">
        <v>9</v>
      </c>
      <c r="C708" t="s">
        <v>105</v>
      </c>
      <c r="D708">
        <v>-33.925320422089598</v>
      </c>
      <c r="E708">
        <v>18.8423257769381</v>
      </c>
      <c r="F708">
        <v>6.5750000000000003E-2</v>
      </c>
      <c r="G708">
        <v>0.1643</v>
      </c>
      <c r="H708">
        <v>9.8599999999999993E-2</v>
      </c>
      <c r="I708">
        <v>4648.4110000000001</v>
      </c>
      <c r="J708">
        <v>6207.2870000000003</v>
      </c>
    </row>
    <row r="709" spans="1:10">
      <c r="A709">
        <v>122</v>
      </c>
      <c r="B709">
        <v>9</v>
      </c>
      <c r="C709" t="s">
        <v>105</v>
      </c>
      <c r="D709">
        <v>-33.923306221808701</v>
      </c>
      <c r="E709">
        <v>18.842857517873199</v>
      </c>
      <c r="F709">
        <v>6.5750000000000003E-2</v>
      </c>
      <c r="G709">
        <v>0.1643</v>
      </c>
      <c r="H709">
        <v>9.8599999999999993E-2</v>
      </c>
      <c r="I709">
        <v>4141.95</v>
      </c>
      <c r="J709">
        <v>5700.8270000000002</v>
      </c>
    </row>
    <row r="710" spans="1:10">
      <c r="A710">
        <v>123</v>
      </c>
      <c r="B710">
        <v>9</v>
      </c>
      <c r="C710" t="s">
        <v>105</v>
      </c>
      <c r="D710">
        <v>-33.920279190476698</v>
      </c>
      <c r="E710">
        <v>18.842060150387201</v>
      </c>
      <c r="F710">
        <v>6.5750000000000003E-2</v>
      </c>
      <c r="G710">
        <v>0.1643</v>
      </c>
      <c r="H710">
        <v>9.8599999999999993E-2</v>
      </c>
      <c r="I710">
        <v>4872.6139999999996</v>
      </c>
      <c r="J710">
        <v>6142.7430000000004</v>
      </c>
    </row>
    <row r="711" spans="1:10">
      <c r="A711">
        <v>124</v>
      </c>
      <c r="B711">
        <v>9</v>
      </c>
      <c r="C711" t="s">
        <v>105</v>
      </c>
      <c r="D711">
        <v>-33.926884867930198</v>
      </c>
      <c r="E711">
        <v>18.8412665693074</v>
      </c>
      <c r="F711">
        <v>6.5750000000000003E-2</v>
      </c>
      <c r="G711">
        <v>0.1643</v>
      </c>
      <c r="H711">
        <v>9.8599999999999993E-2</v>
      </c>
      <c r="I711">
        <v>4781.4660000000003</v>
      </c>
      <c r="J711">
        <v>6340.3429999999998</v>
      </c>
    </row>
    <row r="712" spans="1:10">
      <c r="A712">
        <v>125</v>
      </c>
      <c r="B712">
        <v>9</v>
      </c>
      <c r="C712" t="s">
        <v>105</v>
      </c>
      <c r="D712">
        <v>-33.9231118588024</v>
      </c>
      <c r="E712">
        <v>18.8377557971715</v>
      </c>
      <c r="F712">
        <v>6.5750000000000003E-2</v>
      </c>
      <c r="G712">
        <v>0.1643</v>
      </c>
      <c r="H712">
        <v>9.8599999999999993E-2</v>
      </c>
      <c r="I712">
        <v>4895.6030000000001</v>
      </c>
      <c r="J712">
        <v>6454.48</v>
      </c>
    </row>
    <row r="713" spans="1:10">
      <c r="A713">
        <v>126</v>
      </c>
      <c r="B713">
        <v>9</v>
      </c>
      <c r="C713" t="s">
        <v>105</v>
      </c>
      <c r="D713">
        <v>-33.919938270097902</v>
      </c>
      <c r="E713">
        <v>18.838387848511498</v>
      </c>
      <c r="F713">
        <v>6.5750000000000003E-2</v>
      </c>
      <c r="G713">
        <v>0.1643</v>
      </c>
      <c r="H713">
        <v>9.8599999999999993E-2</v>
      </c>
      <c r="I713">
        <v>4873.0050000000001</v>
      </c>
      <c r="J713">
        <v>6431.8819999999996</v>
      </c>
    </row>
    <row r="714" spans="1:10">
      <c r="A714">
        <v>127</v>
      </c>
      <c r="B714">
        <v>9</v>
      </c>
      <c r="C714" t="s">
        <v>105</v>
      </c>
      <c r="D714">
        <v>-33.927046243433701</v>
      </c>
      <c r="E714">
        <v>18.838905323318102</v>
      </c>
      <c r="F714">
        <v>6.5750000000000003E-2</v>
      </c>
      <c r="G714">
        <v>0.1643</v>
      </c>
      <c r="H714">
        <v>9.8599999999999993E-2</v>
      </c>
      <c r="I714">
        <v>5978.6509999999998</v>
      </c>
      <c r="J714">
        <v>3489.6590000000001</v>
      </c>
    </row>
    <row r="715" spans="1:10">
      <c r="A715">
        <v>128</v>
      </c>
      <c r="B715">
        <v>9</v>
      </c>
      <c r="C715" t="s">
        <v>105</v>
      </c>
      <c r="D715">
        <v>-33.924334931120903</v>
      </c>
      <c r="E715">
        <v>18.837559674128698</v>
      </c>
      <c r="F715">
        <v>6.5750000000000003E-2</v>
      </c>
      <c r="G715">
        <v>0.1643</v>
      </c>
      <c r="H715">
        <v>9.8599999999999993E-2</v>
      </c>
      <c r="I715">
        <v>4927.5169999999998</v>
      </c>
      <c r="J715">
        <v>6486.3940000000002</v>
      </c>
    </row>
    <row r="716" spans="1:10">
      <c r="A716">
        <v>129</v>
      </c>
      <c r="B716">
        <v>9</v>
      </c>
      <c r="C716" t="s">
        <v>105</v>
      </c>
      <c r="D716">
        <v>-33.924342978922297</v>
      </c>
      <c r="E716">
        <v>18.838693806020299</v>
      </c>
      <c r="F716">
        <v>6.5750000000000003E-2</v>
      </c>
      <c r="G716">
        <v>0.1643</v>
      </c>
      <c r="H716">
        <v>9.8599999999999993E-2</v>
      </c>
      <c r="I716">
        <v>4766.732</v>
      </c>
      <c r="J716">
        <v>6325.6090000000004</v>
      </c>
    </row>
    <row r="717" spans="1:10">
      <c r="A717">
        <v>130</v>
      </c>
      <c r="B717">
        <v>9</v>
      </c>
      <c r="C717" t="s">
        <v>105</v>
      </c>
      <c r="D717">
        <v>-33.919674771402804</v>
      </c>
      <c r="E717">
        <v>18.839182956157899</v>
      </c>
      <c r="F717">
        <v>6.5750000000000003E-2</v>
      </c>
      <c r="G717">
        <v>0.1643</v>
      </c>
      <c r="H717">
        <v>9.8599999999999993E-2</v>
      </c>
      <c r="I717">
        <v>5153.5680000000002</v>
      </c>
      <c r="J717">
        <v>6396.0280000000002</v>
      </c>
    </row>
    <row r="718" spans="1:10">
      <c r="A718">
        <v>131</v>
      </c>
      <c r="B718">
        <v>9</v>
      </c>
      <c r="C718" t="s">
        <v>105</v>
      </c>
      <c r="D718">
        <v>-33.924110404604498</v>
      </c>
      <c r="E718">
        <v>18.844852641179099</v>
      </c>
      <c r="F718">
        <v>6.5750000000000003E-2</v>
      </c>
      <c r="G718">
        <v>0.1643</v>
      </c>
      <c r="H718">
        <v>9.8599999999999993E-2</v>
      </c>
      <c r="I718">
        <v>3898.4949999999999</v>
      </c>
      <c r="J718">
        <v>5457.3720000000003</v>
      </c>
    </row>
    <row r="719" spans="1:10">
      <c r="A719">
        <v>132</v>
      </c>
      <c r="B719">
        <v>9</v>
      </c>
      <c r="C719" t="s">
        <v>105</v>
      </c>
      <c r="D719">
        <v>-33.9255475542368</v>
      </c>
      <c r="E719">
        <v>18.8395758735392</v>
      </c>
      <c r="F719">
        <v>6.5750000000000003E-2</v>
      </c>
      <c r="G719">
        <v>0.1643</v>
      </c>
      <c r="H719">
        <v>9.8599999999999993E-2</v>
      </c>
      <c r="I719">
        <v>4811.835</v>
      </c>
      <c r="J719">
        <v>6370.7120000000004</v>
      </c>
    </row>
    <row r="720" spans="1:10">
      <c r="A720">
        <v>133</v>
      </c>
      <c r="B720">
        <v>9</v>
      </c>
      <c r="C720" t="s">
        <v>105</v>
      </c>
      <c r="D720">
        <v>-33.925594104933602</v>
      </c>
      <c r="E720">
        <v>18.8423218158396</v>
      </c>
      <c r="F720">
        <v>6.5750000000000003E-2</v>
      </c>
      <c r="G720">
        <v>0.1643</v>
      </c>
      <c r="H720">
        <v>9.8599999999999993E-2</v>
      </c>
      <c r="I720">
        <v>4164.2240000000002</v>
      </c>
      <c r="J720">
        <v>5723.1009999999997</v>
      </c>
    </row>
    <row r="721" spans="1:10">
      <c r="A721">
        <v>134</v>
      </c>
      <c r="B721">
        <v>9</v>
      </c>
      <c r="C721" t="s">
        <v>105</v>
      </c>
      <c r="D721">
        <v>-33.926823618782898</v>
      </c>
      <c r="E721">
        <v>18.839094573586401</v>
      </c>
      <c r="F721">
        <v>6.5750000000000003E-2</v>
      </c>
      <c r="G721">
        <v>0.1643</v>
      </c>
      <c r="H721">
        <v>9.8599999999999993E-2</v>
      </c>
      <c r="I721">
        <v>6008.6210000000001</v>
      </c>
      <c r="J721">
        <v>3519.6289999999999</v>
      </c>
    </row>
    <row r="722" spans="1:10">
      <c r="A722">
        <v>135</v>
      </c>
      <c r="B722">
        <v>9</v>
      </c>
      <c r="C722" t="s">
        <v>105</v>
      </c>
      <c r="D722">
        <v>-33.924501414208699</v>
      </c>
      <c r="E722">
        <v>18.8365239282784</v>
      </c>
      <c r="F722">
        <v>6.5750000000000003E-2</v>
      </c>
      <c r="G722">
        <v>0.1643</v>
      </c>
      <c r="H722">
        <v>9.8599999999999993E-2</v>
      </c>
      <c r="I722">
        <v>4988.4189999999999</v>
      </c>
      <c r="J722">
        <v>6547.2960000000003</v>
      </c>
    </row>
    <row r="723" spans="1:10">
      <c r="A723">
        <v>136</v>
      </c>
      <c r="B723">
        <v>9</v>
      </c>
      <c r="C723" t="s">
        <v>105</v>
      </c>
      <c r="D723">
        <v>-33.920507236094103</v>
      </c>
      <c r="E723">
        <v>18.8360794648518</v>
      </c>
      <c r="F723">
        <v>6.5750000000000003E-2</v>
      </c>
      <c r="G723">
        <v>0.1643</v>
      </c>
      <c r="H723">
        <v>9.8599999999999993E-2</v>
      </c>
      <c r="I723">
        <v>4993.5870000000004</v>
      </c>
      <c r="J723">
        <v>6552.4639999999999</v>
      </c>
    </row>
    <row r="724" spans="1:10">
      <c r="A724">
        <v>137</v>
      </c>
      <c r="B724">
        <v>9</v>
      </c>
      <c r="C724" t="s">
        <v>105</v>
      </c>
      <c r="D724">
        <v>-33.924981201170702</v>
      </c>
      <c r="E724">
        <v>18.843795772311299</v>
      </c>
      <c r="F724">
        <v>6.5750000000000003E-2</v>
      </c>
      <c r="G724">
        <v>0.1643</v>
      </c>
      <c r="H724">
        <v>9.8599999999999993E-2</v>
      </c>
      <c r="I724">
        <v>3985.3409999999999</v>
      </c>
      <c r="J724">
        <v>5544.2179999999998</v>
      </c>
    </row>
    <row r="725" spans="1:10">
      <c r="A725">
        <v>138</v>
      </c>
      <c r="B725">
        <v>9</v>
      </c>
      <c r="C725" t="s">
        <v>105</v>
      </c>
      <c r="D725">
        <v>-33.925102899284298</v>
      </c>
      <c r="E725">
        <v>18.838749176232199</v>
      </c>
      <c r="F725">
        <v>6.5750000000000003E-2</v>
      </c>
      <c r="G725">
        <v>0.1643</v>
      </c>
      <c r="H725">
        <v>9.8599999999999993E-2</v>
      </c>
      <c r="I725">
        <v>4786.308</v>
      </c>
      <c r="J725">
        <v>6345.1850000000004</v>
      </c>
    </row>
    <row r="726" spans="1:10">
      <c r="A726">
        <v>139</v>
      </c>
      <c r="B726">
        <v>9</v>
      </c>
      <c r="C726" t="s">
        <v>105</v>
      </c>
      <c r="D726">
        <v>-33.919979244188099</v>
      </c>
      <c r="E726">
        <v>18.839985811560101</v>
      </c>
      <c r="F726">
        <v>6.5750000000000003E-2</v>
      </c>
      <c r="G726">
        <v>0.1643</v>
      </c>
      <c r="H726">
        <v>9.8599999999999993E-2</v>
      </c>
      <c r="I726">
        <v>4741.741</v>
      </c>
      <c r="J726">
        <v>6300.6180000000004</v>
      </c>
    </row>
    <row r="727" spans="1:10">
      <c r="A727">
        <v>140</v>
      </c>
      <c r="B727">
        <v>9</v>
      </c>
      <c r="C727" t="s">
        <v>105</v>
      </c>
      <c r="D727">
        <v>-33.926104861140303</v>
      </c>
      <c r="E727">
        <v>18.840486748667299</v>
      </c>
      <c r="F727">
        <v>6.5750000000000003E-2</v>
      </c>
      <c r="G727">
        <v>0.1643</v>
      </c>
      <c r="H727">
        <v>9.8599999999999993E-2</v>
      </c>
      <c r="I727">
        <v>4762.8869999999997</v>
      </c>
      <c r="J727">
        <v>6321.7640000000001</v>
      </c>
    </row>
    <row r="728" spans="1:10">
      <c r="A728">
        <v>141</v>
      </c>
      <c r="B728">
        <v>9</v>
      </c>
      <c r="C728" t="s">
        <v>105</v>
      </c>
      <c r="D728">
        <v>-33.919509508669698</v>
      </c>
      <c r="E728">
        <v>18.840468357794698</v>
      </c>
      <c r="F728">
        <v>6.5750000000000003E-2</v>
      </c>
      <c r="G728">
        <v>0.1643</v>
      </c>
      <c r="H728">
        <v>9.8599999999999993E-2</v>
      </c>
      <c r="I728">
        <v>5031.5969999999998</v>
      </c>
      <c r="J728">
        <v>6310.1379999999999</v>
      </c>
    </row>
    <row r="729" spans="1:10">
      <c r="A729">
        <v>142</v>
      </c>
      <c r="B729">
        <v>9</v>
      </c>
      <c r="C729" t="s">
        <v>105</v>
      </c>
      <c r="D729">
        <v>-33.919320230917698</v>
      </c>
      <c r="E729">
        <v>18.839535132040901</v>
      </c>
      <c r="F729">
        <v>6.5750000000000003E-2</v>
      </c>
      <c r="G729">
        <v>0.1643</v>
      </c>
      <c r="H729">
        <v>9.8599999999999993E-2</v>
      </c>
      <c r="I729">
        <v>5072.8819999999996</v>
      </c>
      <c r="J729">
        <v>6429.8270000000002</v>
      </c>
    </row>
    <row r="730" spans="1:10">
      <c r="A730">
        <v>143</v>
      </c>
      <c r="B730">
        <v>9</v>
      </c>
      <c r="C730" t="s">
        <v>105</v>
      </c>
      <c r="D730">
        <v>-33.922241641496598</v>
      </c>
      <c r="E730">
        <v>18.842547779024599</v>
      </c>
      <c r="F730">
        <v>6.5750000000000003E-2</v>
      </c>
      <c r="G730">
        <v>0.1643</v>
      </c>
      <c r="H730">
        <v>9.8599999999999993E-2</v>
      </c>
      <c r="I730">
        <v>4301.3519999999999</v>
      </c>
      <c r="J730">
        <v>5860.2290000000003</v>
      </c>
    </row>
    <row r="731" spans="1:10">
      <c r="A731">
        <v>144</v>
      </c>
      <c r="B731">
        <v>9</v>
      </c>
      <c r="C731" t="s">
        <v>105</v>
      </c>
      <c r="D731">
        <v>-33.926635943801998</v>
      </c>
      <c r="E731">
        <v>18.844101558338799</v>
      </c>
      <c r="F731">
        <v>6.5750000000000003E-2</v>
      </c>
      <c r="G731">
        <v>0.1643</v>
      </c>
      <c r="H731">
        <v>9.8599999999999993E-2</v>
      </c>
      <c r="I731">
        <v>4094.0160000000001</v>
      </c>
      <c r="J731">
        <v>5652.893</v>
      </c>
    </row>
    <row r="732" spans="1:10">
      <c r="A732">
        <v>145</v>
      </c>
      <c r="B732">
        <v>9</v>
      </c>
      <c r="C732" t="s">
        <v>105</v>
      </c>
      <c r="D732">
        <v>-33.921824993225101</v>
      </c>
      <c r="E732">
        <v>18.843508553906201</v>
      </c>
      <c r="F732">
        <v>6.5750000000000003E-2</v>
      </c>
      <c r="G732">
        <v>0.1643</v>
      </c>
      <c r="H732">
        <v>9.8599999999999993E-2</v>
      </c>
      <c r="I732">
        <v>4615.6850000000004</v>
      </c>
      <c r="J732">
        <v>5902.4269999999997</v>
      </c>
    </row>
    <row r="733" spans="1:10">
      <c r="A733">
        <v>146</v>
      </c>
      <c r="B733">
        <v>9</v>
      </c>
      <c r="C733" t="s">
        <v>105</v>
      </c>
      <c r="D733">
        <v>-33.920219913888502</v>
      </c>
      <c r="E733">
        <v>18.8416528587077</v>
      </c>
      <c r="F733">
        <v>6.5750000000000003E-2</v>
      </c>
      <c r="G733">
        <v>0.1643</v>
      </c>
      <c r="H733">
        <v>9.8599999999999993E-2</v>
      </c>
      <c r="I733">
        <v>4903.47</v>
      </c>
      <c r="J733">
        <v>6240.2579999999998</v>
      </c>
    </row>
    <row r="734" spans="1:10">
      <c r="A734">
        <v>147</v>
      </c>
      <c r="B734">
        <v>9</v>
      </c>
      <c r="C734" t="s">
        <v>105</v>
      </c>
      <c r="D734">
        <v>-33.926509481025597</v>
      </c>
      <c r="E734">
        <v>18.838639495026801</v>
      </c>
      <c r="F734">
        <v>6.5750000000000003E-2</v>
      </c>
      <c r="G734">
        <v>0.1643</v>
      </c>
      <c r="H734">
        <v>9.8599999999999993E-2</v>
      </c>
      <c r="I734">
        <v>6004.9870000000001</v>
      </c>
      <c r="J734">
        <v>3515.9949999999999</v>
      </c>
    </row>
    <row r="735" spans="1:10">
      <c r="A735">
        <v>148</v>
      </c>
      <c r="B735">
        <v>9</v>
      </c>
      <c r="C735" t="s">
        <v>105</v>
      </c>
      <c r="D735">
        <v>-33.921806685992003</v>
      </c>
      <c r="E735">
        <v>18.837866297122801</v>
      </c>
      <c r="F735">
        <v>6.5750000000000003E-2</v>
      </c>
      <c r="G735">
        <v>0.1643</v>
      </c>
      <c r="H735">
        <v>9.8599999999999993E-2</v>
      </c>
      <c r="I735">
        <v>4746.0749999999998</v>
      </c>
      <c r="J735">
        <v>6304.951</v>
      </c>
    </row>
    <row r="736" spans="1:10">
      <c r="A736">
        <v>149</v>
      </c>
      <c r="B736">
        <v>9</v>
      </c>
      <c r="C736" t="s">
        <v>105</v>
      </c>
      <c r="D736">
        <v>-33.921123605409598</v>
      </c>
      <c r="E736">
        <v>18.839132960745001</v>
      </c>
      <c r="F736">
        <v>6.5750000000000003E-2</v>
      </c>
      <c r="G736">
        <v>0.1643</v>
      </c>
      <c r="H736">
        <v>9.8599999999999993E-2</v>
      </c>
      <c r="I736">
        <v>4800.625</v>
      </c>
      <c r="J736">
        <v>6359.5020000000004</v>
      </c>
    </row>
    <row r="737" spans="1:12">
      <c r="A737">
        <v>150</v>
      </c>
      <c r="B737">
        <v>9</v>
      </c>
      <c r="C737" t="s">
        <v>105</v>
      </c>
      <c r="D737">
        <v>-33.923977894484601</v>
      </c>
      <c r="E737">
        <v>18.841782990096799</v>
      </c>
      <c r="F737">
        <v>6.5750000000000003E-2</v>
      </c>
      <c r="G737">
        <v>0.1643</v>
      </c>
      <c r="H737">
        <v>9.8599999999999993E-2</v>
      </c>
      <c r="I737">
        <v>4589.5969999999998</v>
      </c>
      <c r="J737">
        <v>6148.473</v>
      </c>
    </row>
    <row r="738" spans="1:12">
      <c r="A738">
        <v>151</v>
      </c>
      <c r="B738">
        <v>9</v>
      </c>
      <c r="C738" t="s">
        <v>105</v>
      </c>
      <c r="D738">
        <v>-33.920249932351503</v>
      </c>
      <c r="E738">
        <v>18.836412374637501</v>
      </c>
      <c r="F738">
        <v>6.5750000000000003E-2</v>
      </c>
      <c r="G738">
        <v>0.1643</v>
      </c>
      <c r="H738">
        <v>9.8599999999999993E-2</v>
      </c>
      <c r="I738">
        <v>4952.223</v>
      </c>
      <c r="J738">
        <v>6511.1</v>
      </c>
    </row>
    <row r="739" spans="1:12">
      <c r="A739">
        <v>152</v>
      </c>
      <c r="B739">
        <v>9</v>
      </c>
      <c r="C739" t="s">
        <v>105</v>
      </c>
      <c r="D739">
        <v>-33.9198878470091</v>
      </c>
      <c r="E739">
        <v>18.844843482159899</v>
      </c>
      <c r="F739">
        <v>6.5750000000000003E-2</v>
      </c>
      <c r="G739">
        <v>0.1643</v>
      </c>
      <c r="H739">
        <v>9.8599999999999993E-2</v>
      </c>
      <c r="I739">
        <v>4460.9979999999996</v>
      </c>
      <c r="J739">
        <v>6378.5389999999998</v>
      </c>
    </row>
    <row r="740" spans="1:12">
      <c r="A740">
        <v>153</v>
      </c>
      <c r="B740">
        <v>9</v>
      </c>
      <c r="C740" t="s">
        <v>105</v>
      </c>
      <c r="D740">
        <v>-33.926818353563597</v>
      </c>
      <c r="E740">
        <v>18.8372438756113</v>
      </c>
      <c r="F740">
        <v>6.5750000000000003E-2</v>
      </c>
      <c r="G740">
        <v>0.1643</v>
      </c>
      <c r="H740">
        <v>9.8599999999999993E-2</v>
      </c>
      <c r="I740">
        <v>5997.6030000000001</v>
      </c>
      <c r="J740">
        <v>3508.61</v>
      </c>
    </row>
    <row r="741" spans="1:12">
      <c r="A741">
        <v>154</v>
      </c>
      <c r="B741">
        <v>9</v>
      </c>
      <c r="C741" t="s">
        <v>105</v>
      </c>
      <c r="D741">
        <v>-33.921984540264901</v>
      </c>
      <c r="E741">
        <v>18.843707548990899</v>
      </c>
      <c r="F741">
        <v>6.5750000000000003E-2</v>
      </c>
      <c r="G741">
        <v>0.1643</v>
      </c>
      <c r="H741">
        <v>9.8599999999999993E-2</v>
      </c>
      <c r="I741">
        <v>4631.18</v>
      </c>
      <c r="J741">
        <v>5913.9319999999998</v>
      </c>
      <c r="L741">
        <f ca="1">RANDBETWEEN(0,214)</f>
        <v>87</v>
      </c>
    </row>
    <row r="742" spans="1:12">
      <c r="A742">
        <v>155</v>
      </c>
      <c r="B742">
        <v>9</v>
      </c>
      <c r="C742" t="s">
        <v>105</v>
      </c>
      <c r="D742">
        <v>-33.9251574387144</v>
      </c>
      <c r="E742">
        <v>18.838400415411499</v>
      </c>
      <c r="F742">
        <v>6.5750000000000003E-2</v>
      </c>
      <c r="G742">
        <v>0.1643</v>
      </c>
      <c r="H742">
        <v>9.8599999999999993E-2</v>
      </c>
      <c r="I742">
        <v>4810.1790000000001</v>
      </c>
      <c r="J742">
        <v>6369.0559999999996</v>
      </c>
    </row>
    <row r="743" spans="1:12">
      <c r="A743">
        <v>156</v>
      </c>
      <c r="B743">
        <v>9</v>
      </c>
      <c r="C743" t="s">
        <v>105</v>
      </c>
      <c r="D743">
        <v>-33.919576424827</v>
      </c>
      <c r="E743">
        <v>18.843412796540498</v>
      </c>
      <c r="F743">
        <v>6.5750000000000003E-2</v>
      </c>
      <c r="G743">
        <v>0.1643</v>
      </c>
      <c r="H743">
        <v>9.8599999999999993E-2</v>
      </c>
      <c r="I743">
        <v>4610.83</v>
      </c>
      <c r="J743">
        <v>6528.3710000000001</v>
      </c>
    </row>
    <row r="744" spans="1:12">
      <c r="A744">
        <v>157</v>
      </c>
      <c r="B744">
        <v>9</v>
      </c>
      <c r="C744" t="s">
        <v>105</v>
      </c>
      <c r="D744">
        <v>-33.924684189102102</v>
      </c>
      <c r="E744">
        <v>18.8430091277095</v>
      </c>
      <c r="F744">
        <v>6.5750000000000003E-2</v>
      </c>
      <c r="G744">
        <v>0.1643</v>
      </c>
      <c r="H744">
        <v>9.8599999999999993E-2</v>
      </c>
      <c r="I744">
        <v>4648.4110000000001</v>
      </c>
      <c r="J744">
        <v>6207.2870000000003</v>
      </c>
    </row>
    <row r="745" spans="1:12">
      <c r="A745">
        <v>158</v>
      </c>
      <c r="B745">
        <v>9</v>
      </c>
      <c r="C745" t="s">
        <v>105</v>
      </c>
      <c r="D745">
        <v>-33.921115228614703</v>
      </c>
      <c r="E745">
        <v>18.84187912849</v>
      </c>
      <c r="F745">
        <v>6.5750000000000003E-2</v>
      </c>
      <c r="G745">
        <v>0.1643</v>
      </c>
      <c r="H745">
        <v>9.8599999999999993E-2</v>
      </c>
      <c r="I745">
        <v>4487.3720000000003</v>
      </c>
      <c r="J745">
        <v>6046.2489999999998</v>
      </c>
    </row>
    <row r="746" spans="1:12">
      <c r="A746">
        <v>159</v>
      </c>
      <c r="B746">
        <v>9</v>
      </c>
      <c r="C746" t="s">
        <v>105</v>
      </c>
      <c r="D746">
        <v>-33.925872508875898</v>
      </c>
      <c r="E746">
        <v>18.836245285835499</v>
      </c>
      <c r="F746">
        <v>6.5750000000000003E-2</v>
      </c>
      <c r="G746">
        <v>0.1643</v>
      </c>
      <c r="H746">
        <v>9.8599999999999993E-2</v>
      </c>
      <c r="I746">
        <v>6068.7089999999998</v>
      </c>
      <c r="J746">
        <v>3579.7170000000001</v>
      </c>
    </row>
    <row r="747" spans="1:12">
      <c r="A747">
        <v>160</v>
      </c>
      <c r="B747">
        <v>9</v>
      </c>
      <c r="C747" t="s">
        <v>105</v>
      </c>
      <c r="D747">
        <v>-33.924125151900597</v>
      </c>
      <c r="E747">
        <v>18.843438650186101</v>
      </c>
      <c r="F747">
        <v>6.5750000000000003E-2</v>
      </c>
      <c r="G747">
        <v>0.1643</v>
      </c>
      <c r="H747">
        <v>9.8599999999999993E-2</v>
      </c>
      <c r="I747">
        <v>4085.6759999999999</v>
      </c>
      <c r="J747">
        <v>5644.5529999999999</v>
      </c>
    </row>
    <row r="748" spans="1:12">
      <c r="A748">
        <v>161</v>
      </c>
      <c r="B748">
        <v>9</v>
      </c>
      <c r="C748" t="s">
        <v>105</v>
      </c>
      <c r="D748">
        <v>-33.9236807039646</v>
      </c>
      <c r="E748">
        <v>18.844728671416199</v>
      </c>
      <c r="F748">
        <v>6.5750000000000003E-2</v>
      </c>
      <c r="G748">
        <v>0.1643</v>
      </c>
      <c r="H748">
        <v>9.8599999999999993E-2</v>
      </c>
      <c r="I748">
        <v>4025.8989999999999</v>
      </c>
      <c r="J748">
        <v>5584.7759999999998</v>
      </c>
    </row>
    <row r="749" spans="1:12">
      <c r="A749">
        <v>162</v>
      </c>
      <c r="B749">
        <v>9</v>
      </c>
      <c r="C749" t="s">
        <v>105</v>
      </c>
      <c r="D749">
        <v>-33.923008748017601</v>
      </c>
      <c r="E749">
        <v>18.844613081331602</v>
      </c>
      <c r="F749">
        <v>6.5750000000000003E-2</v>
      </c>
      <c r="G749">
        <v>0.1643</v>
      </c>
      <c r="H749">
        <v>9.8599999999999993E-2</v>
      </c>
      <c r="I749">
        <v>3913.4169999999999</v>
      </c>
      <c r="J749">
        <v>5472.2929999999997</v>
      </c>
    </row>
    <row r="750" spans="1:12">
      <c r="A750">
        <v>163</v>
      </c>
      <c r="B750">
        <v>9</v>
      </c>
      <c r="C750" t="s">
        <v>105</v>
      </c>
      <c r="D750">
        <v>-33.926998320735201</v>
      </c>
      <c r="E750">
        <v>18.841710673566698</v>
      </c>
      <c r="F750">
        <v>6.5750000000000003E-2</v>
      </c>
      <c r="G750">
        <v>0.1643</v>
      </c>
      <c r="H750">
        <v>9.8599999999999993E-2</v>
      </c>
      <c r="I750">
        <v>4203.5469999999996</v>
      </c>
      <c r="J750">
        <v>5762.4229999999998</v>
      </c>
    </row>
    <row r="751" spans="1:12">
      <c r="A751">
        <v>164</v>
      </c>
      <c r="B751">
        <v>9</v>
      </c>
      <c r="C751" t="s">
        <v>105</v>
      </c>
      <c r="D751">
        <v>-33.920419800827403</v>
      </c>
      <c r="E751">
        <v>18.844263246961599</v>
      </c>
      <c r="F751">
        <v>6.5750000000000003E-2</v>
      </c>
      <c r="G751">
        <v>0.1643</v>
      </c>
      <c r="H751">
        <v>9.8599999999999993E-2</v>
      </c>
      <c r="I751">
        <v>4538.8620000000001</v>
      </c>
      <c r="J751">
        <v>6456.4030000000002</v>
      </c>
    </row>
    <row r="752" spans="1:12">
      <c r="A752">
        <v>165</v>
      </c>
      <c r="B752">
        <v>9</v>
      </c>
      <c r="C752" t="s">
        <v>105</v>
      </c>
      <c r="D752">
        <v>-33.923172640736503</v>
      </c>
      <c r="E752">
        <v>18.840212938446601</v>
      </c>
      <c r="F752">
        <v>6.5750000000000003E-2</v>
      </c>
      <c r="G752">
        <v>0.1643</v>
      </c>
      <c r="H752">
        <v>9.8599999999999993E-2</v>
      </c>
      <c r="I752">
        <v>4600.152</v>
      </c>
      <c r="J752">
        <v>6159.0290000000005</v>
      </c>
    </row>
    <row r="753" spans="1:10">
      <c r="A753">
        <v>166</v>
      </c>
      <c r="B753">
        <v>9</v>
      </c>
      <c r="C753" t="s">
        <v>105</v>
      </c>
      <c r="D753">
        <v>-33.9217535110418</v>
      </c>
      <c r="E753">
        <v>18.843557716402199</v>
      </c>
      <c r="F753">
        <v>6.5750000000000003E-2</v>
      </c>
      <c r="G753">
        <v>0.1643</v>
      </c>
      <c r="H753">
        <v>9.8599999999999993E-2</v>
      </c>
      <c r="I753">
        <v>4619.0969999999998</v>
      </c>
      <c r="J753">
        <v>5905.8389999999999</v>
      </c>
    </row>
    <row r="754" spans="1:10">
      <c r="A754">
        <v>167</v>
      </c>
      <c r="B754">
        <v>9</v>
      </c>
      <c r="C754" t="s">
        <v>105</v>
      </c>
      <c r="D754">
        <v>-33.920615137706598</v>
      </c>
      <c r="E754">
        <v>18.842860890483699</v>
      </c>
      <c r="F754">
        <v>6.5750000000000003E-2</v>
      </c>
      <c r="G754">
        <v>0.1643</v>
      </c>
      <c r="H754">
        <v>9.8599999999999993E-2</v>
      </c>
      <c r="I754">
        <v>4800.402</v>
      </c>
      <c r="J754">
        <v>6087.1440000000002</v>
      </c>
    </row>
    <row r="755" spans="1:10">
      <c r="A755">
        <v>168</v>
      </c>
      <c r="B755">
        <v>9</v>
      </c>
      <c r="C755" t="s">
        <v>105</v>
      </c>
      <c r="D755">
        <v>-33.922004305469699</v>
      </c>
      <c r="E755">
        <v>18.838990161132902</v>
      </c>
      <c r="F755">
        <v>6.5750000000000003E-2</v>
      </c>
      <c r="G755">
        <v>0.1643</v>
      </c>
      <c r="H755">
        <v>9.8599999999999993E-2</v>
      </c>
      <c r="I755">
        <v>4738.7839999999997</v>
      </c>
      <c r="J755">
        <v>6297.6610000000001</v>
      </c>
    </row>
    <row r="756" spans="1:10">
      <c r="A756">
        <v>169</v>
      </c>
      <c r="B756">
        <v>9</v>
      </c>
      <c r="C756" t="s">
        <v>105</v>
      </c>
      <c r="D756">
        <v>-33.923308216093901</v>
      </c>
      <c r="E756">
        <v>18.843887945275998</v>
      </c>
      <c r="F756">
        <v>6.5750000000000003E-2</v>
      </c>
      <c r="G756">
        <v>0.1643</v>
      </c>
      <c r="H756">
        <v>9.8599999999999993E-2</v>
      </c>
      <c r="I756">
        <v>4080.82</v>
      </c>
      <c r="J756">
        <v>5639.6970000000001</v>
      </c>
    </row>
    <row r="757" spans="1:10">
      <c r="A757">
        <v>170</v>
      </c>
      <c r="B757">
        <v>9</v>
      </c>
      <c r="C757" t="s">
        <v>105</v>
      </c>
      <c r="D757">
        <v>-33.923941580514999</v>
      </c>
      <c r="E757">
        <v>18.840567503037398</v>
      </c>
      <c r="F757">
        <v>6.5750000000000003E-2</v>
      </c>
      <c r="G757">
        <v>0.1643</v>
      </c>
      <c r="H757">
        <v>9.8599999999999993E-2</v>
      </c>
      <c r="I757">
        <v>4547.2820000000002</v>
      </c>
      <c r="J757">
        <v>6106.1589999999997</v>
      </c>
    </row>
    <row r="758" spans="1:10">
      <c r="A758">
        <v>171</v>
      </c>
      <c r="B758">
        <v>9</v>
      </c>
      <c r="C758" t="s">
        <v>105</v>
      </c>
      <c r="D758">
        <v>-33.926652538153299</v>
      </c>
      <c r="E758">
        <v>18.840978734348798</v>
      </c>
      <c r="F758">
        <v>6.5750000000000003E-2</v>
      </c>
      <c r="G758">
        <v>0.1643</v>
      </c>
      <c r="H758">
        <v>9.8599999999999993E-2</v>
      </c>
      <c r="I758">
        <v>4795.6570000000002</v>
      </c>
      <c r="J758">
        <v>6354.5339999999997</v>
      </c>
    </row>
    <row r="759" spans="1:10">
      <c r="A759">
        <v>172</v>
      </c>
      <c r="B759">
        <v>9</v>
      </c>
      <c r="C759" t="s">
        <v>105</v>
      </c>
      <c r="D759">
        <v>-33.921613692167902</v>
      </c>
      <c r="E759">
        <v>18.842833420585801</v>
      </c>
      <c r="F759">
        <v>6.5750000000000003E-2</v>
      </c>
      <c r="G759">
        <v>0.1643</v>
      </c>
      <c r="H759">
        <v>9.8599999999999993E-2</v>
      </c>
      <c r="I759">
        <v>4691.5780000000004</v>
      </c>
      <c r="J759">
        <v>5942.942</v>
      </c>
    </row>
    <row r="760" spans="1:10">
      <c r="A760">
        <v>173</v>
      </c>
      <c r="B760">
        <v>9</v>
      </c>
      <c r="C760" t="s">
        <v>105</v>
      </c>
      <c r="D760">
        <v>-33.9270752555041</v>
      </c>
      <c r="E760">
        <v>18.8435121611802</v>
      </c>
      <c r="F760">
        <v>6.5750000000000003E-2</v>
      </c>
      <c r="G760">
        <v>0.1643</v>
      </c>
      <c r="H760">
        <v>9.8599999999999993E-2</v>
      </c>
      <c r="I760">
        <v>4121.3890000000001</v>
      </c>
      <c r="J760">
        <v>5680.2659999999996</v>
      </c>
    </row>
    <row r="761" spans="1:10">
      <c r="A761">
        <v>174</v>
      </c>
      <c r="B761">
        <v>9</v>
      </c>
      <c r="C761" t="s">
        <v>105</v>
      </c>
      <c r="D761">
        <v>-33.923770507178297</v>
      </c>
      <c r="E761">
        <v>18.8386342847656</v>
      </c>
      <c r="F761">
        <v>6.5750000000000003E-2</v>
      </c>
      <c r="G761">
        <v>0.1643</v>
      </c>
      <c r="H761">
        <v>9.8599999999999993E-2</v>
      </c>
      <c r="I761">
        <v>4819.4129999999996</v>
      </c>
      <c r="J761">
        <v>6378.29</v>
      </c>
    </row>
    <row r="762" spans="1:10">
      <c r="A762">
        <v>175</v>
      </c>
      <c r="B762">
        <v>9</v>
      </c>
      <c r="C762" t="s">
        <v>105</v>
      </c>
      <c r="D762">
        <v>-33.9199994566385</v>
      </c>
      <c r="E762">
        <v>18.8393176108593</v>
      </c>
      <c r="F762">
        <v>6.5750000000000003E-2</v>
      </c>
      <c r="G762">
        <v>0.1643</v>
      </c>
      <c r="H762">
        <v>9.8599999999999993E-2</v>
      </c>
      <c r="I762">
        <v>4786.8729999999996</v>
      </c>
      <c r="J762">
        <v>6345.75</v>
      </c>
    </row>
    <row r="763" spans="1:10">
      <c r="A763">
        <v>176</v>
      </c>
      <c r="B763">
        <v>9</v>
      </c>
      <c r="C763" t="s">
        <v>105</v>
      </c>
      <c r="D763">
        <v>-33.923494824409403</v>
      </c>
      <c r="E763">
        <v>18.8432970976673</v>
      </c>
      <c r="F763">
        <v>6.5750000000000003E-2</v>
      </c>
      <c r="G763">
        <v>0.1643</v>
      </c>
      <c r="H763">
        <v>9.8599999999999993E-2</v>
      </c>
      <c r="I763">
        <v>4115.2719999999999</v>
      </c>
      <c r="J763">
        <v>5674.1490000000003</v>
      </c>
    </row>
    <row r="764" spans="1:10">
      <c r="A764">
        <v>177</v>
      </c>
      <c r="B764">
        <v>9</v>
      </c>
      <c r="C764" t="s">
        <v>105</v>
      </c>
      <c r="D764">
        <v>-33.922155141366602</v>
      </c>
      <c r="E764">
        <v>18.844300132060798</v>
      </c>
      <c r="F764">
        <v>6.5750000000000003E-2</v>
      </c>
      <c r="G764">
        <v>0.1643</v>
      </c>
      <c r="H764">
        <v>9.8599999999999993E-2</v>
      </c>
      <c r="I764">
        <v>4599.6189999999997</v>
      </c>
      <c r="J764">
        <v>5860.7920000000004</v>
      </c>
    </row>
    <row r="765" spans="1:10">
      <c r="A765">
        <v>178</v>
      </c>
      <c r="B765">
        <v>9</v>
      </c>
      <c r="C765" t="s">
        <v>105</v>
      </c>
      <c r="D765">
        <v>-33.924272981708398</v>
      </c>
      <c r="E765">
        <v>18.836881498058698</v>
      </c>
      <c r="F765">
        <v>6.5750000000000003E-2</v>
      </c>
      <c r="G765">
        <v>0.1643</v>
      </c>
      <c r="H765">
        <v>9.8599999999999993E-2</v>
      </c>
      <c r="I765">
        <v>4979.95</v>
      </c>
      <c r="J765">
        <v>6538.8270000000002</v>
      </c>
    </row>
    <row r="766" spans="1:10">
      <c r="A766">
        <v>179</v>
      </c>
      <c r="B766">
        <v>9</v>
      </c>
      <c r="C766" t="s">
        <v>105</v>
      </c>
      <c r="D766">
        <v>-33.925512037997201</v>
      </c>
      <c r="E766">
        <v>18.841472911515201</v>
      </c>
      <c r="F766">
        <v>6.5750000000000003E-2</v>
      </c>
      <c r="G766">
        <v>0.1643</v>
      </c>
      <c r="H766">
        <v>9.8599999999999993E-2</v>
      </c>
      <c r="I766">
        <v>4677.7160000000003</v>
      </c>
      <c r="J766">
        <v>6236.5929999999998</v>
      </c>
    </row>
    <row r="767" spans="1:10">
      <c r="A767">
        <v>180</v>
      </c>
      <c r="B767">
        <v>9</v>
      </c>
      <c r="C767" t="s">
        <v>105</v>
      </c>
      <c r="D767">
        <v>-33.9248349601841</v>
      </c>
      <c r="E767">
        <v>18.836650409835201</v>
      </c>
      <c r="F767">
        <v>6.5750000000000003E-2</v>
      </c>
      <c r="G767">
        <v>0.1643</v>
      </c>
      <c r="H767">
        <v>9.8599999999999993E-2</v>
      </c>
      <c r="I767">
        <v>4961.0739999999996</v>
      </c>
      <c r="J767">
        <v>6519.951</v>
      </c>
    </row>
    <row r="768" spans="1:10">
      <c r="A768">
        <v>181</v>
      </c>
      <c r="B768">
        <v>9</v>
      </c>
      <c r="C768" t="s">
        <v>105</v>
      </c>
      <c r="D768">
        <v>-33.925734572528199</v>
      </c>
      <c r="E768">
        <v>18.844877863168101</v>
      </c>
      <c r="F768">
        <v>6.5750000000000003E-2</v>
      </c>
      <c r="G768">
        <v>0.1643</v>
      </c>
      <c r="H768">
        <v>9.8599999999999993E-2</v>
      </c>
      <c r="I768">
        <v>3997.895</v>
      </c>
      <c r="J768">
        <v>5556.7719999999999</v>
      </c>
    </row>
    <row r="769" spans="1:10">
      <c r="A769">
        <v>182</v>
      </c>
      <c r="B769">
        <v>9</v>
      </c>
      <c r="C769" t="s">
        <v>105</v>
      </c>
      <c r="D769">
        <v>-33.9215142970383</v>
      </c>
      <c r="E769">
        <v>18.842956401188399</v>
      </c>
      <c r="F769">
        <v>6.5750000000000003E-2</v>
      </c>
      <c r="G769">
        <v>0.1643</v>
      </c>
      <c r="H769">
        <v>9.8599999999999993E-2</v>
      </c>
      <c r="I769">
        <v>4693.04</v>
      </c>
      <c r="J769">
        <v>5944.4030000000002</v>
      </c>
    </row>
    <row r="770" spans="1:10">
      <c r="A770">
        <v>183</v>
      </c>
      <c r="B770">
        <v>9</v>
      </c>
      <c r="C770" t="s">
        <v>105</v>
      </c>
      <c r="D770">
        <v>-33.920559303933103</v>
      </c>
      <c r="E770">
        <v>18.837147649756901</v>
      </c>
      <c r="F770">
        <v>6.5750000000000003E-2</v>
      </c>
      <c r="G770">
        <v>0.1643</v>
      </c>
      <c r="H770">
        <v>9.8599999999999993E-2</v>
      </c>
      <c r="I770">
        <v>4889.9620000000004</v>
      </c>
      <c r="J770">
        <v>6448.8389999999999</v>
      </c>
    </row>
    <row r="771" spans="1:10">
      <c r="A771">
        <v>184</v>
      </c>
      <c r="B771">
        <v>9</v>
      </c>
      <c r="C771" t="s">
        <v>105</v>
      </c>
      <c r="D771">
        <v>-33.921538121733001</v>
      </c>
      <c r="E771">
        <v>18.8395733250169</v>
      </c>
      <c r="F771">
        <v>6.5750000000000003E-2</v>
      </c>
      <c r="G771">
        <v>0.1643</v>
      </c>
      <c r="H771">
        <v>9.8599999999999993E-2</v>
      </c>
      <c r="I771">
        <v>4715.0820000000003</v>
      </c>
      <c r="J771">
        <v>6273.9589999999998</v>
      </c>
    </row>
    <row r="772" spans="1:10">
      <c r="A772">
        <v>185</v>
      </c>
      <c r="B772">
        <v>9</v>
      </c>
      <c r="C772" t="s">
        <v>105</v>
      </c>
      <c r="D772">
        <v>-33.9219951379471</v>
      </c>
      <c r="E772">
        <v>18.8384149593311</v>
      </c>
      <c r="F772">
        <v>6.5750000000000003E-2</v>
      </c>
      <c r="G772">
        <v>0.1643</v>
      </c>
      <c r="H772">
        <v>9.8599999999999993E-2</v>
      </c>
      <c r="I772">
        <v>4699.9260000000004</v>
      </c>
      <c r="J772">
        <v>6258.8019999999997</v>
      </c>
    </row>
    <row r="773" spans="1:10">
      <c r="A773">
        <v>186</v>
      </c>
      <c r="B773">
        <v>9</v>
      </c>
      <c r="C773" t="s">
        <v>105</v>
      </c>
      <c r="D773">
        <v>-33.926997625164802</v>
      </c>
      <c r="E773">
        <v>18.836145310341799</v>
      </c>
      <c r="F773">
        <v>6.5750000000000003E-2</v>
      </c>
      <c r="G773">
        <v>0.1643</v>
      </c>
      <c r="H773">
        <v>9.8599999999999993E-2</v>
      </c>
      <c r="I773">
        <v>5832.6570000000002</v>
      </c>
      <c r="J773">
        <v>3343.665</v>
      </c>
    </row>
    <row r="774" spans="1:10">
      <c r="A774">
        <v>187</v>
      </c>
      <c r="B774">
        <v>9</v>
      </c>
      <c r="C774" t="s">
        <v>105</v>
      </c>
      <c r="D774">
        <v>-33.921306631609298</v>
      </c>
      <c r="E774">
        <v>18.841987355436</v>
      </c>
      <c r="F774">
        <v>6.5750000000000003E-2</v>
      </c>
      <c r="G774">
        <v>0.1643</v>
      </c>
      <c r="H774">
        <v>9.8599999999999993E-2</v>
      </c>
      <c r="I774">
        <v>4452.57</v>
      </c>
      <c r="J774">
        <v>6011.4470000000001</v>
      </c>
    </row>
    <row r="775" spans="1:10">
      <c r="A775">
        <v>188</v>
      </c>
      <c r="B775">
        <v>9</v>
      </c>
      <c r="C775" t="s">
        <v>105</v>
      </c>
      <c r="D775">
        <v>-33.926469277512503</v>
      </c>
      <c r="E775">
        <v>18.8448576774373</v>
      </c>
      <c r="F775">
        <v>6.5750000000000003E-2</v>
      </c>
      <c r="G775">
        <v>0.1643</v>
      </c>
      <c r="H775">
        <v>9.8599999999999993E-2</v>
      </c>
      <c r="I775">
        <v>3995.9259999999999</v>
      </c>
      <c r="J775">
        <v>5554.8029999999999</v>
      </c>
    </row>
    <row r="776" spans="1:10">
      <c r="A776">
        <v>189</v>
      </c>
      <c r="B776">
        <v>9</v>
      </c>
      <c r="C776" t="s">
        <v>105</v>
      </c>
      <c r="D776">
        <v>-33.925920701258697</v>
      </c>
      <c r="E776">
        <v>18.843378522626899</v>
      </c>
      <c r="F776">
        <v>6.5750000000000003E-2</v>
      </c>
      <c r="G776">
        <v>0.1643</v>
      </c>
      <c r="H776">
        <v>9.8599999999999993E-2</v>
      </c>
      <c r="I776">
        <v>4105.3029999999999</v>
      </c>
      <c r="J776">
        <v>5664.18</v>
      </c>
    </row>
    <row r="777" spans="1:10">
      <c r="A777">
        <v>190</v>
      </c>
      <c r="B777">
        <v>9</v>
      </c>
      <c r="C777" t="s">
        <v>105</v>
      </c>
      <c r="D777">
        <v>-33.921357104490497</v>
      </c>
      <c r="E777">
        <v>18.836786842927701</v>
      </c>
      <c r="F777">
        <v>6.5750000000000003E-2</v>
      </c>
      <c r="G777">
        <v>0.1643</v>
      </c>
      <c r="H777">
        <v>9.8599999999999993E-2</v>
      </c>
      <c r="I777">
        <v>5105.1080000000002</v>
      </c>
      <c r="J777">
        <v>6663.9849999999997</v>
      </c>
    </row>
    <row r="778" spans="1:10">
      <c r="A778">
        <v>191</v>
      </c>
      <c r="B778">
        <v>9</v>
      </c>
      <c r="C778" t="s">
        <v>105</v>
      </c>
      <c r="D778">
        <v>-33.924057045827801</v>
      </c>
      <c r="E778">
        <v>18.844799226627899</v>
      </c>
      <c r="F778">
        <v>6.5750000000000003E-2</v>
      </c>
      <c r="G778">
        <v>0.1643</v>
      </c>
      <c r="H778">
        <v>9.8599999999999993E-2</v>
      </c>
      <c r="I778">
        <v>3895.8760000000002</v>
      </c>
      <c r="J778">
        <v>5454.7529999999997</v>
      </c>
    </row>
    <row r="779" spans="1:10">
      <c r="A779">
        <v>192</v>
      </c>
      <c r="B779">
        <v>9</v>
      </c>
      <c r="C779" t="s">
        <v>105</v>
      </c>
      <c r="D779">
        <v>-33.924926336550897</v>
      </c>
      <c r="E779">
        <v>18.841178789746198</v>
      </c>
      <c r="F779">
        <v>6.5750000000000003E-2</v>
      </c>
      <c r="G779">
        <v>0.1643</v>
      </c>
      <c r="H779">
        <v>9.8599999999999993E-2</v>
      </c>
      <c r="I779">
        <v>4622.1819999999998</v>
      </c>
      <c r="J779">
        <v>6181.0590000000002</v>
      </c>
    </row>
    <row r="780" spans="1:10">
      <c r="A780">
        <v>193</v>
      </c>
      <c r="B780">
        <v>9</v>
      </c>
      <c r="C780" t="s">
        <v>105</v>
      </c>
      <c r="D780">
        <v>-33.923942598899899</v>
      </c>
      <c r="E780">
        <v>18.8438938088828</v>
      </c>
      <c r="F780">
        <v>6.5750000000000003E-2</v>
      </c>
      <c r="G780">
        <v>0.1643</v>
      </c>
      <c r="H780">
        <v>9.8599999999999993E-2</v>
      </c>
      <c r="I780">
        <v>4024.97</v>
      </c>
      <c r="J780">
        <v>5583.8459999999995</v>
      </c>
    </row>
    <row r="781" spans="1:10">
      <c r="A781">
        <v>194</v>
      </c>
      <c r="B781">
        <v>9</v>
      </c>
      <c r="C781" t="s">
        <v>105</v>
      </c>
      <c r="D781">
        <v>-33.925458741770797</v>
      </c>
      <c r="E781">
        <v>18.837508168672599</v>
      </c>
      <c r="F781">
        <v>6.5750000000000003E-2</v>
      </c>
      <c r="G781">
        <v>0.1643</v>
      </c>
      <c r="H781">
        <v>9.8599999999999993E-2</v>
      </c>
      <c r="I781">
        <v>4850.9040000000005</v>
      </c>
      <c r="J781">
        <v>6409.7809999999999</v>
      </c>
    </row>
    <row r="782" spans="1:10">
      <c r="A782">
        <v>195</v>
      </c>
      <c r="B782">
        <v>9</v>
      </c>
      <c r="C782" t="s">
        <v>105</v>
      </c>
      <c r="D782">
        <v>-33.919450322257497</v>
      </c>
      <c r="E782">
        <v>18.844400538984502</v>
      </c>
      <c r="F782">
        <v>6.5750000000000003E-2</v>
      </c>
      <c r="G782">
        <v>0.1643</v>
      </c>
      <c r="H782">
        <v>9.8599999999999993E-2</v>
      </c>
      <c r="I782">
        <v>4483.9440000000004</v>
      </c>
      <c r="J782">
        <v>6401.4849999999997</v>
      </c>
    </row>
    <row r="783" spans="1:10">
      <c r="A783">
        <v>196</v>
      </c>
      <c r="B783">
        <v>9</v>
      </c>
      <c r="C783" t="s">
        <v>105</v>
      </c>
      <c r="D783">
        <v>-33.9217799564369</v>
      </c>
      <c r="E783">
        <v>18.8391526037604</v>
      </c>
      <c r="F783">
        <v>6.5750000000000003E-2</v>
      </c>
      <c r="G783">
        <v>0.1643</v>
      </c>
      <c r="H783">
        <v>9.8599999999999993E-2</v>
      </c>
      <c r="I783">
        <v>4647.7920000000004</v>
      </c>
      <c r="J783">
        <v>6206.6679999999997</v>
      </c>
    </row>
    <row r="784" spans="1:10">
      <c r="A784">
        <v>197</v>
      </c>
      <c r="B784">
        <v>9</v>
      </c>
      <c r="C784" t="s">
        <v>105</v>
      </c>
      <c r="D784">
        <v>-33.925062650552299</v>
      </c>
      <c r="E784">
        <v>18.839736640160499</v>
      </c>
      <c r="F784">
        <v>6.5750000000000003E-2</v>
      </c>
      <c r="G784">
        <v>0.1643</v>
      </c>
      <c r="H784">
        <v>9.8599999999999993E-2</v>
      </c>
      <c r="I784">
        <v>4689.6850000000004</v>
      </c>
      <c r="J784">
        <v>6248.5619999999999</v>
      </c>
    </row>
    <row r="785" spans="1:10">
      <c r="A785">
        <v>198</v>
      </c>
      <c r="B785">
        <v>9</v>
      </c>
      <c r="C785" t="s">
        <v>105</v>
      </c>
      <c r="D785">
        <v>-33.923589124830499</v>
      </c>
      <c r="E785">
        <v>18.8407592704244</v>
      </c>
      <c r="F785">
        <v>6.5750000000000003E-2</v>
      </c>
      <c r="G785">
        <v>0.1643</v>
      </c>
      <c r="H785">
        <v>9.8599999999999993E-2</v>
      </c>
      <c r="I785">
        <v>4531.723</v>
      </c>
      <c r="J785">
        <v>6090.5990000000002</v>
      </c>
    </row>
    <row r="786" spans="1:10">
      <c r="A786">
        <v>199</v>
      </c>
      <c r="B786">
        <v>9</v>
      </c>
      <c r="C786" t="s">
        <v>105</v>
      </c>
      <c r="D786">
        <v>-33.920119904723201</v>
      </c>
      <c r="E786">
        <v>18.8383013136194</v>
      </c>
      <c r="F786">
        <v>6.5750000000000003E-2</v>
      </c>
      <c r="G786">
        <v>0.1643</v>
      </c>
      <c r="H786">
        <v>9.8599999999999993E-2</v>
      </c>
      <c r="I786">
        <v>4882.6139999999996</v>
      </c>
      <c r="J786">
        <v>6441.49</v>
      </c>
    </row>
    <row r="787" spans="1:10">
      <c r="A787">
        <v>200</v>
      </c>
      <c r="B787">
        <v>9</v>
      </c>
      <c r="C787" t="s">
        <v>105</v>
      </c>
      <c r="D787">
        <v>-33.925841161694201</v>
      </c>
      <c r="E787">
        <v>18.837003318564701</v>
      </c>
      <c r="F787">
        <v>6.5750000000000003E-2</v>
      </c>
      <c r="G787">
        <v>0.1643</v>
      </c>
      <c r="H787">
        <v>9.8599999999999993E-2</v>
      </c>
      <c r="I787">
        <v>6093.8860000000004</v>
      </c>
      <c r="J787">
        <v>3604.8939999999998</v>
      </c>
    </row>
    <row r="788" spans="1:10">
      <c r="A788">
        <v>201</v>
      </c>
      <c r="B788">
        <v>9</v>
      </c>
      <c r="C788" t="s">
        <v>105</v>
      </c>
      <c r="D788">
        <v>-33.920493981254701</v>
      </c>
      <c r="E788">
        <v>18.841492577397499</v>
      </c>
      <c r="F788">
        <v>6.5750000000000003E-2</v>
      </c>
      <c r="G788">
        <v>0.1643</v>
      </c>
      <c r="H788">
        <v>9.8599999999999993E-2</v>
      </c>
      <c r="I788">
        <v>4900.598</v>
      </c>
      <c r="J788">
        <v>6170.7269999999999</v>
      </c>
    </row>
    <row r="789" spans="1:10">
      <c r="A789">
        <v>202</v>
      </c>
      <c r="B789">
        <v>9</v>
      </c>
      <c r="C789" t="s">
        <v>105</v>
      </c>
      <c r="D789">
        <v>-33.919891948234103</v>
      </c>
      <c r="E789">
        <v>18.838180209565898</v>
      </c>
      <c r="F789">
        <v>6.5750000000000003E-2</v>
      </c>
      <c r="G789">
        <v>0.1643</v>
      </c>
      <c r="H789">
        <v>9.8599999999999993E-2</v>
      </c>
      <c r="I789">
        <v>4892.4279999999999</v>
      </c>
      <c r="J789">
        <v>6451.3050000000003</v>
      </c>
    </row>
    <row r="790" spans="1:10">
      <c r="A790">
        <v>203</v>
      </c>
      <c r="B790">
        <v>9</v>
      </c>
      <c r="C790" t="s">
        <v>105</v>
      </c>
      <c r="D790">
        <v>-33.926567633662202</v>
      </c>
      <c r="E790">
        <v>18.838786243063499</v>
      </c>
      <c r="F790">
        <v>6.5750000000000003E-2</v>
      </c>
      <c r="G790">
        <v>0.1643</v>
      </c>
      <c r="H790">
        <v>9.8599999999999993E-2</v>
      </c>
      <c r="I790">
        <v>6009.6350000000002</v>
      </c>
      <c r="J790">
        <v>3520.643</v>
      </c>
    </row>
    <row r="791" spans="1:10">
      <c r="A791">
        <v>204</v>
      </c>
      <c r="B791">
        <v>9</v>
      </c>
      <c r="C791" t="s">
        <v>105</v>
      </c>
      <c r="D791">
        <v>-33.922936776732399</v>
      </c>
      <c r="E791">
        <v>18.836966536698299</v>
      </c>
      <c r="F791">
        <v>6.5750000000000003E-2</v>
      </c>
      <c r="G791">
        <v>0.1643</v>
      </c>
      <c r="H791">
        <v>9.8599999999999993E-2</v>
      </c>
      <c r="I791">
        <v>5029.8140000000003</v>
      </c>
      <c r="J791">
        <v>6588.6909999999998</v>
      </c>
    </row>
    <row r="792" spans="1:10">
      <c r="A792">
        <v>205</v>
      </c>
      <c r="B792">
        <v>9</v>
      </c>
      <c r="C792" t="s">
        <v>105</v>
      </c>
      <c r="D792">
        <v>-33.922099656897203</v>
      </c>
      <c r="E792">
        <v>18.841997849162802</v>
      </c>
      <c r="F792">
        <v>6.5750000000000003E-2</v>
      </c>
      <c r="G792">
        <v>0.1643</v>
      </c>
      <c r="H792">
        <v>9.8599999999999993E-2</v>
      </c>
      <c r="I792">
        <v>4370.0940000000001</v>
      </c>
      <c r="J792">
        <v>5928.9709999999995</v>
      </c>
    </row>
    <row r="793" spans="1:10">
      <c r="A793">
        <v>206</v>
      </c>
      <c r="B793">
        <v>9</v>
      </c>
      <c r="C793" t="s">
        <v>105</v>
      </c>
      <c r="D793">
        <v>-33.926092352676299</v>
      </c>
      <c r="E793">
        <v>18.842926402196699</v>
      </c>
      <c r="F793">
        <v>6.5750000000000003E-2</v>
      </c>
      <c r="G793">
        <v>0.1643</v>
      </c>
      <c r="H793">
        <v>9.8599999999999993E-2</v>
      </c>
      <c r="I793">
        <v>4153.7330000000002</v>
      </c>
      <c r="J793">
        <v>5712.61</v>
      </c>
    </row>
    <row r="794" spans="1:10">
      <c r="A794">
        <v>207</v>
      </c>
      <c r="B794">
        <v>9</v>
      </c>
      <c r="C794" t="s">
        <v>105</v>
      </c>
      <c r="D794">
        <v>-33.9223362876957</v>
      </c>
      <c r="E794">
        <v>18.8408308729718</v>
      </c>
      <c r="F794">
        <v>6.5750000000000003E-2</v>
      </c>
      <c r="G794">
        <v>0.1643</v>
      </c>
      <c r="H794">
        <v>9.8599999999999993E-2</v>
      </c>
      <c r="I794">
        <v>4569.2920000000004</v>
      </c>
      <c r="J794">
        <v>6128.1689999999999</v>
      </c>
    </row>
    <row r="795" spans="1:10">
      <c r="A795">
        <v>208</v>
      </c>
      <c r="B795">
        <v>9</v>
      </c>
      <c r="C795" t="s">
        <v>105</v>
      </c>
      <c r="D795">
        <v>-33.920852670717998</v>
      </c>
      <c r="E795">
        <v>18.8368629175663</v>
      </c>
      <c r="F795">
        <v>6.5750000000000003E-2</v>
      </c>
      <c r="G795">
        <v>0.1643</v>
      </c>
      <c r="H795">
        <v>9.8599999999999993E-2</v>
      </c>
      <c r="I795">
        <v>4887.4189999999999</v>
      </c>
      <c r="J795">
        <v>6446.2950000000001</v>
      </c>
    </row>
    <row r="796" spans="1:10">
      <c r="A796">
        <v>209</v>
      </c>
      <c r="B796">
        <v>9</v>
      </c>
      <c r="C796" t="s">
        <v>105</v>
      </c>
      <c r="D796">
        <v>-33.925189132564398</v>
      </c>
      <c r="E796">
        <v>18.839627038583298</v>
      </c>
      <c r="F796">
        <v>6.5750000000000003E-2</v>
      </c>
      <c r="G796">
        <v>0.1643</v>
      </c>
      <c r="H796">
        <v>9.8599999999999993E-2</v>
      </c>
      <c r="I796">
        <v>4706.8149999999996</v>
      </c>
      <c r="J796">
        <v>6265.692</v>
      </c>
    </row>
    <row r="797" spans="1:10">
      <c r="A797">
        <v>210</v>
      </c>
      <c r="B797">
        <v>9</v>
      </c>
      <c r="C797" t="s">
        <v>105</v>
      </c>
      <c r="D797">
        <v>-33.924069074610699</v>
      </c>
      <c r="E797">
        <v>18.837156901248399</v>
      </c>
      <c r="F797">
        <v>6.5750000000000003E-2</v>
      </c>
      <c r="G797">
        <v>0.1643</v>
      </c>
      <c r="H797">
        <v>9.8599999999999993E-2</v>
      </c>
      <c r="I797">
        <v>4975.4539999999997</v>
      </c>
      <c r="J797">
        <v>6534.3310000000001</v>
      </c>
    </row>
    <row r="798" spans="1:10">
      <c r="A798">
        <v>211</v>
      </c>
      <c r="B798">
        <v>9</v>
      </c>
      <c r="C798" t="s">
        <v>105</v>
      </c>
      <c r="D798">
        <v>-33.926199937904002</v>
      </c>
      <c r="E798">
        <v>18.844087044284102</v>
      </c>
      <c r="F798">
        <v>6.5750000000000003E-2</v>
      </c>
      <c r="G798">
        <v>0.1643</v>
      </c>
      <c r="H798">
        <v>9.8599999999999993E-2</v>
      </c>
      <c r="I798">
        <v>4071.1109999999999</v>
      </c>
      <c r="J798">
        <v>5629.9880000000003</v>
      </c>
    </row>
    <row r="799" spans="1:10">
      <c r="A799">
        <v>212</v>
      </c>
      <c r="B799">
        <v>9</v>
      </c>
      <c r="C799" t="s">
        <v>105</v>
      </c>
      <c r="D799">
        <v>-33.9196248138351</v>
      </c>
      <c r="E799">
        <v>18.836847339865901</v>
      </c>
      <c r="F799">
        <v>6.5750000000000003E-2</v>
      </c>
      <c r="G799">
        <v>0.1643</v>
      </c>
      <c r="H799">
        <v>9.8599999999999993E-2</v>
      </c>
      <c r="I799">
        <v>5333.2479999999996</v>
      </c>
      <c r="J799">
        <v>6607.3850000000002</v>
      </c>
    </row>
    <row r="800" spans="1:10">
      <c r="A800">
        <v>213</v>
      </c>
      <c r="B800">
        <v>9</v>
      </c>
      <c r="C800" t="s">
        <v>105</v>
      </c>
      <c r="D800">
        <v>-33.9263525120179</v>
      </c>
      <c r="E800">
        <v>18.837862528371598</v>
      </c>
      <c r="F800">
        <v>6.5750000000000003E-2</v>
      </c>
      <c r="G800">
        <v>0.1643</v>
      </c>
      <c r="H800">
        <v>9.8599999999999993E-2</v>
      </c>
      <c r="I800">
        <v>5998.85</v>
      </c>
      <c r="J800">
        <v>3509.857</v>
      </c>
    </row>
    <row r="801" spans="1:10">
      <c r="A801">
        <v>214</v>
      </c>
      <c r="B801">
        <v>9</v>
      </c>
      <c r="C801" t="s">
        <v>105</v>
      </c>
      <c r="D801">
        <v>-33.926034410543799</v>
      </c>
      <c r="E801">
        <v>18.843600687646902</v>
      </c>
      <c r="F801">
        <v>6.5750000000000003E-2</v>
      </c>
      <c r="G801">
        <v>0.1643</v>
      </c>
      <c r="H801">
        <v>9.8599999999999993E-2</v>
      </c>
      <c r="I801">
        <v>4094.0569999999998</v>
      </c>
      <c r="J801">
        <v>5652.9340000000002</v>
      </c>
    </row>
    <row r="802" spans="1:10">
      <c r="A802">
        <v>0</v>
      </c>
      <c r="B802">
        <v>10</v>
      </c>
      <c r="C802" t="s">
        <v>106</v>
      </c>
      <c r="D802">
        <v>-33.915899795700199</v>
      </c>
      <c r="E802">
        <v>18.8463766346282</v>
      </c>
      <c r="F802">
        <v>6.5750000000000003E-2</v>
      </c>
      <c r="G802">
        <v>0.1643</v>
      </c>
      <c r="H802">
        <v>9.8599999999999993E-2</v>
      </c>
      <c r="I802">
        <v>4264.3239999999996</v>
      </c>
      <c r="J802">
        <v>6181.8649999999998</v>
      </c>
    </row>
    <row r="803" spans="1:10">
      <c r="A803">
        <v>1</v>
      </c>
      <c r="B803">
        <v>10</v>
      </c>
      <c r="C803" t="s">
        <v>106</v>
      </c>
      <c r="D803">
        <v>-33.914932425173298</v>
      </c>
      <c r="E803">
        <v>18.845394250356399</v>
      </c>
      <c r="F803">
        <v>6.5750000000000003E-2</v>
      </c>
      <c r="G803">
        <v>0.1643</v>
      </c>
      <c r="H803">
        <v>9.8599999999999993E-2</v>
      </c>
      <c r="I803">
        <v>4800.9620000000004</v>
      </c>
      <c r="J803">
        <v>6718.5020000000004</v>
      </c>
    </row>
    <row r="804" spans="1:10">
      <c r="A804">
        <v>2</v>
      </c>
      <c r="B804">
        <v>10</v>
      </c>
      <c r="C804" t="s">
        <v>106</v>
      </c>
      <c r="D804">
        <v>-33.917973885397402</v>
      </c>
      <c r="E804">
        <v>18.846365283986799</v>
      </c>
      <c r="F804">
        <v>6.5750000000000003E-2</v>
      </c>
      <c r="G804">
        <v>0.1643</v>
      </c>
      <c r="H804">
        <v>9.8599999999999993E-2</v>
      </c>
      <c r="I804">
        <v>4237.116</v>
      </c>
      <c r="J804">
        <v>6154.6559999999999</v>
      </c>
    </row>
    <row r="805" spans="1:10">
      <c r="A805">
        <v>3</v>
      </c>
      <c r="B805">
        <v>10</v>
      </c>
      <c r="C805" t="s">
        <v>106</v>
      </c>
      <c r="D805">
        <v>-33.916495422209998</v>
      </c>
      <c r="E805">
        <v>18.845484053800998</v>
      </c>
      <c r="F805">
        <v>6.5750000000000003E-2</v>
      </c>
      <c r="G805">
        <v>0.1643</v>
      </c>
      <c r="H805">
        <v>9.8599999999999993E-2</v>
      </c>
      <c r="I805">
        <v>4315.6610000000001</v>
      </c>
      <c r="J805">
        <v>6233.2020000000002</v>
      </c>
    </row>
    <row r="806" spans="1:10">
      <c r="A806">
        <v>4</v>
      </c>
      <c r="B806">
        <v>10</v>
      </c>
      <c r="C806" t="s">
        <v>106</v>
      </c>
      <c r="D806">
        <v>-33.913111923226197</v>
      </c>
      <c r="E806">
        <v>18.8449946324187</v>
      </c>
      <c r="F806">
        <v>6.5750000000000003E-2</v>
      </c>
      <c r="G806">
        <v>0.1643</v>
      </c>
      <c r="H806">
        <v>9.8599999999999993E-2</v>
      </c>
      <c r="I806">
        <v>4852.0590000000002</v>
      </c>
      <c r="J806">
        <v>6769.6</v>
      </c>
    </row>
    <row r="807" spans="1:10">
      <c r="A807">
        <v>5</v>
      </c>
      <c r="B807">
        <v>10</v>
      </c>
      <c r="C807" t="s">
        <v>106</v>
      </c>
      <c r="D807">
        <v>-33.918371499340999</v>
      </c>
      <c r="E807">
        <v>18.846671261409799</v>
      </c>
      <c r="F807">
        <v>6.5750000000000003E-2</v>
      </c>
      <c r="G807">
        <v>0.1643</v>
      </c>
      <c r="H807">
        <v>9.8599999999999993E-2</v>
      </c>
      <c r="I807">
        <v>4271.232</v>
      </c>
      <c r="J807">
        <v>6188.7730000000001</v>
      </c>
    </row>
    <row r="808" spans="1:10">
      <c r="A808">
        <v>6</v>
      </c>
      <c r="B808">
        <v>10</v>
      </c>
      <c r="C808" t="s">
        <v>106</v>
      </c>
      <c r="D808">
        <v>-33.916631143912902</v>
      </c>
      <c r="E808">
        <v>18.846154944919999</v>
      </c>
      <c r="F808">
        <v>6.5750000000000003E-2</v>
      </c>
      <c r="G808">
        <v>0.1643</v>
      </c>
      <c r="H808">
        <v>9.8599999999999993E-2</v>
      </c>
      <c r="I808">
        <v>4235.0969999999998</v>
      </c>
      <c r="J808">
        <v>6152.6379999999999</v>
      </c>
    </row>
    <row r="809" spans="1:10">
      <c r="A809">
        <v>7</v>
      </c>
      <c r="B809">
        <v>10</v>
      </c>
      <c r="C809" t="s">
        <v>106</v>
      </c>
      <c r="D809">
        <v>-33.9157467540794</v>
      </c>
      <c r="E809">
        <v>18.8476172176243</v>
      </c>
      <c r="F809">
        <v>6.5750000000000003E-2</v>
      </c>
      <c r="G809">
        <v>0.1643</v>
      </c>
      <c r="H809">
        <v>9.8599999999999993E-2</v>
      </c>
      <c r="I809">
        <v>4221.6959999999999</v>
      </c>
      <c r="J809">
        <v>6139.2370000000001</v>
      </c>
    </row>
    <row r="810" spans="1:10">
      <c r="A810">
        <v>8</v>
      </c>
      <c r="B810">
        <v>10</v>
      </c>
      <c r="C810" t="s">
        <v>106</v>
      </c>
      <c r="D810">
        <v>-33.9157226827732</v>
      </c>
      <c r="E810">
        <v>18.846231661791101</v>
      </c>
      <c r="F810">
        <v>6.5750000000000003E-2</v>
      </c>
      <c r="G810">
        <v>0.1643</v>
      </c>
      <c r="H810">
        <v>9.8599999999999993E-2</v>
      </c>
      <c r="I810">
        <v>4287.3289999999997</v>
      </c>
      <c r="J810">
        <v>6204.87</v>
      </c>
    </row>
    <row r="811" spans="1:10">
      <c r="A811">
        <v>9</v>
      </c>
      <c r="B811">
        <v>10</v>
      </c>
      <c r="C811" t="s">
        <v>106</v>
      </c>
      <c r="D811">
        <v>-33.914290687996903</v>
      </c>
      <c r="E811">
        <v>18.8475173918381</v>
      </c>
      <c r="F811">
        <v>6.5750000000000003E-2</v>
      </c>
      <c r="G811">
        <v>0.1643</v>
      </c>
      <c r="H811">
        <v>9.8599999999999993E-2</v>
      </c>
      <c r="I811">
        <v>4351.9639999999999</v>
      </c>
      <c r="J811">
        <v>6269.5050000000001</v>
      </c>
    </row>
    <row r="812" spans="1:10">
      <c r="A812">
        <v>10</v>
      </c>
      <c r="B812">
        <v>10</v>
      </c>
      <c r="C812" t="s">
        <v>106</v>
      </c>
      <c r="D812">
        <v>-33.9154406543093</v>
      </c>
      <c r="E812">
        <v>18.8464064286831</v>
      </c>
      <c r="F812">
        <v>6.5750000000000003E-2</v>
      </c>
      <c r="G812">
        <v>0.1643</v>
      </c>
      <c r="H812">
        <v>9.8599999999999993E-2</v>
      </c>
      <c r="I812">
        <v>4314.7820000000002</v>
      </c>
      <c r="J812">
        <v>6232.3220000000001</v>
      </c>
    </row>
    <row r="813" spans="1:10">
      <c r="A813">
        <v>11</v>
      </c>
      <c r="B813">
        <v>10</v>
      </c>
      <c r="C813" t="s">
        <v>106</v>
      </c>
      <c r="D813">
        <v>-33.9144157847687</v>
      </c>
      <c r="E813">
        <v>18.845448655057499</v>
      </c>
      <c r="F813">
        <v>6.5750000000000003E-2</v>
      </c>
      <c r="G813">
        <v>0.1643</v>
      </c>
      <c r="H813">
        <v>9.8599999999999993E-2</v>
      </c>
      <c r="I813">
        <v>4551.8429999999998</v>
      </c>
      <c r="J813">
        <v>6469.384</v>
      </c>
    </row>
    <row r="814" spans="1:10">
      <c r="A814">
        <v>12</v>
      </c>
      <c r="B814">
        <v>10</v>
      </c>
      <c r="C814" t="s">
        <v>106</v>
      </c>
      <c r="D814">
        <v>-33.917653097103504</v>
      </c>
      <c r="E814">
        <v>18.8475738716945</v>
      </c>
      <c r="F814">
        <v>6.5750000000000003E-2</v>
      </c>
      <c r="G814">
        <v>0.1643</v>
      </c>
      <c r="H814">
        <v>9.8599999999999993E-2</v>
      </c>
      <c r="I814">
        <v>4099.3379999999997</v>
      </c>
      <c r="J814">
        <v>6016.8789999999999</v>
      </c>
    </row>
    <row r="815" spans="1:10">
      <c r="A815">
        <v>13</v>
      </c>
      <c r="B815">
        <v>10</v>
      </c>
      <c r="C815" t="s">
        <v>106</v>
      </c>
      <c r="D815">
        <v>-33.918076002907902</v>
      </c>
      <c r="E815">
        <v>18.846630367983501</v>
      </c>
      <c r="F815">
        <v>6.5750000000000003E-2</v>
      </c>
      <c r="G815">
        <v>0.1643</v>
      </c>
      <c r="H815">
        <v>9.8599999999999993E-2</v>
      </c>
      <c r="I815">
        <v>4216.3900000000003</v>
      </c>
      <c r="J815">
        <v>6133.93</v>
      </c>
    </row>
    <row r="816" spans="1:10">
      <c r="A816">
        <v>14</v>
      </c>
      <c r="B816">
        <v>10</v>
      </c>
      <c r="C816" t="s">
        <v>106</v>
      </c>
      <c r="D816">
        <v>-33.917769510403097</v>
      </c>
      <c r="E816">
        <v>18.8472933753877</v>
      </c>
      <c r="F816">
        <v>6.5750000000000003E-2</v>
      </c>
      <c r="G816">
        <v>0.1643</v>
      </c>
      <c r="H816">
        <v>9.8599999999999993E-2</v>
      </c>
      <c r="I816">
        <v>4125.54</v>
      </c>
      <c r="J816">
        <v>6043.08</v>
      </c>
    </row>
    <row r="817" spans="1:10">
      <c r="A817">
        <v>15</v>
      </c>
      <c r="B817">
        <v>10</v>
      </c>
      <c r="C817" t="s">
        <v>106</v>
      </c>
      <c r="D817">
        <v>-33.915710163358597</v>
      </c>
      <c r="E817">
        <v>18.847584788837001</v>
      </c>
      <c r="F817">
        <v>6.5750000000000003E-2</v>
      </c>
      <c r="G817">
        <v>0.1643</v>
      </c>
      <c r="H817">
        <v>9.8599999999999993E-2</v>
      </c>
      <c r="I817">
        <v>4224.9170000000004</v>
      </c>
      <c r="J817">
        <v>6142.4579999999996</v>
      </c>
    </row>
    <row r="818" spans="1:10">
      <c r="A818">
        <v>16</v>
      </c>
      <c r="B818">
        <v>10</v>
      </c>
      <c r="C818" t="s">
        <v>106</v>
      </c>
      <c r="D818">
        <v>-33.913562210620597</v>
      </c>
      <c r="E818">
        <v>18.845227622453798</v>
      </c>
      <c r="F818">
        <v>6.5750000000000003E-2</v>
      </c>
      <c r="G818">
        <v>0.1643</v>
      </c>
      <c r="H818">
        <v>9.8599999999999993E-2</v>
      </c>
      <c r="I818">
        <v>4857.7160000000003</v>
      </c>
      <c r="J818">
        <v>6775.2569999999996</v>
      </c>
    </row>
    <row r="819" spans="1:10">
      <c r="A819">
        <v>17</v>
      </c>
      <c r="B819">
        <v>10</v>
      </c>
      <c r="C819" t="s">
        <v>106</v>
      </c>
      <c r="D819">
        <v>-33.918508705578503</v>
      </c>
      <c r="E819">
        <v>18.8465748082793</v>
      </c>
      <c r="F819">
        <v>6.5750000000000003E-2</v>
      </c>
      <c r="G819">
        <v>0.1643</v>
      </c>
      <c r="H819">
        <v>9.8599999999999993E-2</v>
      </c>
      <c r="I819">
        <v>4271.4520000000002</v>
      </c>
      <c r="J819">
        <v>6188.9930000000004</v>
      </c>
    </row>
    <row r="820" spans="1:10">
      <c r="A820">
        <v>18</v>
      </c>
      <c r="B820">
        <v>10</v>
      </c>
      <c r="C820" t="s">
        <v>106</v>
      </c>
      <c r="D820">
        <v>-33.918691232281901</v>
      </c>
      <c r="E820">
        <v>18.845092150841399</v>
      </c>
      <c r="F820">
        <v>6.5750000000000003E-2</v>
      </c>
      <c r="G820">
        <v>0.1643</v>
      </c>
      <c r="H820">
        <v>9.8599999999999993E-2</v>
      </c>
      <c r="I820">
        <v>4379.7160000000003</v>
      </c>
      <c r="J820">
        <v>6297.2569999999996</v>
      </c>
    </row>
    <row r="821" spans="1:10">
      <c r="A821">
        <v>19</v>
      </c>
      <c r="B821">
        <v>10</v>
      </c>
      <c r="C821" t="s">
        <v>106</v>
      </c>
      <c r="D821">
        <v>-33.915064791413101</v>
      </c>
      <c r="E821">
        <v>18.847209519403101</v>
      </c>
      <c r="F821">
        <v>6.5750000000000003E-2</v>
      </c>
      <c r="G821">
        <v>0.1643</v>
      </c>
      <c r="H821">
        <v>9.8599999999999993E-2</v>
      </c>
      <c r="I821">
        <v>4314.9970000000003</v>
      </c>
      <c r="J821">
        <v>6232.5379999999996</v>
      </c>
    </row>
    <row r="822" spans="1:10">
      <c r="A822">
        <v>20</v>
      </c>
      <c r="B822">
        <v>10</v>
      </c>
      <c r="C822" t="s">
        <v>106</v>
      </c>
      <c r="D822">
        <v>-33.917195002000398</v>
      </c>
      <c r="E822">
        <v>18.847282688443499</v>
      </c>
      <c r="F822">
        <v>6.5750000000000003E-2</v>
      </c>
      <c r="G822">
        <v>0.1643</v>
      </c>
      <c r="H822">
        <v>9.8599999999999993E-2</v>
      </c>
      <c r="I822">
        <v>4121.9409999999998</v>
      </c>
      <c r="J822">
        <v>6039.482</v>
      </c>
    </row>
    <row r="823" spans="1:10">
      <c r="A823">
        <v>21</v>
      </c>
      <c r="B823">
        <v>10</v>
      </c>
      <c r="C823" t="s">
        <v>106</v>
      </c>
      <c r="D823">
        <v>-33.916623229934203</v>
      </c>
      <c r="E823">
        <v>18.845630630777698</v>
      </c>
      <c r="F823">
        <v>6.5750000000000003E-2</v>
      </c>
      <c r="G823">
        <v>0.1643</v>
      </c>
      <c r="H823">
        <v>9.8599999999999993E-2</v>
      </c>
      <c r="I823">
        <v>4297.2780000000002</v>
      </c>
      <c r="J823">
        <v>6214.8190000000004</v>
      </c>
    </row>
    <row r="824" spans="1:10">
      <c r="A824">
        <v>22</v>
      </c>
      <c r="B824">
        <v>10</v>
      </c>
      <c r="C824" t="s">
        <v>106</v>
      </c>
      <c r="D824">
        <v>-33.918891510570603</v>
      </c>
      <c r="E824">
        <v>18.846139521499701</v>
      </c>
      <c r="F824">
        <v>6.5750000000000003E-2</v>
      </c>
      <c r="G824">
        <v>0.1643</v>
      </c>
      <c r="H824">
        <v>9.8599999999999993E-2</v>
      </c>
      <c r="I824">
        <v>4353.893</v>
      </c>
      <c r="J824">
        <v>6271.4340000000002</v>
      </c>
    </row>
    <row r="825" spans="1:10">
      <c r="A825">
        <v>23</v>
      </c>
      <c r="B825">
        <v>10</v>
      </c>
      <c r="C825" t="s">
        <v>106</v>
      </c>
      <c r="D825">
        <v>-33.918763203818799</v>
      </c>
      <c r="E825">
        <v>18.846975229932699</v>
      </c>
      <c r="F825">
        <v>6.5750000000000003E-2</v>
      </c>
      <c r="G825">
        <v>0.1643</v>
      </c>
      <c r="H825">
        <v>9.8599999999999993E-2</v>
      </c>
      <c r="I825">
        <v>4236.5219999999999</v>
      </c>
      <c r="J825">
        <v>6154.0619999999999</v>
      </c>
    </row>
    <row r="826" spans="1:10">
      <c r="A826">
        <v>24</v>
      </c>
      <c r="B826">
        <v>10</v>
      </c>
      <c r="C826" t="s">
        <v>106</v>
      </c>
      <c r="D826">
        <v>-33.918767210690397</v>
      </c>
      <c r="E826">
        <v>18.846490655325301</v>
      </c>
      <c r="F826">
        <v>6.5750000000000003E-2</v>
      </c>
      <c r="G826">
        <v>0.1643</v>
      </c>
      <c r="H826">
        <v>9.8599999999999993E-2</v>
      </c>
      <c r="I826">
        <v>4374.9539999999997</v>
      </c>
      <c r="J826">
        <v>6292.4949999999999</v>
      </c>
    </row>
    <row r="827" spans="1:10">
      <c r="A827">
        <v>25</v>
      </c>
      <c r="B827">
        <v>10</v>
      </c>
      <c r="C827" t="s">
        <v>106</v>
      </c>
      <c r="D827">
        <v>-33.9129932694714</v>
      </c>
      <c r="E827">
        <v>18.845562905773399</v>
      </c>
      <c r="F827">
        <v>6.5750000000000003E-2</v>
      </c>
      <c r="G827">
        <v>0.1643</v>
      </c>
      <c r="H827">
        <v>9.8599999999999993E-2</v>
      </c>
      <c r="I827">
        <v>4798.8900000000003</v>
      </c>
      <c r="J827">
        <v>6716.4309999999996</v>
      </c>
    </row>
    <row r="828" spans="1:10">
      <c r="A828">
        <v>26</v>
      </c>
      <c r="B828">
        <v>10</v>
      </c>
      <c r="C828" t="s">
        <v>106</v>
      </c>
      <c r="D828">
        <v>-33.916883366066699</v>
      </c>
      <c r="E828">
        <v>18.8465480247655</v>
      </c>
      <c r="F828">
        <v>6.5750000000000003E-2</v>
      </c>
      <c r="G828">
        <v>0.1643</v>
      </c>
      <c r="H828">
        <v>9.8599999999999993E-2</v>
      </c>
      <c r="I828">
        <v>4171.8770000000004</v>
      </c>
      <c r="J828">
        <v>6089.4179999999997</v>
      </c>
    </row>
    <row r="829" spans="1:10">
      <c r="A829">
        <v>27</v>
      </c>
      <c r="B829">
        <v>10</v>
      </c>
      <c r="C829" t="s">
        <v>106</v>
      </c>
      <c r="D829">
        <v>-33.916109611927098</v>
      </c>
      <c r="E829">
        <v>18.845897736681302</v>
      </c>
      <c r="F829">
        <v>6.5750000000000003E-2</v>
      </c>
      <c r="G829">
        <v>0.1643</v>
      </c>
      <c r="H829">
        <v>9.8599999999999993E-2</v>
      </c>
      <c r="I829">
        <v>4310.3630000000003</v>
      </c>
      <c r="J829">
        <v>6227.9040000000005</v>
      </c>
    </row>
    <row r="830" spans="1:10">
      <c r="A830">
        <v>28</v>
      </c>
      <c r="B830">
        <v>10</v>
      </c>
      <c r="C830" t="s">
        <v>106</v>
      </c>
      <c r="D830">
        <v>-33.914572078854498</v>
      </c>
      <c r="E830">
        <v>18.846843512884</v>
      </c>
      <c r="F830">
        <v>6.5750000000000003E-2</v>
      </c>
      <c r="G830">
        <v>0.1643</v>
      </c>
      <c r="H830">
        <v>9.8599999999999993E-2</v>
      </c>
      <c r="I830">
        <v>4426.9809999999998</v>
      </c>
      <c r="J830">
        <v>6344.5219999999999</v>
      </c>
    </row>
    <row r="831" spans="1:10">
      <c r="A831">
        <v>29</v>
      </c>
      <c r="B831">
        <v>10</v>
      </c>
      <c r="C831" t="s">
        <v>106</v>
      </c>
      <c r="D831">
        <v>-33.915161027193697</v>
      </c>
      <c r="E831">
        <v>18.8466481535445</v>
      </c>
      <c r="F831">
        <v>6.5750000000000003E-2</v>
      </c>
      <c r="G831">
        <v>0.1643</v>
      </c>
      <c r="H831">
        <v>9.8599999999999993E-2</v>
      </c>
      <c r="I831">
        <v>4632.6369999999997</v>
      </c>
      <c r="J831">
        <v>6550.1779999999999</v>
      </c>
    </row>
    <row r="832" spans="1:10">
      <c r="A832">
        <v>30</v>
      </c>
      <c r="B832">
        <v>10</v>
      </c>
      <c r="C832" t="s">
        <v>106</v>
      </c>
      <c r="D832">
        <v>-33.917096722557197</v>
      </c>
      <c r="E832">
        <v>18.847294034368499</v>
      </c>
      <c r="F832">
        <v>6.5750000000000003E-2</v>
      </c>
      <c r="G832">
        <v>0.1643</v>
      </c>
      <c r="H832">
        <v>9.8599999999999993E-2</v>
      </c>
      <c r="I832">
        <v>4118.7730000000001</v>
      </c>
      <c r="J832">
        <v>6036.3140000000003</v>
      </c>
    </row>
    <row r="833" spans="1:10">
      <c r="A833">
        <v>31</v>
      </c>
      <c r="B833">
        <v>10</v>
      </c>
      <c r="C833" t="s">
        <v>106</v>
      </c>
      <c r="D833">
        <v>-33.917846611391703</v>
      </c>
      <c r="E833">
        <v>18.846950184249501</v>
      </c>
      <c r="F833">
        <v>6.5750000000000003E-2</v>
      </c>
      <c r="G833">
        <v>0.1643</v>
      </c>
      <c r="H833">
        <v>9.8599999999999993E-2</v>
      </c>
      <c r="I833">
        <v>4149.6480000000001</v>
      </c>
      <c r="J833">
        <v>6067.1890000000003</v>
      </c>
    </row>
    <row r="834" spans="1:10">
      <c r="A834">
        <v>32</v>
      </c>
      <c r="B834">
        <v>10</v>
      </c>
      <c r="C834" t="s">
        <v>106</v>
      </c>
      <c r="D834">
        <v>-33.916604005761201</v>
      </c>
      <c r="E834">
        <v>18.8470374432409</v>
      </c>
      <c r="F834">
        <v>6.5750000000000003E-2</v>
      </c>
      <c r="G834">
        <v>0.1643</v>
      </c>
      <c r="H834">
        <v>9.8599999999999993E-2</v>
      </c>
      <c r="I834">
        <v>4127.8450000000003</v>
      </c>
      <c r="J834">
        <v>6045.3860000000004</v>
      </c>
    </row>
    <row r="835" spans="1:10">
      <c r="A835">
        <v>33</v>
      </c>
      <c r="B835">
        <v>10</v>
      </c>
      <c r="C835" t="s">
        <v>106</v>
      </c>
      <c r="D835">
        <v>-33.913984631133602</v>
      </c>
      <c r="E835">
        <v>18.844972087921899</v>
      </c>
      <c r="F835">
        <v>6.5750000000000003E-2</v>
      </c>
      <c r="G835">
        <v>0.1643</v>
      </c>
      <c r="H835">
        <v>9.8599999999999993E-2</v>
      </c>
      <c r="I835">
        <v>4615.9549999999999</v>
      </c>
      <c r="J835">
        <v>6533.4960000000001</v>
      </c>
    </row>
    <row r="836" spans="1:10">
      <c r="A836">
        <v>34</v>
      </c>
      <c r="B836">
        <v>10</v>
      </c>
      <c r="C836" t="s">
        <v>106</v>
      </c>
      <c r="D836">
        <v>-33.9162773939861</v>
      </c>
      <c r="E836">
        <v>18.8459835210503</v>
      </c>
      <c r="F836">
        <v>6.5750000000000003E-2</v>
      </c>
      <c r="G836">
        <v>0.1643</v>
      </c>
      <c r="H836">
        <v>9.8599999999999993E-2</v>
      </c>
      <c r="I836">
        <v>4290.098</v>
      </c>
      <c r="J836">
        <v>6207.6379999999999</v>
      </c>
    </row>
    <row r="837" spans="1:10">
      <c r="A837">
        <v>35</v>
      </c>
      <c r="B837">
        <v>10</v>
      </c>
      <c r="C837" t="s">
        <v>106</v>
      </c>
      <c r="D837">
        <v>-33.913973554039302</v>
      </c>
      <c r="E837">
        <v>18.845770886891501</v>
      </c>
      <c r="F837">
        <v>6.5750000000000003E-2</v>
      </c>
      <c r="G837">
        <v>0.1643</v>
      </c>
      <c r="H837">
        <v>9.8599999999999993E-2</v>
      </c>
      <c r="I837">
        <v>4547.924</v>
      </c>
      <c r="J837">
        <v>6465.4650000000001</v>
      </c>
    </row>
    <row r="838" spans="1:10">
      <c r="A838">
        <v>36</v>
      </c>
      <c r="B838">
        <v>10</v>
      </c>
      <c r="C838" t="s">
        <v>106</v>
      </c>
      <c r="D838">
        <v>-33.918294117006297</v>
      </c>
      <c r="E838">
        <v>18.8449768043821</v>
      </c>
      <c r="F838">
        <v>6.5750000000000003E-2</v>
      </c>
      <c r="G838">
        <v>0.1643</v>
      </c>
      <c r="H838">
        <v>9.8599999999999993E-2</v>
      </c>
      <c r="I838">
        <v>4614.5720000000001</v>
      </c>
      <c r="J838">
        <v>6532.1130000000003</v>
      </c>
    </row>
    <row r="839" spans="1:10">
      <c r="A839">
        <v>37</v>
      </c>
      <c r="B839">
        <v>10</v>
      </c>
      <c r="C839" t="s">
        <v>106</v>
      </c>
      <c r="D839">
        <v>-33.914278713069002</v>
      </c>
      <c r="E839">
        <v>18.847013804243598</v>
      </c>
      <c r="F839">
        <v>6.5750000000000003E-2</v>
      </c>
      <c r="G839">
        <v>0.1643</v>
      </c>
      <c r="H839">
        <v>9.8599999999999993E-2</v>
      </c>
      <c r="I839">
        <v>4396.2659999999996</v>
      </c>
      <c r="J839">
        <v>6313.8069999999998</v>
      </c>
    </row>
    <row r="840" spans="1:10">
      <c r="A840">
        <v>38</v>
      </c>
      <c r="B840">
        <v>10</v>
      </c>
      <c r="C840" t="s">
        <v>106</v>
      </c>
      <c r="D840">
        <v>-33.912590485516802</v>
      </c>
      <c r="E840">
        <v>18.847610509022601</v>
      </c>
      <c r="F840">
        <v>6.5750000000000003E-2</v>
      </c>
      <c r="G840">
        <v>0.1643</v>
      </c>
      <c r="H840">
        <v>9.8599999999999993E-2</v>
      </c>
      <c r="I840">
        <v>4449.6139999999996</v>
      </c>
      <c r="J840">
        <v>6367.1549999999997</v>
      </c>
    </row>
    <row r="841" spans="1:10">
      <c r="A841">
        <v>39</v>
      </c>
      <c r="B841">
        <v>10</v>
      </c>
      <c r="C841" t="s">
        <v>106</v>
      </c>
      <c r="D841">
        <v>-33.918300584231602</v>
      </c>
      <c r="E841">
        <v>18.8455301142588</v>
      </c>
      <c r="F841">
        <v>6.5750000000000003E-2</v>
      </c>
      <c r="G841">
        <v>0.1643</v>
      </c>
      <c r="H841">
        <v>9.8599999999999993E-2</v>
      </c>
      <c r="I841">
        <v>4396.1350000000002</v>
      </c>
      <c r="J841">
        <v>6313.6760000000004</v>
      </c>
    </row>
    <row r="842" spans="1:10">
      <c r="A842">
        <v>40</v>
      </c>
      <c r="B842">
        <v>10</v>
      </c>
      <c r="C842" t="s">
        <v>106</v>
      </c>
      <c r="D842">
        <v>-33.9153927479095</v>
      </c>
      <c r="E842">
        <v>18.845573308777698</v>
      </c>
      <c r="F842">
        <v>6.5750000000000003E-2</v>
      </c>
      <c r="G842">
        <v>0.1643</v>
      </c>
      <c r="H842">
        <v>9.8599999999999993E-2</v>
      </c>
      <c r="I842">
        <v>4624.3130000000001</v>
      </c>
      <c r="J842">
        <v>6541.8540000000003</v>
      </c>
    </row>
    <row r="843" spans="1:10">
      <c r="A843">
        <v>41</v>
      </c>
      <c r="B843">
        <v>10</v>
      </c>
      <c r="C843" t="s">
        <v>106</v>
      </c>
      <c r="D843">
        <v>-33.913883151704397</v>
      </c>
      <c r="E843">
        <v>18.8455514138697</v>
      </c>
      <c r="F843">
        <v>6.5750000000000003E-2</v>
      </c>
      <c r="G843">
        <v>0.1643</v>
      </c>
      <c r="H843">
        <v>9.8599999999999993E-2</v>
      </c>
      <c r="I843">
        <v>4600.3119999999999</v>
      </c>
      <c r="J843">
        <v>6517.8530000000001</v>
      </c>
    </row>
    <row r="844" spans="1:10">
      <c r="A844">
        <v>42</v>
      </c>
      <c r="B844">
        <v>10</v>
      </c>
      <c r="C844" t="s">
        <v>106</v>
      </c>
      <c r="D844">
        <v>-33.913523208944497</v>
      </c>
      <c r="E844">
        <v>18.846533226956399</v>
      </c>
      <c r="F844">
        <v>6.5750000000000003E-2</v>
      </c>
      <c r="G844">
        <v>0.1643</v>
      </c>
      <c r="H844">
        <v>9.8599999999999993E-2</v>
      </c>
      <c r="I844">
        <v>4473.875</v>
      </c>
      <c r="J844">
        <v>6391.4160000000002</v>
      </c>
    </row>
    <row r="845" spans="1:10">
      <c r="A845">
        <v>43</v>
      </c>
      <c r="B845">
        <v>10</v>
      </c>
      <c r="C845" t="s">
        <v>106</v>
      </c>
      <c r="D845">
        <v>-33.9187433383456</v>
      </c>
      <c r="E845">
        <v>18.8474508232683</v>
      </c>
      <c r="F845">
        <v>6.5750000000000003E-2</v>
      </c>
      <c r="G845">
        <v>0.1643</v>
      </c>
      <c r="H845">
        <v>9.8599999999999993E-2</v>
      </c>
      <c r="I845">
        <v>4221.6220000000003</v>
      </c>
      <c r="J845">
        <v>6139.1629999999996</v>
      </c>
    </row>
    <row r="846" spans="1:10">
      <c r="A846">
        <v>44</v>
      </c>
      <c r="B846">
        <v>10</v>
      </c>
      <c r="C846" t="s">
        <v>106</v>
      </c>
      <c r="D846">
        <v>-33.9171138409314</v>
      </c>
      <c r="E846">
        <v>18.845905397601801</v>
      </c>
      <c r="F846">
        <v>6.5750000000000003E-2</v>
      </c>
      <c r="G846">
        <v>0.1643</v>
      </c>
      <c r="H846">
        <v>9.8599999999999993E-2</v>
      </c>
      <c r="I846">
        <v>4273.9539999999997</v>
      </c>
      <c r="J846">
        <v>6191.4949999999999</v>
      </c>
    </row>
    <row r="847" spans="1:10">
      <c r="A847">
        <v>45</v>
      </c>
      <c r="B847">
        <v>10</v>
      </c>
      <c r="C847" t="s">
        <v>106</v>
      </c>
      <c r="D847">
        <v>-33.916534979046602</v>
      </c>
      <c r="E847">
        <v>18.845614122838601</v>
      </c>
      <c r="F847">
        <v>6.5750000000000003E-2</v>
      </c>
      <c r="G847">
        <v>0.1643</v>
      </c>
      <c r="H847">
        <v>9.8599999999999993E-2</v>
      </c>
      <c r="I847">
        <v>4306.8999999999996</v>
      </c>
      <c r="J847">
        <v>6224.4409999999998</v>
      </c>
    </row>
    <row r="848" spans="1:10">
      <c r="A848">
        <v>46</v>
      </c>
      <c r="B848">
        <v>10</v>
      </c>
      <c r="C848" t="s">
        <v>106</v>
      </c>
      <c r="D848">
        <v>-33.918682111799797</v>
      </c>
      <c r="E848">
        <v>18.846552955152301</v>
      </c>
      <c r="F848">
        <v>6.5750000000000003E-2</v>
      </c>
      <c r="G848">
        <v>0.1643</v>
      </c>
      <c r="H848">
        <v>9.8599999999999993E-2</v>
      </c>
      <c r="I848">
        <v>4263.6989999999996</v>
      </c>
      <c r="J848">
        <v>6181.24</v>
      </c>
    </row>
    <row r="849" spans="1:10">
      <c r="A849">
        <v>47</v>
      </c>
      <c r="B849">
        <v>10</v>
      </c>
      <c r="C849" t="s">
        <v>106</v>
      </c>
      <c r="D849">
        <v>-33.9143533093551</v>
      </c>
      <c r="E849">
        <v>18.845648334689901</v>
      </c>
      <c r="F849">
        <v>6.5750000000000003E-2</v>
      </c>
      <c r="G849">
        <v>0.1643</v>
      </c>
      <c r="H849">
        <v>9.8599999999999993E-2</v>
      </c>
      <c r="I849">
        <v>4544.8729999999996</v>
      </c>
      <c r="J849">
        <v>6462.4139999999998</v>
      </c>
    </row>
    <row r="850" spans="1:10">
      <c r="A850">
        <v>48</v>
      </c>
      <c r="B850">
        <v>10</v>
      </c>
      <c r="C850" t="s">
        <v>106</v>
      </c>
      <c r="D850">
        <v>-33.916806256755699</v>
      </c>
      <c r="E850">
        <v>18.8455128099211</v>
      </c>
      <c r="F850">
        <v>6.5750000000000003E-2</v>
      </c>
      <c r="G850">
        <v>0.1643</v>
      </c>
      <c r="H850">
        <v>9.8599999999999993E-2</v>
      </c>
      <c r="I850">
        <v>4285.1589999999997</v>
      </c>
      <c r="J850">
        <v>6202.6989999999996</v>
      </c>
    </row>
    <row r="851" spans="1:10">
      <c r="A851">
        <v>49</v>
      </c>
      <c r="B851">
        <v>10</v>
      </c>
      <c r="C851" t="s">
        <v>106</v>
      </c>
      <c r="D851">
        <v>-33.913658452467999</v>
      </c>
      <c r="E851">
        <v>18.8462957565545</v>
      </c>
      <c r="F851">
        <v>6.5750000000000003E-2</v>
      </c>
      <c r="G851">
        <v>0.1643</v>
      </c>
      <c r="H851">
        <v>9.8599999999999993E-2</v>
      </c>
      <c r="I851">
        <v>4500.4319999999998</v>
      </c>
      <c r="J851">
        <v>6417.9719999999998</v>
      </c>
    </row>
    <row r="852" spans="1:10">
      <c r="A852">
        <v>50</v>
      </c>
      <c r="B852">
        <v>10</v>
      </c>
      <c r="C852" t="s">
        <v>106</v>
      </c>
      <c r="D852">
        <v>-33.915049720905202</v>
      </c>
      <c r="E852">
        <v>18.846750567241699</v>
      </c>
      <c r="F852">
        <v>6.5750000000000003E-2</v>
      </c>
      <c r="G852">
        <v>0.1643</v>
      </c>
      <c r="H852">
        <v>9.8599999999999993E-2</v>
      </c>
      <c r="I852">
        <v>4356.18</v>
      </c>
      <c r="J852">
        <v>6273.7209999999995</v>
      </c>
    </row>
    <row r="853" spans="1:10">
      <c r="A853">
        <v>51</v>
      </c>
      <c r="B853">
        <v>10</v>
      </c>
      <c r="C853" t="s">
        <v>106</v>
      </c>
      <c r="D853">
        <v>-33.912728874428403</v>
      </c>
      <c r="E853">
        <v>18.8467639554923</v>
      </c>
      <c r="F853">
        <v>6.5750000000000003E-2</v>
      </c>
      <c r="G853">
        <v>0.1643</v>
      </c>
      <c r="H853">
        <v>9.8599999999999993E-2</v>
      </c>
      <c r="I853">
        <v>4710.9539999999997</v>
      </c>
      <c r="J853">
        <v>6628.4949999999999</v>
      </c>
    </row>
    <row r="854" spans="1:10">
      <c r="A854">
        <v>52</v>
      </c>
      <c r="B854">
        <v>10</v>
      </c>
      <c r="C854" t="s">
        <v>106</v>
      </c>
      <c r="D854">
        <v>-33.914356999492703</v>
      </c>
      <c r="E854">
        <v>18.844971347769199</v>
      </c>
      <c r="F854">
        <v>6.5750000000000003E-2</v>
      </c>
      <c r="G854">
        <v>0.1643</v>
      </c>
      <c r="H854">
        <v>9.8599999999999993E-2</v>
      </c>
      <c r="I854">
        <v>4596.2560000000003</v>
      </c>
      <c r="J854">
        <v>6513.7969999999996</v>
      </c>
    </row>
    <row r="855" spans="1:10">
      <c r="A855">
        <v>53</v>
      </c>
      <c r="B855">
        <v>10</v>
      </c>
      <c r="C855" t="s">
        <v>106</v>
      </c>
      <c r="D855">
        <v>-33.913618289250799</v>
      </c>
      <c r="E855">
        <v>18.845314729673898</v>
      </c>
      <c r="F855">
        <v>6.5750000000000003E-2</v>
      </c>
      <c r="G855">
        <v>0.1643</v>
      </c>
      <c r="H855">
        <v>9.8599999999999993E-2</v>
      </c>
      <c r="I855">
        <v>4854.5110000000004</v>
      </c>
      <c r="J855">
        <v>6772.0519999999997</v>
      </c>
    </row>
    <row r="856" spans="1:10">
      <c r="A856">
        <v>54</v>
      </c>
      <c r="B856">
        <v>10</v>
      </c>
      <c r="C856" t="s">
        <v>106</v>
      </c>
      <c r="D856">
        <v>-33.915435600028303</v>
      </c>
      <c r="E856">
        <v>18.846315767742901</v>
      </c>
      <c r="F856">
        <v>6.5750000000000003E-2</v>
      </c>
      <c r="G856">
        <v>0.1643</v>
      </c>
      <c r="H856">
        <v>9.8599999999999993E-2</v>
      </c>
      <c r="I856">
        <v>4315.3109999999997</v>
      </c>
      <c r="J856">
        <v>6232.8519999999999</v>
      </c>
    </row>
    <row r="857" spans="1:10">
      <c r="A857">
        <v>55</v>
      </c>
      <c r="B857">
        <v>10</v>
      </c>
      <c r="C857" t="s">
        <v>106</v>
      </c>
      <c r="D857">
        <v>-33.918541987322698</v>
      </c>
      <c r="E857">
        <v>18.847507545990101</v>
      </c>
      <c r="F857">
        <v>6.5750000000000003E-2</v>
      </c>
      <c r="G857">
        <v>0.1643</v>
      </c>
      <c r="H857">
        <v>9.8599999999999993E-2</v>
      </c>
      <c r="I857">
        <v>4215.0349999999999</v>
      </c>
      <c r="J857">
        <v>6132.576</v>
      </c>
    </row>
    <row r="858" spans="1:10">
      <c r="A858">
        <v>56</v>
      </c>
      <c r="B858">
        <v>10</v>
      </c>
      <c r="C858" t="s">
        <v>106</v>
      </c>
      <c r="D858">
        <v>-33.9186113567701</v>
      </c>
      <c r="E858">
        <v>18.845032835741801</v>
      </c>
      <c r="F858">
        <v>6.5750000000000003E-2</v>
      </c>
      <c r="G858">
        <v>0.1643</v>
      </c>
      <c r="H858">
        <v>9.8599999999999993E-2</v>
      </c>
      <c r="I858">
        <v>4385.9179999999997</v>
      </c>
      <c r="J858">
        <v>6303.4589999999998</v>
      </c>
    </row>
    <row r="859" spans="1:10">
      <c r="A859">
        <v>57</v>
      </c>
      <c r="B859">
        <v>10</v>
      </c>
      <c r="C859" t="s">
        <v>106</v>
      </c>
      <c r="D859">
        <v>-33.912571065800996</v>
      </c>
      <c r="E859">
        <v>18.845845460925499</v>
      </c>
      <c r="F859">
        <v>6.5750000000000003E-2</v>
      </c>
      <c r="G859">
        <v>0.1643</v>
      </c>
      <c r="H859">
        <v>9.8599999999999993E-2</v>
      </c>
      <c r="I859">
        <v>4750.1189999999997</v>
      </c>
      <c r="J859">
        <v>6667.66</v>
      </c>
    </row>
    <row r="860" spans="1:10">
      <c r="A860">
        <v>58</v>
      </c>
      <c r="B860">
        <v>10</v>
      </c>
      <c r="C860" t="s">
        <v>106</v>
      </c>
      <c r="D860">
        <v>-33.913766820564</v>
      </c>
      <c r="E860">
        <v>18.845164024759502</v>
      </c>
      <c r="F860">
        <v>6.5750000000000003E-2</v>
      </c>
      <c r="G860">
        <v>0.1643</v>
      </c>
      <c r="H860">
        <v>9.8599999999999993E-2</v>
      </c>
      <c r="I860">
        <v>4623.1689999999999</v>
      </c>
      <c r="J860">
        <v>6540.7089999999998</v>
      </c>
    </row>
    <row r="861" spans="1:10">
      <c r="A861">
        <v>59</v>
      </c>
      <c r="B861">
        <v>10</v>
      </c>
      <c r="C861" t="s">
        <v>106</v>
      </c>
      <c r="D861">
        <v>-33.916595535117501</v>
      </c>
      <c r="E861">
        <v>18.845184032911501</v>
      </c>
      <c r="F861">
        <v>6.5750000000000003E-2</v>
      </c>
      <c r="G861">
        <v>0.1643</v>
      </c>
      <c r="H861">
        <v>9.8599999999999993E-2</v>
      </c>
      <c r="I861">
        <v>4316.3029999999999</v>
      </c>
      <c r="J861">
        <v>6233.8440000000001</v>
      </c>
    </row>
    <row r="862" spans="1:10">
      <c r="A862">
        <v>60</v>
      </c>
      <c r="B862">
        <v>10</v>
      </c>
      <c r="C862" t="s">
        <v>106</v>
      </c>
      <c r="D862">
        <v>-33.912734952723902</v>
      </c>
      <c r="E862">
        <v>18.8449652767213</v>
      </c>
      <c r="F862">
        <v>6.5750000000000003E-2</v>
      </c>
      <c r="G862">
        <v>0.1643</v>
      </c>
      <c r="H862">
        <v>9.8599999999999993E-2</v>
      </c>
      <c r="I862">
        <v>4826.3869999999997</v>
      </c>
      <c r="J862">
        <v>6743.9279999999999</v>
      </c>
    </row>
    <row r="863" spans="1:10">
      <c r="A863">
        <v>61</v>
      </c>
      <c r="B863">
        <v>10</v>
      </c>
      <c r="C863" t="s">
        <v>106</v>
      </c>
      <c r="D863">
        <v>-33.912779781277401</v>
      </c>
      <c r="E863">
        <v>18.845146233779499</v>
      </c>
      <c r="F863">
        <v>6.5750000000000003E-2</v>
      </c>
      <c r="G863">
        <v>0.1643</v>
      </c>
      <c r="H863">
        <v>9.8599999999999993E-2</v>
      </c>
      <c r="I863">
        <v>4818.1049999999996</v>
      </c>
      <c r="J863">
        <v>6735.6459999999997</v>
      </c>
    </row>
    <row r="864" spans="1:10">
      <c r="A864">
        <v>62</v>
      </c>
      <c r="B864">
        <v>10</v>
      </c>
      <c r="C864" t="s">
        <v>106</v>
      </c>
      <c r="D864">
        <v>-33.917722848145402</v>
      </c>
      <c r="E864">
        <v>18.847166197840799</v>
      </c>
      <c r="F864">
        <v>6.5750000000000003E-2</v>
      </c>
      <c r="G864">
        <v>0.1643</v>
      </c>
      <c r="H864">
        <v>9.8599999999999993E-2</v>
      </c>
      <c r="I864">
        <v>4156.7740000000003</v>
      </c>
      <c r="J864">
        <v>6074.3149999999996</v>
      </c>
    </row>
    <row r="865" spans="1:10">
      <c r="A865">
        <v>63</v>
      </c>
      <c r="B865">
        <v>10</v>
      </c>
      <c r="C865" t="s">
        <v>106</v>
      </c>
      <c r="D865">
        <v>-33.914296357708899</v>
      </c>
      <c r="E865">
        <v>18.847078867266799</v>
      </c>
      <c r="F865">
        <v>6.5750000000000003E-2</v>
      </c>
      <c r="G865">
        <v>0.1643</v>
      </c>
      <c r="H865">
        <v>9.8599999999999993E-2</v>
      </c>
      <c r="I865">
        <v>4392.24</v>
      </c>
      <c r="J865">
        <v>6309.7809999999999</v>
      </c>
    </row>
    <row r="866" spans="1:10">
      <c r="A866">
        <v>64</v>
      </c>
      <c r="B866">
        <v>10</v>
      </c>
      <c r="C866" t="s">
        <v>106</v>
      </c>
      <c r="D866">
        <v>-33.915702715875703</v>
      </c>
      <c r="E866">
        <v>18.846918202204598</v>
      </c>
      <c r="F866">
        <v>6.5750000000000003E-2</v>
      </c>
      <c r="G866">
        <v>0.1643</v>
      </c>
      <c r="H866">
        <v>9.8599999999999993E-2</v>
      </c>
      <c r="I866">
        <v>4291.8119999999999</v>
      </c>
      <c r="J866">
        <v>6209.3530000000001</v>
      </c>
    </row>
    <row r="867" spans="1:10">
      <c r="A867">
        <v>65</v>
      </c>
      <c r="B867">
        <v>10</v>
      </c>
      <c r="C867" t="s">
        <v>106</v>
      </c>
      <c r="D867">
        <v>-33.916676584770798</v>
      </c>
      <c r="E867">
        <v>18.8472985020911</v>
      </c>
      <c r="F867">
        <v>6.5750000000000003E-2</v>
      </c>
      <c r="G867">
        <v>0.1643</v>
      </c>
      <c r="H867">
        <v>9.8599999999999993E-2</v>
      </c>
      <c r="I867">
        <v>4105.7939999999999</v>
      </c>
      <c r="J867">
        <v>6023.335</v>
      </c>
    </row>
    <row r="868" spans="1:10">
      <c r="A868">
        <v>66</v>
      </c>
      <c r="B868">
        <v>10</v>
      </c>
      <c r="C868" t="s">
        <v>106</v>
      </c>
      <c r="D868">
        <v>-33.918699841469298</v>
      </c>
      <c r="E868">
        <v>18.845515861392201</v>
      </c>
      <c r="F868">
        <v>6.5750000000000003E-2</v>
      </c>
      <c r="G868">
        <v>0.1643</v>
      </c>
      <c r="H868">
        <v>9.8599999999999993E-2</v>
      </c>
      <c r="I868">
        <v>4348.3819999999996</v>
      </c>
      <c r="J868">
        <v>6265.9229999999998</v>
      </c>
    </row>
    <row r="869" spans="1:10">
      <c r="A869">
        <v>67</v>
      </c>
      <c r="B869">
        <v>10</v>
      </c>
      <c r="C869" t="s">
        <v>106</v>
      </c>
      <c r="D869">
        <v>-33.9171889329659</v>
      </c>
      <c r="E869">
        <v>18.847307427772598</v>
      </c>
      <c r="F869">
        <v>6.5750000000000003E-2</v>
      </c>
      <c r="G869">
        <v>0.1643</v>
      </c>
      <c r="H869">
        <v>9.8599999999999993E-2</v>
      </c>
      <c r="I869">
        <v>4119.57</v>
      </c>
      <c r="J869">
        <v>6037.1109999999999</v>
      </c>
    </row>
    <row r="870" spans="1:10">
      <c r="A870">
        <v>68</v>
      </c>
      <c r="B870">
        <v>10</v>
      </c>
      <c r="C870" t="s">
        <v>106</v>
      </c>
      <c r="D870">
        <v>-33.917939760318198</v>
      </c>
      <c r="E870">
        <v>18.845838218434501</v>
      </c>
      <c r="F870">
        <v>6.5750000000000003E-2</v>
      </c>
      <c r="G870">
        <v>0.1643</v>
      </c>
      <c r="H870">
        <v>9.8599999999999993E-2</v>
      </c>
      <c r="I870">
        <v>4432.3419999999996</v>
      </c>
      <c r="J870">
        <v>6349.8819999999996</v>
      </c>
    </row>
    <row r="871" spans="1:10">
      <c r="A871">
        <v>69</v>
      </c>
      <c r="B871">
        <v>10</v>
      </c>
      <c r="C871" t="s">
        <v>106</v>
      </c>
      <c r="D871">
        <v>-33.913748666694701</v>
      </c>
      <c r="E871">
        <v>18.846822640983198</v>
      </c>
      <c r="F871">
        <v>6.5750000000000003E-2</v>
      </c>
      <c r="G871">
        <v>0.1643</v>
      </c>
      <c r="H871">
        <v>9.8599999999999993E-2</v>
      </c>
      <c r="I871">
        <v>4424.7380000000003</v>
      </c>
      <c r="J871">
        <v>6342.2790000000005</v>
      </c>
    </row>
    <row r="872" spans="1:10">
      <c r="A872">
        <v>70</v>
      </c>
      <c r="B872">
        <v>10</v>
      </c>
      <c r="C872" t="s">
        <v>106</v>
      </c>
      <c r="D872">
        <v>-33.918629366235898</v>
      </c>
      <c r="E872">
        <v>18.846199323206999</v>
      </c>
      <c r="F872">
        <v>6.5750000000000003E-2</v>
      </c>
      <c r="G872">
        <v>0.1643</v>
      </c>
      <c r="H872">
        <v>9.8599999999999993E-2</v>
      </c>
      <c r="I872">
        <v>4344.0110000000004</v>
      </c>
      <c r="J872">
        <v>6261.5519999999997</v>
      </c>
    </row>
    <row r="873" spans="1:10">
      <c r="A873">
        <v>71</v>
      </c>
      <c r="B873">
        <v>10</v>
      </c>
      <c r="C873" t="s">
        <v>106</v>
      </c>
      <c r="D873">
        <v>-33.916094724648403</v>
      </c>
      <c r="E873">
        <v>18.846203369645401</v>
      </c>
      <c r="F873">
        <v>6.5750000000000003E-2</v>
      </c>
      <c r="G873">
        <v>0.1643</v>
      </c>
      <c r="H873">
        <v>9.8599999999999993E-2</v>
      </c>
      <c r="I873">
        <v>4249.1360000000004</v>
      </c>
      <c r="J873">
        <v>6166.6769999999997</v>
      </c>
    </row>
    <row r="874" spans="1:10">
      <c r="A874">
        <v>72</v>
      </c>
      <c r="B874">
        <v>10</v>
      </c>
      <c r="C874" t="s">
        <v>106</v>
      </c>
      <c r="D874">
        <v>-33.913089182498901</v>
      </c>
      <c r="E874">
        <v>18.847249747662399</v>
      </c>
      <c r="F874">
        <v>6.5750000000000003E-2</v>
      </c>
      <c r="G874">
        <v>0.1643</v>
      </c>
      <c r="H874">
        <v>9.8599999999999993E-2</v>
      </c>
      <c r="I874">
        <v>4392.7359999999999</v>
      </c>
      <c r="J874">
        <v>6310.277</v>
      </c>
    </row>
    <row r="875" spans="1:10">
      <c r="A875">
        <v>73</v>
      </c>
      <c r="B875">
        <v>10</v>
      </c>
      <c r="C875" t="s">
        <v>106</v>
      </c>
      <c r="D875">
        <v>-33.918302314235099</v>
      </c>
      <c r="E875">
        <v>18.847325143517001</v>
      </c>
      <c r="F875">
        <v>6.5750000000000003E-2</v>
      </c>
      <c r="G875">
        <v>0.1643</v>
      </c>
      <c r="H875">
        <v>9.8599999999999993E-2</v>
      </c>
      <c r="I875">
        <v>4173.0069999999996</v>
      </c>
      <c r="J875">
        <v>6090.5479999999998</v>
      </c>
    </row>
    <row r="876" spans="1:10">
      <c r="A876">
        <v>74</v>
      </c>
      <c r="B876">
        <v>10</v>
      </c>
      <c r="C876" t="s">
        <v>106</v>
      </c>
      <c r="D876">
        <v>-33.914616523135599</v>
      </c>
      <c r="E876">
        <v>18.8463033384254</v>
      </c>
      <c r="F876">
        <v>6.5750000000000003E-2</v>
      </c>
      <c r="G876">
        <v>0.1643</v>
      </c>
      <c r="H876">
        <v>9.8599999999999993E-2</v>
      </c>
      <c r="I876">
        <v>4471.7529999999997</v>
      </c>
      <c r="J876">
        <v>6389.2939999999999</v>
      </c>
    </row>
    <row r="877" spans="1:10">
      <c r="A877">
        <v>75</v>
      </c>
      <c r="B877">
        <v>10</v>
      </c>
      <c r="C877" t="s">
        <v>106</v>
      </c>
      <c r="D877">
        <v>-33.9165921952739</v>
      </c>
      <c r="E877">
        <v>18.845360918422202</v>
      </c>
      <c r="F877">
        <v>6.5750000000000003E-2</v>
      </c>
      <c r="G877">
        <v>0.1643</v>
      </c>
      <c r="H877">
        <v>9.8599999999999993E-2</v>
      </c>
      <c r="I877">
        <v>4310.2309999999998</v>
      </c>
      <c r="J877">
        <v>6227.7719999999999</v>
      </c>
    </row>
    <row r="878" spans="1:10">
      <c r="A878">
        <v>76</v>
      </c>
      <c r="B878">
        <v>10</v>
      </c>
      <c r="C878" t="s">
        <v>106</v>
      </c>
      <c r="D878">
        <v>-33.913211769480299</v>
      </c>
      <c r="E878">
        <v>18.846015964727499</v>
      </c>
      <c r="F878">
        <v>6.5750000000000003E-2</v>
      </c>
      <c r="G878">
        <v>0.1643</v>
      </c>
      <c r="H878">
        <v>9.8599999999999993E-2</v>
      </c>
      <c r="I878">
        <v>4775.5919999999996</v>
      </c>
      <c r="J878">
        <v>6693.1319999999996</v>
      </c>
    </row>
    <row r="879" spans="1:10">
      <c r="A879">
        <v>77</v>
      </c>
      <c r="B879">
        <v>10</v>
      </c>
      <c r="C879" t="s">
        <v>106</v>
      </c>
      <c r="D879">
        <v>-33.918090131011397</v>
      </c>
      <c r="E879">
        <v>18.845562262073098</v>
      </c>
      <c r="F879">
        <v>6.5750000000000003E-2</v>
      </c>
      <c r="G879">
        <v>0.1643</v>
      </c>
      <c r="H879">
        <v>9.8599999999999993E-2</v>
      </c>
      <c r="I879">
        <v>4417.8010000000004</v>
      </c>
      <c r="J879">
        <v>6335.3419999999996</v>
      </c>
    </row>
    <row r="880" spans="1:10">
      <c r="A880">
        <v>78</v>
      </c>
      <c r="B880">
        <v>10</v>
      </c>
      <c r="C880" t="s">
        <v>106</v>
      </c>
      <c r="D880">
        <v>-33.913112489321399</v>
      </c>
      <c r="E880">
        <v>18.844965518981599</v>
      </c>
      <c r="F880">
        <v>6.5750000000000003E-2</v>
      </c>
      <c r="G880">
        <v>0.1643</v>
      </c>
      <c r="H880">
        <v>9.8599999999999993E-2</v>
      </c>
      <c r="I880">
        <v>4852.9480000000003</v>
      </c>
      <c r="J880">
        <v>6770.4889999999996</v>
      </c>
    </row>
    <row r="881" spans="1:10">
      <c r="A881">
        <v>79</v>
      </c>
      <c r="B881">
        <v>10</v>
      </c>
      <c r="C881" t="s">
        <v>106</v>
      </c>
      <c r="D881">
        <v>-33.918632482153498</v>
      </c>
      <c r="E881">
        <v>18.846996109435398</v>
      </c>
      <c r="F881">
        <v>6.5750000000000003E-2</v>
      </c>
      <c r="G881">
        <v>0.1643</v>
      </c>
      <c r="H881">
        <v>9.8599999999999993E-2</v>
      </c>
      <c r="I881">
        <v>4232.2430000000004</v>
      </c>
      <c r="J881">
        <v>6149.7839999999997</v>
      </c>
    </row>
    <row r="882" spans="1:10">
      <c r="A882">
        <v>80</v>
      </c>
      <c r="B882">
        <v>10</v>
      </c>
      <c r="C882" t="s">
        <v>106</v>
      </c>
      <c r="D882">
        <v>-33.916682624324999</v>
      </c>
      <c r="E882">
        <v>18.846614928848101</v>
      </c>
      <c r="F882">
        <v>6.5750000000000003E-2</v>
      </c>
      <c r="G882">
        <v>0.1643</v>
      </c>
      <c r="H882">
        <v>9.8599999999999993E-2</v>
      </c>
      <c r="I882">
        <v>4174.8630000000003</v>
      </c>
      <c r="J882">
        <v>6092.4030000000002</v>
      </c>
    </row>
    <row r="883" spans="1:10">
      <c r="A883">
        <v>81</v>
      </c>
      <c r="B883">
        <v>10</v>
      </c>
      <c r="C883" t="s">
        <v>106</v>
      </c>
      <c r="D883">
        <v>-33.914796420695197</v>
      </c>
      <c r="E883">
        <v>18.845075095438599</v>
      </c>
      <c r="F883">
        <v>6.5750000000000003E-2</v>
      </c>
      <c r="G883">
        <v>0.1643</v>
      </c>
      <c r="H883">
        <v>9.8599999999999993E-2</v>
      </c>
      <c r="I883">
        <v>4753.8</v>
      </c>
      <c r="J883">
        <v>6671.3410000000003</v>
      </c>
    </row>
    <row r="884" spans="1:10">
      <c r="A884">
        <v>82</v>
      </c>
      <c r="B884">
        <v>10</v>
      </c>
      <c r="C884" t="s">
        <v>106</v>
      </c>
      <c r="D884">
        <v>-33.915566474334902</v>
      </c>
      <c r="E884">
        <v>18.8473824376238</v>
      </c>
      <c r="F884">
        <v>6.5750000000000003E-2</v>
      </c>
      <c r="G884">
        <v>0.1643</v>
      </c>
      <c r="H884">
        <v>9.8599999999999993E-2</v>
      </c>
      <c r="I884">
        <v>4246.018</v>
      </c>
      <c r="J884">
        <v>6163.5590000000002</v>
      </c>
    </row>
    <row r="885" spans="1:10">
      <c r="A885">
        <v>83</v>
      </c>
      <c r="B885">
        <v>10</v>
      </c>
      <c r="C885" t="s">
        <v>106</v>
      </c>
      <c r="D885">
        <v>-33.918005738986999</v>
      </c>
      <c r="E885">
        <v>18.845341972395801</v>
      </c>
      <c r="F885">
        <v>6.5750000000000003E-2</v>
      </c>
      <c r="G885">
        <v>0.1643</v>
      </c>
      <c r="H885">
        <v>9.8599999999999993E-2</v>
      </c>
      <c r="I885">
        <v>4649.3670000000002</v>
      </c>
      <c r="J885">
        <v>6566.9070000000002</v>
      </c>
    </row>
    <row r="886" spans="1:10">
      <c r="A886">
        <v>84</v>
      </c>
      <c r="B886">
        <v>10</v>
      </c>
      <c r="C886" t="s">
        <v>106</v>
      </c>
      <c r="D886">
        <v>-33.914159702550002</v>
      </c>
      <c r="E886">
        <v>18.847125911054601</v>
      </c>
      <c r="F886">
        <v>6.5750000000000003E-2</v>
      </c>
      <c r="G886">
        <v>0.1643</v>
      </c>
      <c r="H886">
        <v>9.8599999999999993E-2</v>
      </c>
      <c r="I886">
        <v>4380.45</v>
      </c>
      <c r="J886">
        <v>6297.991</v>
      </c>
    </row>
    <row r="887" spans="1:10">
      <c r="A887">
        <v>85</v>
      </c>
      <c r="B887">
        <v>10</v>
      </c>
      <c r="C887" t="s">
        <v>106</v>
      </c>
      <c r="D887">
        <v>-33.916365734331102</v>
      </c>
      <c r="E887">
        <v>18.8461611210524</v>
      </c>
      <c r="F887">
        <v>6.5750000000000003E-2</v>
      </c>
      <c r="G887">
        <v>0.1643</v>
      </c>
      <c r="H887">
        <v>9.8599999999999993E-2</v>
      </c>
      <c r="I887">
        <v>4274.7780000000002</v>
      </c>
      <c r="J887">
        <v>6192.3190000000004</v>
      </c>
    </row>
    <row r="888" spans="1:10">
      <c r="A888">
        <v>86</v>
      </c>
      <c r="B888">
        <v>10</v>
      </c>
      <c r="C888" t="s">
        <v>106</v>
      </c>
      <c r="D888">
        <v>-33.913122090129903</v>
      </c>
      <c r="E888">
        <v>18.846860428479701</v>
      </c>
      <c r="F888">
        <v>6.5750000000000003E-2</v>
      </c>
      <c r="G888">
        <v>0.1643</v>
      </c>
      <c r="H888">
        <v>9.8599999999999993E-2</v>
      </c>
      <c r="I888">
        <v>4424.5519999999997</v>
      </c>
      <c r="J888">
        <v>6342.0929999999998</v>
      </c>
    </row>
    <row r="889" spans="1:10">
      <c r="A889">
        <v>87</v>
      </c>
      <c r="B889">
        <v>10</v>
      </c>
      <c r="C889" t="s">
        <v>106</v>
      </c>
      <c r="D889">
        <v>-33.912583139609701</v>
      </c>
      <c r="E889">
        <v>18.8469326613459</v>
      </c>
      <c r="F889">
        <v>6.5750000000000003E-2</v>
      </c>
      <c r="G889">
        <v>0.1643</v>
      </c>
      <c r="H889">
        <v>9.8599999999999993E-2</v>
      </c>
      <c r="I889">
        <v>4414.2809999999999</v>
      </c>
      <c r="J889">
        <v>6331.8220000000001</v>
      </c>
    </row>
    <row r="890" spans="1:10">
      <c r="A890">
        <v>88</v>
      </c>
      <c r="B890">
        <v>10</v>
      </c>
      <c r="C890" t="s">
        <v>106</v>
      </c>
      <c r="D890">
        <v>-33.915549265400401</v>
      </c>
      <c r="E890">
        <v>18.845620916388299</v>
      </c>
      <c r="F890">
        <v>6.5750000000000003E-2</v>
      </c>
      <c r="G890">
        <v>0.1643</v>
      </c>
      <c r="H890">
        <v>9.8599999999999993E-2</v>
      </c>
      <c r="I890">
        <v>4626.183</v>
      </c>
      <c r="J890">
        <v>6543.7240000000002</v>
      </c>
    </row>
    <row r="891" spans="1:10">
      <c r="A891">
        <v>89</v>
      </c>
      <c r="B891">
        <v>10</v>
      </c>
      <c r="C891" t="s">
        <v>106</v>
      </c>
      <c r="D891">
        <v>-33.918739582734403</v>
      </c>
      <c r="E891">
        <v>18.846307172672301</v>
      </c>
      <c r="F891">
        <v>6.5750000000000003E-2</v>
      </c>
      <c r="G891">
        <v>0.1643</v>
      </c>
      <c r="H891">
        <v>9.8599999999999993E-2</v>
      </c>
      <c r="I891">
        <v>4358.7740000000003</v>
      </c>
      <c r="J891">
        <v>6276.3149999999996</v>
      </c>
    </row>
    <row r="892" spans="1:10">
      <c r="A892">
        <v>90</v>
      </c>
      <c r="B892">
        <v>10</v>
      </c>
      <c r="C892" t="s">
        <v>106</v>
      </c>
      <c r="D892">
        <v>-33.914263135242798</v>
      </c>
      <c r="E892">
        <v>18.846334081585201</v>
      </c>
      <c r="F892">
        <v>6.5750000000000003E-2</v>
      </c>
      <c r="G892">
        <v>0.1643</v>
      </c>
      <c r="H892">
        <v>9.8599999999999993E-2</v>
      </c>
      <c r="I892">
        <v>4492.5609999999997</v>
      </c>
      <c r="J892">
        <v>6410.1009999999997</v>
      </c>
    </row>
    <row r="893" spans="1:10">
      <c r="A893">
        <v>91</v>
      </c>
      <c r="B893">
        <v>10</v>
      </c>
      <c r="C893" t="s">
        <v>106</v>
      </c>
      <c r="D893">
        <v>-33.916749547094803</v>
      </c>
      <c r="E893">
        <v>18.8474315298016</v>
      </c>
      <c r="F893">
        <v>6.5750000000000003E-2</v>
      </c>
      <c r="G893">
        <v>0.1643</v>
      </c>
      <c r="H893">
        <v>9.8599999999999993E-2</v>
      </c>
      <c r="I893">
        <v>4094.5120000000002</v>
      </c>
      <c r="J893">
        <v>6012.0529999999999</v>
      </c>
    </row>
    <row r="894" spans="1:10">
      <c r="A894">
        <v>92</v>
      </c>
      <c r="B894">
        <v>10</v>
      </c>
      <c r="C894" t="s">
        <v>106</v>
      </c>
      <c r="D894">
        <v>-33.912593245007201</v>
      </c>
      <c r="E894">
        <v>18.845756402147199</v>
      </c>
      <c r="F894">
        <v>6.5750000000000003E-2</v>
      </c>
      <c r="G894">
        <v>0.1643</v>
      </c>
      <c r="H894">
        <v>9.8599999999999993E-2</v>
      </c>
      <c r="I894">
        <v>4760.2889999999998</v>
      </c>
      <c r="J894">
        <v>6677.83</v>
      </c>
    </row>
    <row r="895" spans="1:10">
      <c r="A895">
        <v>93</v>
      </c>
      <c r="B895">
        <v>10</v>
      </c>
      <c r="C895" t="s">
        <v>106</v>
      </c>
      <c r="D895">
        <v>-33.914566311675898</v>
      </c>
      <c r="E895">
        <v>18.846988863281201</v>
      </c>
      <c r="F895">
        <v>6.5750000000000003E-2</v>
      </c>
      <c r="G895">
        <v>0.1643</v>
      </c>
      <c r="H895">
        <v>9.8599999999999993E-2</v>
      </c>
      <c r="I895">
        <v>4415.3019999999997</v>
      </c>
      <c r="J895">
        <v>6332.8429999999998</v>
      </c>
    </row>
    <row r="896" spans="1:10">
      <c r="A896">
        <v>94</v>
      </c>
      <c r="B896">
        <v>10</v>
      </c>
      <c r="C896" t="s">
        <v>106</v>
      </c>
      <c r="D896">
        <v>-33.913203792450702</v>
      </c>
      <c r="E896">
        <v>18.8470074338763</v>
      </c>
      <c r="F896">
        <v>6.5750000000000003E-2</v>
      </c>
      <c r="G896">
        <v>0.1643</v>
      </c>
      <c r="H896">
        <v>9.8599999999999993E-2</v>
      </c>
      <c r="I896">
        <v>4417.9179999999997</v>
      </c>
      <c r="J896">
        <v>6335.4589999999998</v>
      </c>
    </row>
    <row r="897" spans="1:10">
      <c r="A897">
        <v>95</v>
      </c>
      <c r="B897">
        <v>10</v>
      </c>
      <c r="C897" t="s">
        <v>106</v>
      </c>
      <c r="D897">
        <v>-33.919141846838798</v>
      </c>
      <c r="E897">
        <v>18.845538151590301</v>
      </c>
      <c r="F897">
        <v>6.5750000000000003E-2</v>
      </c>
      <c r="G897">
        <v>0.1643</v>
      </c>
      <c r="H897">
        <v>9.8599999999999993E-2</v>
      </c>
      <c r="I897">
        <v>4319.0370000000003</v>
      </c>
      <c r="J897">
        <v>6236.5780000000004</v>
      </c>
    </row>
    <row r="898" spans="1:10">
      <c r="A898">
        <v>96</v>
      </c>
      <c r="B898">
        <v>10</v>
      </c>
      <c r="C898" t="s">
        <v>106</v>
      </c>
      <c r="D898">
        <v>-33.9170935247353</v>
      </c>
      <c r="E898">
        <v>18.8465501905319</v>
      </c>
      <c r="F898">
        <v>6.5750000000000003E-2</v>
      </c>
      <c r="G898">
        <v>0.1643</v>
      </c>
      <c r="H898">
        <v>9.8599999999999993E-2</v>
      </c>
      <c r="I898">
        <v>4203.3069999999998</v>
      </c>
      <c r="J898">
        <v>6120.848</v>
      </c>
    </row>
    <row r="899" spans="1:10">
      <c r="A899">
        <v>97</v>
      </c>
      <c r="B899">
        <v>10</v>
      </c>
      <c r="C899" t="s">
        <v>106</v>
      </c>
      <c r="D899">
        <v>-33.918639142040902</v>
      </c>
      <c r="E899">
        <v>18.846361453251902</v>
      </c>
      <c r="F899">
        <v>6.5750000000000003E-2</v>
      </c>
      <c r="G899">
        <v>0.1643</v>
      </c>
      <c r="H899">
        <v>9.8599999999999993E-2</v>
      </c>
      <c r="I899">
        <v>4281.4279999999999</v>
      </c>
      <c r="J899">
        <v>6198.9690000000001</v>
      </c>
    </row>
    <row r="900" spans="1:10">
      <c r="A900">
        <v>98</v>
      </c>
      <c r="B900">
        <v>10</v>
      </c>
      <c r="C900" t="s">
        <v>106</v>
      </c>
      <c r="D900">
        <v>-33.918548241187501</v>
      </c>
      <c r="E900">
        <v>18.846432854673999</v>
      </c>
      <c r="F900">
        <v>6.5750000000000003E-2</v>
      </c>
      <c r="G900">
        <v>0.1643</v>
      </c>
      <c r="H900">
        <v>9.8599999999999993E-2</v>
      </c>
      <c r="I900">
        <v>4280.68</v>
      </c>
      <c r="J900">
        <v>6198.2209999999995</v>
      </c>
    </row>
    <row r="901" spans="1:10">
      <c r="A901">
        <v>99</v>
      </c>
      <c r="B901">
        <v>10</v>
      </c>
      <c r="C901" t="s">
        <v>106</v>
      </c>
      <c r="D901">
        <v>-33.916877942968199</v>
      </c>
      <c r="E901">
        <v>18.8461992863893</v>
      </c>
      <c r="F901">
        <v>6.5750000000000003E-2</v>
      </c>
      <c r="G901">
        <v>0.1643</v>
      </c>
      <c r="H901">
        <v>9.8599999999999993E-2</v>
      </c>
      <c r="I901">
        <v>4240.8919999999998</v>
      </c>
      <c r="J901">
        <v>6158.4319999999998</v>
      </c>
    </row>
    <row r="902" spans="1:10">
      <c r="A902">
        <v>100</v>
      </c>
      <c r="B902">
        <v>10</v>
      </c>
      <c r="C902" t="s">
        <v>106</v>
      </c>
      <c r="D902">
        <v>-33.914268133349701</v>
      </c>
      <c r="E902">
        <v>18.8450085776648</v>
      </c>
      <c r="F902">
        <v>6.5750000000000003E-2</v>
      </c>
      <c r="G902">
        <v>0.1643</v>
      </c>
      <c r="H902">
        <v>9.8599999999999993E-2</v>
      </c>
      <c r="I902">
        <v>4595.049</v>
      </c>
      <c r="J902">
        <v>6512.59</v>
      </c>
    </row>
    <row r="903" spans="1:10">
      <c r="A903">
        <v>101</v>
      </c>
      <c r="B903">
        <v>10</v>
      </c>
      <c r="C903" t="s">
        <v>106</v>
      </c>
      <c r="D903">
        <v>-33.917857373590103</v>
      </c>
      <c r="E903">
        <v>18.846507163833198</v>
      </c>
      <c r="F903">
        <v>6.5750000000000003E-2</v>
      </c>
      <c r="G903">
        <v>0.1643</v>
      </c>
      <c r="H903">
        <v>9.8599999999999993E-2</v>
      </c>
      <c r="I903">
        <v>4221.6549999999997</v>
      </c>
      <c r="J903">
        <v>6139.1959999999999</v>
      </c>
    </row>
    <row r="904" spans="1:10">
      <c r="A904">
        <v>102</v>
      </c>
      <c r="B904">
        <v>10</v>
      </c>
      <c r="C904" t="s">
        <v>106</v>
      </c>
      <c r="D904">
        <v>-33.9158646836499</v>
      </c>
      <c r="E904">
        <v>18.847392626859499</v>
      </c>
      <c r="F904">
        <v>6.5750000000000003E-2</v>
      </c>
      <c r="G904">
        <v>0.1643</v>
      </c>
      <c r="H904">
        <v>9.8599999999999993E-2</v>
      </c>
      <c r="I904">
        <v>4175.6000000000004</v>
      </c>
      <c r="J904">
        <v>6093.1409999999996</v>
      </c>
    </row>
    <row r="905" spans="1:10">
      <c r="A905">
        <v>103</v>
      </c>
      <c r="B905">
        <v>10</v>
      </c>
      <c r="C905" t="s">
        <v>106</v>
      </c>
      <c r="D905">
        <v>-33.9135814198481</v>
      </c>
      <c r="E905">
        <v>18.846298791204202</v>
      </c>
      <c r="F905">
        <v>6.5750000000000003E-2</v>
      </c>
      <c r="G905">
        <v>0.1643</v>
      </c>
      <c r="H905">
        <v>9.8599999999999993E-2</v>
      </c>
      <c r="I905">
        <v>4495.6279999999997</v>
      </c>
      <c r="J905">
        <v>6413.1689999999999</v>
      </c>
    </row>
    <row r="906" spans="1:10">
      <c r="A906">
        <v>104</v>
      </c>
      <c r="B906">
        <v>10</v>
      </c>
      <c r="C906" t="s">
        <v>106</v>
      </c>
      <c r="D906">
        <v>-33.9190643533545</v>
      </c>
      <c r="E906">
        <v>18.847508636886701</v>
      </c>
      <c r="F906">
        <v>6.5750000000000003E-2</v>
      </c>
      <c r="G906">
        <v>0.1643</v>
      </c>
      <c r="H906">
        <v>9.8599999999999993E-2</v>
      </c>
      <c r="I906">
        <v>4257.3450000000003</v>
      </c>
      <c r="J906">
        <v>6174.8850000000002</v>
      </c>
    </row>
    <row r="907" spans="1:10">
      <c r="A907">
        <v>105</v>
      </c>
      <c r="B907">
        <v>10</v>
      </c>
      <c r="C907" t="s">
        <v>106</v>
      </c>
      <c r="D907">
        <v>-33.913045752981603</v>
      </c>
      <c r="E907">
        <v>18.846573936219801</v>
      </c>
      <c r="F907">
        <v>6.5750000000000003E-2</v>
      </c>
      <c r="G907">
        <v>0.1643</v>
      </c>
      <c r="H907">
        <v>9.8599999999999993E-2</v>
      </c>
      <c r="I907">
        <v>4734.0919999999996</v>
      </c>
      <c r="J907">
        <v>6651.6329999999998</v>
      </c>
    </row>
    <row r="908" spans="1:10">
      <c r="A908">
        <v>106</v>
      </c>
      <c r="B908">
        <v>10</v>
      </c>
      <c r="C908" t="s">
        <v>106</v>
      </c>
      <c r="D908">
        <v>-33.917848784847799</v>
      </c>
      <c r="E908">
        <v>18.846188223558201</v>
      </c>
      <c r="F908">
        <v>6.5750000000000003E-2</v>
      </c>
      <c r="G908">
        <v>0.1643</v>
      </c>
      <c r="H908">
        <v>9.8599999999999993E-2</v>
      </c>
      <c r="I908">
        <v>4243.076</v>
      </c>
      <c r="J908">
        <v>6160.6170000000002</v>
      </c>
    </row>
    <row r="909" spans="1:10">
      <c r="A909">
        <v>107</v>
      </c>
      <c r="B909">
        <v>10</v>
      </c>
      <c r="C909" t="s">
        <v>106</v>
      </c>
      <c r="D909">
        <v>-33.918766866504299</v>
      </c>
      <c r="E909">
        <v>18.845141476751301</v>
      </c>
      <c r="F909">
        <v>6.5750000000000003E-2</v>
      </c>
      <c r="G909">
        <v>0.1643</v>
      </c>
      <c r="H909">
        <v>9.8599999999999993E-2</v>
      </c>
      <c r="I909">
        <v>4371.5730000000003</v>
      </c>
      <c r="J909">
        <v>6289.1139999999996</v>
      </c>
    </row>
    <row r="910" spans="1:10">
      <c r="A910">
        <v>108</v>
      </c>
      <c r="B910">
        <v>10</v>
      </c>
      <c r="C910" t="s">
        <v>106</v>
      </c>
      <c r="D910">
        <v>-33.913453743250997</v>
      </c>
      <c r="E910">
        <v>18.844890718100999</v>
      </c>
      <c r="F910">
        <v>6.5750000000000003E-2</v>
      </c>
      <c r="G910">
        <v>0.1643</v>
      </c>
      <c r="H910">
        <v>9.8599999999999993E-2</v>
      </c>
      <c r="I910">
        <v>4890.6260000000002</v>
      </c>
      <c r="J910">
        <v>6808.1670000000004</v>
      </c>
    </row>
    <row r="911" spans="1:10">
      <c r="A911">
        <v>109</v>
      </c>
      <c r="B911">
        <v>10</v>
      </c>
      <c r="C911" t="s">
        <v>106</v>
      </c>
      <c r="D911">
        <v>-33.912617006006002</v>
      </c>
      <c r="E911">
        <v>18.845010635536099</v>
      </c>
      <c r="F911">
        <v>6.5750000000000003E-2</v>
      </c>
      <c r="G911">
        <v>0.1643</v>
      </c>
      <c r="H911">
        <v>9.8599999999999993E-2</v>
      </c>
      <c r="I911">
        <v>4818.6869999999999</v>
      </c>
      <c r="J911">
        <v>6736.2280000000001</v>
      </c>
    </row>
    <row r="912" spans="1:10">
      <c r="A912">
        <v>110</v>
      </c>
      <c r="B912">
        <v>10</v>
      </c>
      <c r="C912" t="s">
        <v>106</v>
      </c>
      <c r="D912">
        <v>-33.914251527464799</v>
      </c>
      <c r="E912">
        <v>18.845382279417301</v>
      </c>
      <c r="F912">
        <v>6.5750000000000003E-2</v>
      </c>
      <c r="G912">
        <v>0.1643</v>
      </c>
      <c r="H912">
        <v>9.8599999999999993E-2</v>
      </c>
      <c r="I912">
        <v>4571.3059999999996</v>
      </c>
      <c r="J912">
        <v>6488.8469999999998</v>
      </c>
    </row>
    <row r="913" spans="1:10">
      <c r="A913">
        <v>111</v>
      </c>
      <c r="B913">
        <v>10</v>
      </c>
      <c r="C913" t="s">
        <v>106</v>
      </c>
      <c r="D913">
        <v>-33.917850866148598</v>
      </c>
      <c r="E913">
        <v>18.8456059092514</v>
      </c>
      <c r="F913">
        <v>6.5750000000000003E-2</v>
      </c>
      <c r="G913">
        <v>0.1643</v>
      </c>
      <c r="H913">
        <v>9.8599999999999993E-2</v>
      </c>
      <c r="I913">
        <v>4432.3419999999996</v>
      </c>
      <c r="J913">
        <v>6349.8819999999996</v>
      </c>
    </row>
    <row r="914" spans="1:10">
      <c r="A914">
        <v>112</v>
      </c>
      <c r="B914">
        <v>10</v>
      </c>
      <c r="C914" t="s">
        <v>106</v>
      </c>
      <c r="D914">
        <v>-33.914004073358598</v>
      </c>
      <c r="E914">
        <v>18.845446142087098</v>
      </c>
      <c r="F914">
        <v>6.5750000000000003E-2</v>
      </c>
      <c r="G914">
        <v>0.1643</v>
      </c>
      <c r="H914">
        <v>9.8599999999999993E-2</v>
      </c>
      <c r="I914">
        <v>4571.5770000000002</v>
      </c>
      <c r="J914">
        <v>6489.1180000000004</v>
      </c>
    </row>
    <row r="915" spans="1:10">
      <c r="A915">
        <v>113</v>
      </c>
      <c r="B915">
        <v>10</v>
      </c>
      <c r="C915" t="s">
        <v>106</v>
      </c>
      <c r="D915">
        <v>-33.915642533370502</v>
      </c>
      <c r="E915">
        <v>18.846803700201601</v>
      </c>
      <c r="F915">
        <v>6.5750000000000003E-2</v>
      </c>
      <c r="G915">
        <v>0.1643</v>
      </c>
      <c r="H915">
        <v>9.8599999999999993E-2</v>
      </c>
      <c r="I915">
        <v>4300.8959999999997</v>
      </c>
      <c r="J915">
        <v>6218.4369999999999</v>
      </c>
    </row>
    <row r="916" spans="1:10">
      <c r="A916">
        <v>114</v>
      </c>
      <c r="B916">
        <v>10</v>
      </c>
      <c r="C916" t="s">
        <v>106</v>
      </c>
      <c r="D916">
        <v>-33.916226479441498</v>
      </c>
      <c r="E916">
        <v>18.8459482581228</v>
      </c>
      <c r="F916">
        <v>6.5750000000000003E-2</v>
      </c>
      <c r="G916">
        <v>0.1643</v>
      </c>
      <c r="H916">
        <v>9.8599999999999993E-2</v>
      </c>
      <c r="I916">
        <v>4296.5709999999999</v>
      </c>
      <c r="J916">
        <v>6214.1120000000001</v>
      </c>
    </row>
    <row r="917" spans="1:10">
      <c r="A917">
        <v>115</v>
      </c>
      <c r="B917">
        <v>10</v>
      </c>
      <c r="C917" t="s">
        <v>106</v>
      </c>
      <c r="D917">
        <v>-33.918653649125503</v>
      </c>
      <c r="E917">
        <v>18.847331157614999</v>
      </c>
      <c r="F917">
        <v>6.5750000000000003E-2</v>
      </c>
      <c r="G917">
        <v>0.1643</v>
      </c>
      <c r="H917">
        <v>9.8599999999999993E-2</v>
      </c>
      <c r="I917">
        <v>4212.3040000000001</v>
      </c>
      <c r="J917">
        <v>6129.8450000000003</v>
      </c>
    </row>
    <row r="918" spans="1:10">
      <c r="A918">
        <v>116</v>
      </c>
      <c r="B918">
        <v>10</v>
      </c>
      <c r="C918" t="s">
        <v>106</v>
      </c>
      <c r="D918">
        <v>-33.913603177183198</v>
      </c>
      <c r="E918">
        <v>18.847045090210798</v>
      </c>
      <c r="F918">
        <v>6.5750000000000003E-2</v>
      </c>
      <c r="G918">
        <v>0.1643</v>
      </c>
      <c r="H918">
        <v>9.8599999999999993E-2</v>
      </c>
      <c r="I918">
        <v>4398.7370000000001</v>
      </c>
      <c r="J918">
        <v>6316.2780000000002</v>
      </c>
    </row>
    <row r="919" spans="1:10">
      <c r="A919">
        <v>117</v>
      </c>
      <c r="B919">
        <v>10</v>
      </c>
      <c r="C919" t="s">
        <v>106</v>
      </c>
      <c r="D919">
        <v>-33.915066271305498</v>
      </c>
      <c r="E919">
        <v>18.8470502371447</v>
      </c>
      <c r="F919">
        <v>6.5750000000000003E-2</v>
      </c>
      <c r="G919">
        <v>0.1643</v>
      </c>
      <c r="H919">
        <v>9.8599999999999993E-2</v>
      </c>
      <c r="I919">
        <v>4329.4380000000001</v>
      </c>
      <c r="J919">
        <v>6246.9790000000003</v>
      </c>
    </row>
    <row r="920" spans="1:10">
      <c r="A920">
        <v>118</v>
      </c>
      <c r="B920">
        <v>10</v>
      </c>
      <c r="C920" t="s">
        <v>106</v>
      </c>
      <c r="D920">
        <v>-33.914101477181703</v>
      </c>
      <c r="E920">
        <v>18.847492814389401</v>
      </c>
      <c r="F920">
        <v>6.5750000000000003E-2</v>
      </c>
      <c r="G920">
        <v>0.1643</v>
      </c>
      <c r="H920">
        <v>9.8599999999999993E-2</v>
      </c>
      <c r="I920">
        <v>4348.3739999999998</v>
      </c>
      <c r="J920">
        <v>6265.915</v>
      </c>
    </row>
    <row r="921" spans="1:10">
      <c r="A921">
        <v>119</v>
      </c>
      <c r="B921">
        <v>10</v>
      </c>
      <c r="C921" t="s">
        <v>106</v>
      </c>
      <c r="D921">
        <v>-33.913886410046501</v>
      </c>
      <c r="E921">
        <v>18.8469524859585</v>
      </c>
      <c r="F921">
        <v>6.5750000000000003E-2</v>
      </c>
      <c r="G921">
        <v>0.1643</v>
      </c>
      <c r="H921">
        <v>9.8599999999999993E-2</v>
      </c>
      <c r="I921">
        <v>4422.8320000000003</v>
      </c>
      <c r="J921">
        <v>6340.3729999999996</v>
      </c>
    </row>
    <row r="922" spans="1:10">
      <c r="A922">
        <v>120</v>
      </c>
      <c r="B922">
        <v>10</v>
      </c>
      <c r="C922" t="s">
        <v>106</v>
      </c>
      <c r="D922">
        <v>-33.9124797146182</v>
      </c>
      <c r="E922">
        <v>18.845319689510699</v>
      </c>
      <c r="F922">
        <v>6.5750000000000003E-2</v>
      </c>
      <c r="G922">
        <v>0.1643</v>
      </c>
      <c r="H922">
        <v>9.8599999999999993E-2</v>
      </c>
      <c r="I922">
        <v>4786.4610000000002</v>
      </c>
      <c r="J922">
        <v>6704.0020000000004</v>
      </c>
    </row>
    <row r="923" spans="1:10">
      <c r="A923">
        <v>121</v>
      </c>
      <c r="B923">
        <v>10</v>
      </c>
      <c r="C923" t="s">
        <v>106</v>
      </c>
      <c r="D923">
        <v>-33.917646715008999</v>
      </c>
      <c r="E923">
        <v>18.846832561421898</v>
      </c>
      <c r="F923">
        <v>6.5750000000000003E-2</v>
      </c>
      <c r="G923">
        <v>0.1643</v>
      </c>
      <c r="H923">
        <v>9.8599999999999993E-2</v>
      </c>
      <c r="I923">
        <v>4172.799</v>
      </c>
      <c r="J923">
        <v>6090.34</v>
      </c>
    </row>
    <row r="924" spans="1:10">
      <c r="A924">
        <v>122</v>
      </c>
      <c r="B924">
        <v>10</v>
      </c>
      <c r="C924" t="s">
        <v>106</v>
      </c>
      <c r="D924">
        <v>-33.915909721585003</v>
      </c>
      <c r="E924">
        <v>18.846995851945302</v>
      </c>
      <c r="F924">
        <v>6.5750000000000003E-2</v>
      </c>
      <c r="G924">
        <v>0.1643</v>
      </c>
      <c r="H924">
        <v>9.8599999999999993E-2</v>
      </c>
      <c r="I924">
        <v>4209.0529999999999</v>
      </c>
      <c r="J924">
        <v>6126.5929999999998</v>
      </c>
    </row>
    <row r="925" spans="1:10">
      <c r="A925">
        <v>123</v>
      </c>
      <c r="B925">
        <v>10</v>
      </c>
      <c r="C925" t="s">
        <v>106</v>
      </c>
      <c r="D925">
        <v>-33.913299289262099</v>
      </c>
      <c r="E925">
        <v>18.846750991063701</v>
      </c>
      <c r="F925">
        <v>6.5750000000000003E-2</v>
      </c>
      <c r="G925">
        <v>0.1643</v>
      </c>
      <c r="H925">
        <v>9.8599999999999993E-2</v>
      </c>
      <c r="I925">
        <v>4443.6000000000004</v>
      </c>
      <c r="J925">
        <v>6361.1409999999996</v>
      </c>
    </row>
    <row r="926" spans="1:10">
      <c r="A926">
        <v>124</v>
      </c>
      <c r="B926">
        <v>10</v>
      </c>
      <c r="C926" t="s">
        <v>106</v>
      </c>
      <c r="D926">
        <v>-33.918995852015499</v>
      </c>
      <c r="E926">
        <v>18.846507292936899</v>
      </c>
      <c r="F926">
        <v>6.5750000000000003E-2</v>
      </c>
      <c r="G926">
        <v>0.1643</v>
      </c>
      <c r="H926">
        <v>9.8599999999999993E-2</v>
      </c>
      <c r="I926">
        <v>4389.0609999999997</v>
      </c>
      <c r="J926">
        <v>6306.6019999999999</v>
      </c>
    </row>
    <row r="927" spans="1:10">
      <c r="A927">
        <v>125</v>
      </c>
      <c r="B927">
        <v>10</v>
      </c>
      <c r="C927" t="s">
        <v>106</v>
      </c>
      <c r="D927">
        <v>-33.915742108032902</v>
      </c>
      <c r="E927">
        <v>18.845429181808498</v>
      </c>
      <c r="F927">
        <v>6.5750000000000003E-2</v>
      </c>
      <c r="G927">
        <v>0.1643</v>
      </c>
      <c r="H927">
        <v>9.8599999999999993E-2</v>
      </c>
      <c r="I927">
        <v>4362.3909999999996</v>
      </c>
      <c r="J927">
        <v>6279.9319999999998</v>
      </c>
    </row>
    <row r="928" spans="1:10">
      <c r="A928">
        <v>126</v>
      </c>
      <c r="B928">
        <v>10</v>
      </c>
      <c r="C928" t="s">
        <v>106</v>
      </c>
      <c r="D928">
        <v>-33.913005288480797</v>
      </c>
      <c r="E928">
        <v>18.845623276314502</v>
      </c>
      <c r="F928">
        <v>6.5750000000000003E-2</v>
      </c>
      <c r="G928">
        <v>0.1643</v>
      </c>
      <c r="H928">
        <v>9.8599999999999993E-2</v>
      </c>
      <c r="I928">
        <v>4792.9089999999997</v>
      </c>
      <c r="J928">
        <v>6710.45</v>
      </c>
    </row>
    <row r="929" spans="1:10">
      <c r="A929">
        <v>127</v>
      </c>
      <c r="B929">
        <v>10</v>
      </c>
      <c r="C929" t="s">
        <v>106</v>
      </c>
      <c r="D929">
        <v>-33.919135018011701</v>
      </c>
      <c r="E929">
        <v>18.845782185900799</v>
      </c>
      <c r="F929">
        <v>6.5750000000000003E-2</v>
      </c>
      <c r="G929">
        <v>0.1643</v>
      </c>
      <c r="H929">
        <v>9.8599999999999993E-2</v>
      </c>
      <c r="I929">
        <v>4299.9089999999997</v>
      </c>
      <c r="J929">
        <v>6217.45</v>
      </c>
    </row>
    <row r="930" spans="1:10">
      <c r="A930">
        <v>128</v>
      </c>
      <c r="B930">
        <v>10</v>
      </c>
      <c r="C930" t="s">
        <v>106</v>
      </c>
      <c r="D930">
        <v>-33.916796853479198</v>
      </c>
      <c r="E930">
        <v>18.845368955047402</v>
      </c>
      <c r="F930">
        <v>6.5750000000000003E-2</v>
      </c>
      <c r="G930">
        <v>0.1643</v>
      </c>
      <c r="H930">
        <v>9.8599999999999993E-2</v>
      </c>
      <c r="I930">
        <v>4289.0129999999999</v>
      </c>
      <c r="J930">
        <v>6206.5540000000001</v>
      </c>
    </row>
    <row r="931" spans="1:10">
      <c r="A931">
        <v>129</v>
      </c>
      <c r="B931">
        <v>10</v>
      </c>
      <c r="C931" t="s">
        <v>106</v>
      </c>
      <c r="D931">
        <v>-33.916803793691898</v>
      </c>
      <c r="E931">
        <v>18.845717231769999</v>
      </c>
      <c r="F931">
        <v>6.5750000000000003E-2</v>
      </c>
      <c r="G931">
        <v>0.1643</v>
      </c>
      <c r="H931">
        <v>9.8599999999999993E-2</v>
      </c>
      <c r="I931">
        <v>4277.9170000000004</v>
      </c>
      <c r="J931">
        <v>6195.4579999999996</v>
      </c>
    </row>
    <row r="932" spans="1:10">
      <c r="A932">
        <v>130</v>
      </c>
      <c r="B932">
        <v>10</v>
      </c>
      <c r="C932" t="s">
        <v>106</v>
      </c>
      <c r="D932">
        <v>-33.912778054126399</v>
      </c>
      <c r="E932">
        <v>18.845867443229601</v>
      </c>
      <c r="F932">
        <v>6.5750000000000003E-2</v>
      </c>
      <c r="G932">
        <v>0.1643</v>
      </c>
      <c r="H932">
        <v>9.8599999999999993E-2</v>
      </c>
      <c r="I932">
        <v>4768.6109999999999</v>
      </c>
      <c r="J932">
        <v>6686.152</v>
      </c>
    </row>
    <row r="933" spans="1:10">
      <c r="A933">
        <v>131</v>
      </c>
      <c r="B933">
        <v>10</v>
      </c>
      <c r="C933" t="s">
        <v>106</v>
      </c>
      <c r="D933">
        <v>-33.916603227708201</v>
      </c>
      <c r="E933">
        <v>18.847608527606202</v>
      </c>
      <c r="F933">
        <v>6.5750000000000003E-2</v>
      </c>
      <c r="G933">
        <v>0.1643</v>
      </c>
      <c r="H933">
        <v>9.8599999999999993E-2</v>
      </c>
      <c r="I933">
        <v>4077.1930000000002</v>
      </c>
      <c r="J933">
        <v>5994.7340000000004</v>
      </c>
    </row>
    <row r="934" spans="1:10">
      <c r="A934">
        <v>132</v>
      </c>
      <c r="B934">
        <v>10</v>
      </c>
      <c r="C934" t="s">
        <v>106</v>
      </c>
      <c r="D934">
        <v>-33.917842587807797</v>
      </c>
      <c r="E934">
        <v>18.845988102897799</v>
      </c>
      <c r="F934">
        <v>6.5750000000000003E-2</v>
      </c>
      <c r="G934">
        <v>0.1643</v>
      </c>
      <c r="H934">
        <v>9.8599999999999993E-2</v>
      </c>
      <c r="I934">
        <v>4432.3419999999996</v>
      </c>
      <c r="J934">
        <v>6349.8819999999996</v>
      </c>
    </row>
    <row r="935" spans="1:10">
      <c r="A935">
        <v>133</v>
      </c>
      <c r="B935">
        <v>10</v>
      </c>
      <c r="C935" t="s">
        <v>106</v>
      </c>
      <c r="D935">
        <v>-33.917882731906197</v>
      </c>
      <c r="E935">
        <v>18.846831345021599</v>
      </c>
      <c r="F935">
        <v>6.5750000000000003E-2</v>
      </c>
      <c r="G935">
        <v>0.1643</v>
      </c>
      <c r="H935">
        <v>9.8599999999999993E-2</v>
      </c>
      <c r="I935">
        <v>4155.2359999999999</v>
      </c>
      <c r="J935">
        <v>6072.777</v>
      </c>
    </row>
    <row r="936" spans="1:10">
      <c r="A936">
        <v>134</v>
      </c>
      <c r="B936">
        <v>10</v>
      </c>
      <c r="C936" t="s">
        <v>106</v>
      </c>
      <c r="D936">
        <v>-33.9189430323595</v>
      </c>
      <c r="E936">
        <v>18.845840302124898</v>
      </c>
      <c r="F936">
        <v>6.5750000000000003E-2</v>
      </c>
      <c r="G936">
        <v>0.1643</v>
      </c>
      <c r="H936">
        <v>9.8599999999999993E-2</v>
      </c>
      <c r="I936">
        <v>4305.9250000000002</v>
      </c>
      <c r="J936">
        <v>6223.4660000000003</v>
      </c>
    </row>
    <row r="937" spans="1:10">
      <c r="A937">
        <v>135</v>
      </c>
      <c r="B937">
        <v>10</v>
      </c>
      <c r="C937" t="s">
        <v>106</v>
      </c>
      <c r="D937">
        <v>-33.916940424121897</v>
      </c>
      <c r="E937">
        <v>18.845050891361101</v>
      </c>
      <c r="F937">
        <v>6.5750000000000003E-2</v>
      </c>
      <c r="G937">
        <v>0.1643</v>
      </c>
      <c r="H937">
        <v>9.8599999999999993E-2</v>
      </c>
      <c r="I937">
        <v>4937.5280000000002</v>
      </c>
      <c r="J937">
        <v>6855.0690000000004</v>
      </c>
    </row>
    <row r="938" spans="1:10">
      <c r="A938">
        <v>136</v>
      </c>
      <c r="B938">
        <v>10</v>
      </c>
      <c r="C938" t="s">
        <v>106</v>
      </c>
      <c r="D938">
        <v>-33.913495949813502</v>
      </c>
      <c r="E938">
        <v>18.844914402592199</v>
      </c>
      <c r="F938">
        <v>6.5750000000000003E-2</v>
      </c>
      <c r="G938">
        <v>0.1643</v>
      </c>
      <c r="H938">
        <v>9.8599999999999993E-2</v>
      </c>
      <c r="I938">
        <v>4894.902</v>
      </c>
      <c r="J938">
        <v>6812.4430000000002</v>
      </c>
    </row>
    <row r="939" spans="1:10">
      <c r="A939">
        <v>137</v>
      </c>
      <c r="B939">
        <v>10</v>
      </c>
      <c r="C939" t="s">
        <v>106</v>
      </c>
      <c r="D939">
        <v>-33.9173541797974</v>
      </c>
      <c r="E939">
        <v>18.847283977323901</v>
      </c>
      <c r="F939">
        <v>6.5750000000000003E-2</v>
      </c>
      <c r="G939">
        <v>0.1643</v>
      </c>
      <c r="H939">
        <v>9.8599999999999993E-2</v>
      </c>
      <c r="I939">
        <v>4125.2929999999997</v>
      </c>
      <c r="J939">
        <v>6042.8329999999996</v>
      </c>
    </row>
    <row r="940" spans="1:10">
      <c r="A940">
        <v>138</v>
      </c>
      <c r="B940">
        <v>10</v>
      </c>
      <c r="C940" t="s">
        <v>106</v>
      </c>
      <c r="D940">
        <v>-33.9174591290545</v>
      </c>
      <c r="E940">
        <v>18.845734235220899</v>
      </c>
      <c r="F940">
        <v>6.5750000000000003E-2</v>
      </c>
      <c r="G940">
        <v>0.1643</v>
      </c>
      <c r="H940">
        <v>9.8599999999999993E-2</v>
      </c>
      <c r="I940">
        <v>5017.5309999999999</v>
      </c>
      <c r="J940">
        <v>6935.0709999999999</v>
      </c>
    </row>
    <row r="941" spans="1:10">
      <c r="A941">
        <v>139</v>
      </c>
      <c r="B941">
        <v>10</v>
      </c>
      <c r="C941" t="s">
        <v>106</v>
      </c>
      <c r="D941">
        <v>-33.913040623460198</v>
      </c>
      <c r="E941">
        <v>18.8461139893767</v>
      </c>
      <c r="F941">
        <v>6.5750000000000003E-2</v>
      </c>
      <c r="G941">
        <v>0.1643</v>
      </c>
      <c r="H941">
        <v>9.8599999999999993E-2</v>
      </c>
      <c r="I941">
        <v>4757.482</v>
      </c>
      <c r="J941">
        <v>6675.0230000000001</v>
      </c>
    </row>
    <row r="942" spans="1:10">
      <c r="A942">
        <v>140</v>
      </c>
      <c r="B942">
        <v>10</v>
      </c>
      <c r="C942" t="s">
        <v>106</v>
      </c>
      <c r="D942">
        <v>-33.918323194644998</v>
      </c>
      <c r="E942">
        <v>18.846267820456902</v>
      </c>
      <c r="F942">
        <v>6.5750000000000003E-2</v>
      </c>
      <c r="G942">
        <v>0.1643</v>
      </c>
      <c r="H942">
        <v>9.8599999999999993E-2</v>
      </c>
      <c r="I942">
        <v>4286.518</v>
      </c>
      <c r="J942">
        <v>6204.0590000000002</v>
      </c>
    </row>
    <row r="943" spans="1:10">
      <c r="A943">
        <v>141</v>
      </c>
      <c r="B943">
        <v>10</v>
      </c>
      <c r="C943" t="s">
        <v>106</v>
      </c>
      <c r="D943">
        <v>-33.912635535885599</v>
      </c>
      <c r="E943">
        <v>18.846262172865998</v>
      </c>
      <c r="F943">
        <v>6.5750000000000003E-2</v>
      </c>
      <c r="G943">
        <v>0.1643</v>
      </c>
      <c r="H943">
        <v>9.8599999999999993E-2</v>
      </c>
      <c r="I943">
        <v>4707.9449999999997</v>
      </c>
      <c r="J943">
        <v>6625.4859999999999</v>
      </c>
    </row>
    <row r="944" spans="1:10">
      <c r="A944">
        <v>142</v>
      </c>
      <c r="B944">
        <v>10</v>
      </c>
      <c r="C944" t="s">
        <v>106</v>
      </c>
      <c r="D944">
        <v>-33.912472307723199</v>
      </c>
      <c r="E944">
        <v>18.845975591729001</v>
      </c>
      <c r="F944">
        <v>6.5750000000000003E-2</v>
      </c>
      <c r="G944">
        <v>0.1643</v>
      </c>
      <c r="H944">
        <v>9.8599999999999993E-2</v>
      </c>
      <c r="I944">
        <v>4734.2830000000004</v>
      </c>
      <c r="J944">
        <v>6651.8239999999996</v>
      </c>
    </row>
    <row r="945" spans="1:10">
      <c r="A945">
        <v>143</v>
      </c>
      <c r="B945">
        <v>10</v>
      </c>
      <c r="C945" t="s">
        <v>106</v>
      </c>
      <c r="D945">
        <v>-33.914991655482503</v>
      </c>
      <c r="E945">
        <v>18.846900735291001</v>
      </c>
      <c r="F945">
        <v>6.5750000000000003E-2</v>
      </c>
      <c r="G945">
        <v>0.1643</v>
      </c>
      <c r="H945">
        <v>9.8599999999999993E-2</v>
      </c>
      <c r="I945">
        <v>4341.32</v>
      </c>
      <c r="J945">
        <v>6258.8609999999999</v>
      </c>
    </row>
    <row r="946" spans="1:10">
      <c r="A946">
        <v>144</v>
      </c>
      <c r="B946">
        <v>10</v>
      </c>
      <c r="C946" t="s">
        <v>106</v>
      </c>
      <c r="D946">
        <v>-33.918781186384798</v>
      </c>
      <c r="E946">
        <v>18.847377880119801</v>
      </c>
      <c r="F946">
        <v>6.5750000000000003E-2</v>
      </c>
      <c r="G946">
        <v>0.1643</v>
      </c>
      <c r="H946">
        <v>9.8599999999999993E-2</v>
      </c>
      <c r="I946">
        <v>4226.2129999999997</v>
      </c>
      <c r="J946">
        <v>6143.7539999999999</v>
      </c>
    </row>
    <row r="947" spans="1:10">
      <c r="A947">
        <v>145</v>
      </c>
      <c r="B947">
        <v>10</v>
      </c>
      <c r="C947" t="s">
        <v>106</v>
      </c>
      <c r="D947">
        <v>-33.914632348955401</v>
      </c>
      <c r="E947">
        <v>18.847195776396401</v>
      </c>
      <c r="F947">
        <v>6.5750000000000003E-2</v>
      </c>
      <c r="G947">
        <v>0.1643</v>
      </c>
      <c r="H947">
        <v>9.8599999999999993E-2</v>
      </c>
      <c r="I947">
        <v>4309.1210000000001</v>
      </c>
      <c r="J947">
        <v>6226.6620000000003</v>
      </c>
    </row>
    <row r="948" spans="1:10">
      <c r="A948">
        <v>146</v>
      </c>
      <c r="B948">
        <v>10</v>
      </c>
      <c r="C948" t="s">
        <v>106</v>
      </c>
      <c r="D948">
        <v>-33.913248170689201</v>
      </c>
      <c r="E948">
        <v>18.8466259172409</v>
      </c>
      <c r="F948">
        <v>6.5750000000000003E-2</v>
      </c>
      <c r="G948">
        <v>0.1643</v>
      </c>
      <c r="H948">
        <v>9.8599999999999993E-2</v>
      </c>
      <c r="I948">
        <v>4450.3339999999998</v>
      </c>
      <c r="J948">
        <v>6367.875</v>
      </c>
    </row>
    <row r="949" spans="1:10">
      <c r="A949">
        <v>147</v>
      </c>
      <c r="B949">
        <v>10</v>
      </c>
      <c r="C949" t="s">
        <v>106</v>
      </c>
      <c r="D949">
        <v>-33.918672128207703</v>
      </c>
      <c r="E949">
        <v>18.845700553590898</v>
      </c>
      <c r="F949">
        <v>6.5750000000000003E-2</v>
      </c>
      <c r="G949">
        <v>0.1643</v>
      </c>
      <c r="H949">
        <v>9.8599999999999993E-2</v>
      </c>
      <c r="I949">
        <v>4335.0709999999999</v>
      </c>
      <c r="J949">
        <v>6252.6120000000001</v>
      </c>
    </row>
    <row r="950" spans="1:10">
      <c r="A950">
        <v>148</v>
      </c>
      <c r="B950">
        <v>10</v>
      </c>
      <c r="C950" t="s">
        <v>106</v>
      </c>
      <c r="D950">
        <v>-33.9146165612785</v>
      </c>
      <c r="E950">
        <v>18.845463114864401</v>
      </c>
      <c r="F950">
        <v>6.5750000000000003E-2</v>
      </c>
      <c r="G950">
        <v>0.1643</v>
      </c>
      <c r="H950">
        <v>9.8599999999999993E-2</v>
      </c>
      <c r="I950">
        <v>4545.6909999999998</v>
      </c>
      <c r="J950">
        <v>6463.232</v>
      </c>
    </row>
    <row r="951" spans="1:10">
      <c r="A951">
        <v>149</v>
      </c>
      <c r="B951">
        <v>10</v>
      </c>
      <c r="C951" t="s">
        <v>106</v>
      </c>
      <c r="D951">
        <v>-33.914027490523701</v>
      </c>
      <c r="E951">
        <v>18.845852090307499</v>
      </c>
      <c r="F951">
        <v>6.5750000000000003E-2</v>
      </c>
      <c r="G951">
        <v>0.1643</v>
      </c>
      <c r="H951">
        <v>9.8599999999999993E-2</v>
      </c>
      <c r="I951">
        <v>4543.4219999999996</v>
      </c>
      <c r="J951">
        <v>6460.9629999999997</v>
      </c>
    </row>
    <row r="952" spans="1:10">
      <c r="A952">
        <v>150</v>
      </c>
      <c r="B952">
        <v>10</v>
      </c>
      <c r="C952" t="s">
        <v>106</v>
      </c>
      <c r="D952">
        <v>-33.916488954460803</v>
      </c>
      <c r="E952">
        <v>18.846665878848601</v>
      </c>
      <c r="F952">
        <v>6.5750000000000003E-2</v>
      </c>
      <c r="G952">
        <v>0.1643</v>
      </c>
      <c r="H952">
        <v>9.8599999999999993E-2</v>
      </c>
      <c r="I952">
        <v>4193.7820000000002</v>
      </c>
      <c r="J952">
        <v>6111.3230000000003</v>
      </c>
    </row>
    <row r="953" spans="1:10">
      <c r="A953">
        <v>151</v>
      </c>
      <c r="B953">
        <v>10</v>
      </c>
      <c r="C953" t="s">
        <v>106</v>
      </c>
      <c r="D953">
        <v>-33.913274057823301</v>
      </c>
      <c r="E953">
        <v>18.845016634731198</v>
      </c>
      <c r="F953">
        <v>6.5750000000000003E-2</v>
      </c>
      <c r="G953">
        <v>0.1643</v>
      </c>
      <c r="H953">
        <v>9.8599999999999993E-2</v>
      </c>
      <c r="I953">
        <v>4869.0259999999998</v>
      </c>
      <c r="J953">
        <v>6786.567</v>
      </c>
    </row>
    <row r="954" spans="1:10">
      <c r="A954">
        <v>152</v>
      </c>
      <c r="B954">
        <v>10</v>
      </c>
      <c r="C954" t="s">
        <v>106</v>
      </c>
      <c r="D954">
        <v>-33.912961804933303</v>
      </c>
      <c r="E954">
        <v>18.8476057149939</v>
      </c>
      <c r="F954">
        <v>6.5750000000000003E-2</v>
      </c>
      <c r="G954">
        <v>0.1643</v>
      </c>
      <c r="H954">
        <v>9.8599999999999993E-2</v>
      </c>
      <c r="I954">
        <v>4427.5169999999998</v>
      </c>
      <c r="J954">
        <v>6345.058</v>
      </c>
    </row>
    <row r="955" spans="1:10">
      <c r="A955">
        <v>153</v>
      </c>
      <c r="B955">
        <v>10</v>
      </c>
      <c r="C955" t="s">
        <v>106</v>
      </c>
      <c r="D955">
        <v>-33.9189384917726</v>
      </c>
      <c r="E955">
        <v>18.845271977549899</v>
      </c>
      <c r="F955">
        <v>6.5750000000000003E-2</v>
      </c>
      <c r="G955">
        <v>0.1643</v>
      </c>
      <c r="H955">
        <v>9.8599999999999993E-2</v>
      </c>
      <c r="I955">
        <v>4351.6090000000004</v>
      </c>
      <c r="J955">
        <v>6269.15</v>
      </c>
    </row>
    <row r="956" spans="1:10">
      <c r="A956">
        <v>154</v>
      </c>
      <c r="B956">
        <v>10</v>
      </c>
      <c r="C956" t="s">
        <v>106</v>
      </c>
      <c r="D956">
        <v>-33.914769938132501</v>
      </c>
      <c r="E956">
        <v>18.847256885123102</v>
      </c>
      <c r="F956">
        <v>6.5750000000000003E-2</v>
      </c>
      <c r="G956">
        <v>0.1643</v>
      </c>
      <c r="H956">
        <v>9.8599999999999993E-2</v>
      </c>
      <c r="I956">
        <v>4305.4449999999997</v>
      </c>
      <c r="J956">
        <v>6222.9859999999999</v>
      </c>
    </row>
    <row r="957" spans="1:10">
      <c r="A957">
        <v>155</v>
      </c>
      <c r="B957">
        <v>10</v>
      </c>
      <c r="C957" t="s">
        <v>106</v>
      </c>
      <c r="D957">
        <v>-33.917506162426598</v>
      </c>
      <c r="E957">
        <v>18.845627135441301</v>
      </c>
      <c r="F957">
        <v>6.5750000000000003E-2</v>
      </c>
      <c r="G957">
        <v>0.1643</v>
      </c>
      <c r="H957">
        <v>9.8599999999999993E-2</v>
      </c>
      <c r="I957">
        <v>5017.5309999999999</v>
      </c>
      <c r="J957">
        <v>6935.0709999999999</v>
      </c>
    </row>
    <row r="958" spans="1:10">
      <c r="A958">
        <v>156</v>
      </c>
      <c r="B958">
        <v>10</v>
      </c>
      <c r="C958" t="s">
        <v>106</v>
      </c>
      <c r="D958">
        <v>-33.912693242622197</v>
      </c>
      <c r="E958">
        <v>18.847166370591101</v>
      </c>
      <c r="F958">
        <v>6.5750000000000003E-2</v>
      </c>
      <c r="G958">
        <v>0.1643</v>
      </c>
      <c r="H958">
        <v>9.8599999999999993E-2</v>
      </c>
      <c r="I958">
        <v>4417.1480000000001</v>
      </c>
      <c r="J958">
        <v>6334.6890000000003</v>
      </c>
    </row>
    <row r="959" spans="1:10">
      <c r="A959">
        <v>157</v>
      </c>
      <c r="B959">
        <v>10</v>
      </c>
      <c r="C959" t="s">
        <v>106</v>
      </c>
      <c r="D959">
        <v>-33.917098044389803</v>
      </c>
      <c r="E959">
        <v>18.847042409296598</v>
      </c>
      <c r="F959">
        <v>6.5750000000000003E-2</v>
      </c>
      <c r="G959">
        <v>0.1643</v>
      </c>
      <c r="H959">
        <v>9.8599999999999993E-2</v>
      </c>
      <c r="I959">
        <v>4176.6469999999999</v>
      </c>
      <c r="J959">
        <v>6094.1880000000001</v>
      </c>
    </row>
    <row r="960" spans="1:10">
      <c r="A960">
        <v>158</v>
      </c>
      <c r="B960">
        <v>10</v>
      </c>
      <c r="C960" t="s">
        <v>106</v>
      </c>
      <c r="D960">
        <v>-33.914020266595799</v>
      </c>
      <c r="E960">
        <v>18.846695401662199</v>
      </c>
      <c r="F960">
        <v>6.5750000000000003E-2</v>
      </c>
      <c r="G960">
        <v>0.1643</v>
      </c>
      <c r="H960">
        <v>9.8599999999999993E-2</v>
      </c>
      <c r="I960">
        <v>4450.8370000000004</v>
      </c>
      <c r="J960">
        <v>6368.3779999999997</v>
      </c>
    </row>
    <row r="961" spans="1:10">
      <c r="A961">
        <v>159</v>
      </c>
      <c r="B961">
        <v>10</v>
      </c>
      <c r="C961" t="s">
        <v>106</v>
      </c>
      <c r="D961">
        <v>-33.918122820154302</v>
      </c>
      <c r="E961">
        <v>18.8449653239967</v>
      </c>
      <c r="F961">
        <v>6.5750000000000003E-2</v>
      </c>
      <c r="G961">
        <v>0.1643</v>
      </c>
      <c r="H961">
        <v>9.8599999999999993E-2</v>
      </c>
      <c r="I961">
        <v>4623.8649999999998</v>
      </c>
      <c r="J961">
        <v>6541.4049999999997</v>
      </c>
    </row>
    <row r="962" spans="1:10">
      <c r="A962">
        <v>160</v>
      </c>
      <c r="B962">
        <v>10</v>
      </c>
      <c r="C962" t="s">
        <v>106</v>
      </c>
      <c r="D962">
        <v>-33.916615945388997</v>
      </c>
      <c r="E962">
        <v>18.8471743098996</v>
      </c>
      <c r="F962">
        <v>6.5750000000000003E-2</v>
      </c>
      <c r="G962">
        <v>0.1643</v>
      </c>
      <c r="H962">
        <v>9.8599999999999993E-2</v>
      </c>
      <c r="I962">
        <v>4115.7169999999996</v>
      </c>
      <c r="J962">
        <v>6033.2579999999998</v>
      </c>
    </row>
    <row r="963" spans="1:10">
      <c r="A963">
        <v>161</v>
      </c>
      <c r="B963">
        <v>10</v>
      </c>
      <c r="C963" t="s">
        <v>106</v>
      </c>
      <c r="D963">
        <v>-33.916232665161402</v>
      </c>
      <c r="E963">
        <v>18.847570458151399</v>
      </c>
      <c r="F963">
        <v>6.5750000000000003E-2</v>
      </c>
      <c r="G963">
        <v>0.1643</v>
      </c>
      <c r="H963">
        <v>9.8599999999999993E-2</v>
      </c>
      <c r="I963">
        <v>4161.2089999999998</v>
      </c>
      <c r="J963">
        <v>6078.7489999999998</v>
      </c>
    </row>
    <row r="964" spans="1:10">
      <c r="A964">
        <v>162</v>
      </c>
      <c r="B964">
        <v>10</v>
      </c>
      <c r="C964" t="s">
        <v>106</v>
      </c>
      <c r="D964">
        <v>-33.9156531880001</v>
      </c>
      <c r="E964">
        <v>18.847534961983701</v>
      </c>
      <c r="F964">
        <v>6.5750000000000003E-2</v>
      </c>
      <c r="G964">
        <v>0.1643</v>
      </c>
      <c r="H964">
        <v>9.8599999999999993E-2</v>
      </c>
      <c r="I964">
        <v>4229.8710000000001</v>
      </c>
      <c r="J964">
        <v>6147.4120000000003</v>
      </c>
    </row>
    <row r="965" spans="1:10">
      <c r="A965">
        <v>163</v>
      </c>
      <c r="B965">
        <v>10</v>
      </c>
      <c r="C965" t="s">
        <v>106</v>
      </c>
      <c r="D965">
        <v>-33.919093690734996</v>
      </c>
      <c r="E965">
        <v>18.846643671410199</v>
      </c>
      <c r="F965">
        <v>6.5750000000000003E-2</v>
      </c>
      <c r="G965">
        <v>0.1643</v>
      </c>
      <c r="H965">
        <v>9.8599999999999993E-2</v>
      </c>
      <c r="I965">
        <v>4405.4089999999997</v>
      </c>
      <c r="J965">
        <v>6322.95</v>
      </c>
    </row>
    <row r="966" spans="1:10">
      <c r="A966">
        <v>164</v>
      </c>
      <c r="B966">
        <v>10</v>
      </c>
      <c r="C966" t="s">
        <v>106</v>
      </c>
      <c r="D966">
        <v>-33.9134205479358</v>
      </c>
      <c r="E966">
        <v>18.847427532531501</v>
      </c>
      <c r="F966">
        <v>6.5750000000000003E-2</v>
      </c>
      <c r="G966">
        <v>0.1643</v>
      </c>
      <c r="H966">
        <v>9.8599999999999993E-2</v>
      </c>
      <c r="I966">
        <v>4358.0590000000002</v>
      </c>
      <c r="J966">
        <v>6275.6</v>
      </c>
    </row>
    <row r="967" spans="1:10">
      <c r="A967">
        <v>165</v>
      </c>
      <c r="B967">
        <v>10</v>
      </c>
      <c r="C967" t="s">
        <v>106</v>
      </c>
      <c r="D967">
        <v>-33.915794524776501</v>
      </c>
      <c r="E967">
        <v>18.846183737003201</v>
      </c>
      <c r="F967">
        <v>6.5750000000000003E-2</v>
      </c>
      <c r="G967">
        <v>0.1643</v>
      </c>
      <c r="H967">
        <v>9.8599999999999993E-2</v>
      </c>
      <c r="I967">
        <v>4281.2460000000001</v>
      </c>
      <c r="J967">
        <v>6198.7870000000003</v>
      </c>
    </row>
    <row r="968" spans="1:10">
      <c r="A968">
        <v>166</v>
      </c>
      <c r="B968">
        <v>10</v>
      </c>
      <c r="C968" t="s">
        <v>106</v>
      </c>
      <c r="D968">
        <v>-33.914570704597899</v>
      </c>
      <c r="E968">
        <v>18.847210873540799</v>
      </c>
      <c r="F968">
        <v>6.5750000000000003E-2</v>
      </c>
      <c r="G968">
        <v>0.1643</v>
      </c>
      <c r="H968">
        <v>9.8599999999999993E-2</v>
      </c>
      <c r="I968">
        <v>4365.6350000000002</v>
      </c>
      <c r="J968">
        <v>6283.1750000000002</v>
      </c>
    </row>
    <row r="969" spans="1:10">
      <c r="A969">
        <v>167</v>
      </c>
      <c r="B969">
        <v>10</v>
      </c>
      <c r="C969" t="s">
        <v>106</v>
      </c>
      <c r="D969">
        <v>-33.913589001330301</v>
      </c>
      <c r="E969">
        <v>18.846996887628801</v>
      </c>
      <c r="F969">
        <v>6.5750000000000003E-2</v>
      </c>
      <c r="G969">
        <v>0.1643</v>
      </c>
      <c r="H969">
        <v>9.8599999999999993E-2</v>
      </c>
      <c r="I969">
        <v>4401.6480000000001</v>
      </c>
      <c r="J969">
        <v>6319.1880000000001</v>
      </c>
    </row>
    <row r="970" spans="1:10">
      <c r="A970">
        <v>168</v>
      </c>
      <c r="B970">
        <v>10</v>
      </c>
      <c r="C970" t="s">
        <v>106</v>
      </c>
      <c r="D970">
        <v>-33.914786983126</v>
      </c>
      <c r="E970">
        <v>18.845808238458101</v>
      </c>
      <c r="F970">
        <v>6.5750000000000003E-2</v>
      </c>
      <c r="G970">
        <v>0.1643</v>
      </c>
      <c r="H970">
        <v>9.8599999999999993E-2</v>
      </c>
      <c r="I970">
        <v>4530.8059999999996</v>
      </c>
      <c r="J970">
        <v>6448.3469999999998</v>
      </c>
    </row>
    <row r="971" spans="1:10">
      <c r="A971">
        <v>169</v>
      </c>
      <c r="B971">
        <v>10</v>
      </c>
      <c r="C971" t="s">
        <v>106</v>
      </c>
      <c r="D971">
        <v>-33.915911441404198</v>
      </c>
      <c r="E971">
        <v>18.8473122824076</v>
      </c>
      <c r="F971">
        <v>6.5750000000000003E-2</v>
      </c>
      <c r="G971">
        <v>0.1643</v>
      </c>
      <c r="H971">
        <v>9.8599999999999993E-2</v>
      </c>
      <c r="I971">
        <v>4180.4629999999997</v>
      </c>
      <c r="J971">
        <v>6098.0039999999999</v>
      </c>
    </row>
    <row r="972" spans="1:10">
      <c r="A972">
        <v>170</v>
      </c>
      <c r="B972">
        <v>10</v>
      </c>
      <c r="C972" t="s">
        <v>106</v>
      </c>
      <c r="D972">
        <v>-33.916457638247202</v>
      </c>
      <c r="E972">
        <v>18.846292619042899</v>
      </c>
      <c r="F972">
        <v>6.5750000000000003E-2</v>
      </c>
      <c r="G972">
        <v>0.1643</v>
      </c>
      <c r="H972">
        <v>9.8599999999999993E-2</v>
      </c>
      <c r="I972">
        <v>4216.433</v>
      </c>
      <c r="J972">
        <v>6133.973</v>
      </c>
    </row>
    <row r="973" spans="1:10">
      <c r="A973">
        <v>171</v>
      </c>
      <c r="B973">
        <v>10</v>
      </c>
      <c r="C973" t="s">
        <v>106</v>
      </c>
      <c r="D973">
        <v>-33.918795496917497</v>
      </c>
      <c r="E973">
        <v>18.846418902673999</v>
      </c>
      <c r="F973">
        <v>6.5750000000000003E-2</v>
      </c>
      <c r="G973">
        <v>0.1643</v>
      </c>
      <c r="H973">
        <v>9.8599999999999993E-2</v>
      </c>
      <c r="I973">
        <v>4370.8119999999999</v>
      </c>
      <c r="J973">
        <v>6288.3530000000001</v>
      </c>
    </row>
    <row r="974" spans="1:10">
      <c r="A974">
        <v>172</v>
      </c>
      <c r="B974">
        <v>10</v>
      </c>
      <c r="C974" t="s">
        <v>106</v>
      </c>
      <c r="D974">
        <v>-33.914450128473099</v>
      </c>
      <c r="E974">
        <v>18.846988451990899</v>
      </c>
      <c r="F974">
        <v>6.5750000000000003E-2</v>
      </c>
      <c r="G974">
        <v>0.1643</v>
      </c>
      <c r="H974">
        <v>9.8599999999999993E-2</v>
      </c>
      <c r="I974">
        <v>4408.43</v>
      </c>
      <c r="J974">
        <v>6325.9709999999995</v>
      </c>
    </row>
    <row r="975" spans="1:10">
      <c r="A975">
        <v>173</v>
      </c>
      <c r="B975">
        <v>10</v>
      </c>
      <c r="C975" t="s">
        <v>106</v>
      </c>
      <c r="D975">
        <v>-33.919160037259203</v>
      </c>
      <c r="E975">
        <v>18.847196884141901</v>
      </c>
      <c r="F975">
        <v>6.5750000000000003E-2</v>
      </c>
      <c r="G975">
        <v>0.1643</v>
      </c>
      <c r="H975">
        <v>9.8599999999999993E-2</v>
      </c>
      <c r="I975">
        <v>4239.25</v>
      </c>
      <c r="J975">
        <v>6156.79</v>
      </c>
    </row>
    <row r="976" spans="1:10">
      <c r="A976">
        <v>174</v>
      </c>
      <c r="B976">
        <v>10</v>
      </c>
      <c r="C976" t="s">
        <v>106</v>
      </c>
      <c r="D976">
        <v>-33.916310109094397</v>
      </c>
      <c r="E976">
        <v>18.845698953589402</v>
      </c>
      <c r="F976">
        <v>6.5750000000000003E-2</v>
      </c>
      <c r="G976">
        <v>0.1643</v>
      </c>
      <c r="H976">
        <v>9.8599999999999993E-2</v>
      </c>
      <c r="I976">
        <v>4296.7250000000004</v>
      </c>
      <c r="J976">
        <v>6214.2659999999996</v>
      </c>
    </row>
    <row r="977" spans="1:10">
      <c r="A977">
        <v>175</v>
      </c>
      <c r="B977">
        <v>10</v>
      </c>
      <c r="C977" t="s">
        <v>106</v>
      </c>
      <c r="D977">
        <v>-33.913058054146603</v>
      </c>
      <c r="E977">
        <v>18.845908793885901</v>
      </c>
      <c r="F977">
        <v>6.5750000000000003E-2</v>
      </c>
      <c r="G977">
        <v>0.1643</v>
      </c>
      <c r="H977">
        <v>9.8599999999999993E-2</v>
      </c>
      <c r="I977">
        <v>4774.29</v>
      </c>
      <c r="J977">
        <v>6691.8310000000001</v>
      </c>
    </row>
    <row r="978" spans="1:10">
      <c r="A978">
        <v>176</v>
      </c>
      <c r="B978">
        <v>10</v>
      </c>
      <c r="C978" t="s">
        <v>106</v>
      </c>
      <c r="D978">
        <v>-33.916072367514602</v>
      </c>
      <c r="E978">
        <v>18.8471308410159</v>
      </c>
      <c r="F978">
        <v>6.5750000000000003E-2</v>
      </c>
      <c r="G978">
        <v>0.1643</v>
      </c>
      <c r="H978">
        <v>9.8599999999999993E-2</v>
      </c>
      <c r="I978">
        <v>4200.4009999999998</v>
      </c>
      <c r="J978">
        <v>6117.942</v>
      </c>
    </row>
    <row r="979" spans="1:10">
      <c r="A979">
        <v>177</v>
      </c>
      <c r="B979">
        <v>10</v>
      </c>
      <c r="C979" t="s">
        <v>106</v>
      </c>
      <c r="D979">
        <v>-33.9149170600422</v>
      </c>
      <c r="E979">
        <v>18.847438859451699</v>
      </c>
      <c r="F979">
        <v>6.5750000000000003E-2</v>
      </c>
      <c r="G979">
        <v>0.1643</v>
      </c>
      <c r="H979">
        <v>9.8599999999999993E-2</v>
      </c>
      <c r="I979">
        <v>4290.8379999999997</v>
      </c>
      <c r="J979">
        <v>6208.3789999999999</v>
      </c>
    </row>
    <row r="980" spans="1:10">
      <c r="A980">
        <v>178</v>
      </c>
      <c r="B980">
        <v>10</v>
      </c>
      <c r="C980" t="s">
        <v>106</v>
      </c>
      <c r="D980">
        <v>-33.9167434299329</v>
      </c>
      <c r="E980">
        <v>18.845160696254201</v>
      </c>
      <c r="F980">
        <v>6.5750000000000003E-2</v>
      </c>
      <c r="G980">
        <v>0.1643</v>
      </c>
      <c r="H980">
        <v>9.8599999999999993E-2</v>
      </c>
      <c r="I980">
        <v>4928.8469999999998</v>
      </c>
      <c r="J980">
        <v>6846.3879999999999</v>
      </c>
    </row>
    <row r="981" spans="1:10">
      <c r="A981">
        <v>179</v>
      </c>
      <c r="B981">
        <v>10</v>
      </c>
      <c r="C981" t="s">
        <v>106</v>
      </c>
      <c r="D981">
        <v>-33.917811959535499</v>
      </c>
      <c r="E981">
        <v>18.846570657866799</v>
      </c>
      <c r="F981">
        <v>6.5750000000000003E-2</v>
      </c>
      <c r="G981">
        <v>0.1643</v>
      </c>
      <c r="H981">
        <v>9.8599999999999993E-2</v>
      </c>
      <c r="I981">
        <v>4217.326</v>
      </c>
      <c r="J981">
        <v>6134.8670000000002</v>
      </c>
    </row>
    <row r="982" spans="1:10">
      <c r="A982">
        <v>180</v>
      </c>
      <c r="B982">
        <v>10</v>
      </c>
      <c r="C982" t="s">
        <v>106</v>
      </c>
      <c r="D982">
        <v>-33.917228065411201</v>
      </c>
      <c r="E982">
        <v>18.845089732154101</v>
      </c>
      <c r="F982">
        <v>6.5750000000000003E-2</v>
      </c>
      <c r="G982">
        <v>0.1643</v>
      </c>
      <c r="H982">
        <v>9.8599999999999993E-2</v>
      </c>
      <c r="I982">
        <v>4963.8959999999997</v>
      </c>
      <c r="J982">
        <v>6881.4369999999999</v>
      </c>
    </row>
    <row r="983" spans="1:10">
      <c r="A983">
        <v>181</v>
      </c>
      <c r="B983">
        <v>10</v>
      </c>
      <c r="C983" t="s">
        <v>106</v>
      </c>
      <c r="D983">
        <v>-33.918003867470702</v>
      </c>
      <c r="E983">
        <v>18.847616272941401</v>
      </c>
      <c r="F983">
        <v>6.5750000000000003E-2</v>
      </c>
      <c r="G983">
        <v>0.1643</v>
      </c>
      <c r="H983">
        <v>9.8599999999999993E-2</v>
      </c>
      <c r="I983">
        <v>4163.1379999999999</v>
      </c>
      <c r="J983">
        <v>6080.6790000000001</v>
      </c>
    </row>
    <row r="984" spans="1:10">
      <c r="A984">
        <v>182</v>
      </c>
      <c r="B984">
        <v>10</v>
      </c>
      <c r="C984" t="s">
        <v>106</v>
      </c>
      <c r="D984">
        <v>-33.9143644127237</v>
      </c>
      <c r="E984">
        <v>18.847026217687699</v>
      </c>
      <c r="F984">
        <v>6.5750000000000003E-2</v>
      </c>
      <c r="G984">
        <v>0.1643</v>
      </c>
      <c r="H984">
        <v>9.8599999999999993E-2</v>
      </c>
      <c r="I984">
        <v>4400.3909999999996</v>
      </c>
      <c r="J984">
        <v>6317.9319999999998</v>
      </c>
    </row>
    <row r="985" spans="1:10">
      <c r="A985">
        <v>183</v>
      </c>
      <c r="B985">
        <v>10</v>
      </c>
      <c r="C985" t="s">
        <v>106</v>
      </c>
      <c r="D985">
        <v>-33.913540851750398</v>
      </c>
      <c r="E985">
        <v>18.845242427878102</v>
      </c>
      <c r="F985">
        <v>6.5750000000000003E-2</v>
      </c>
      <c r="G985">
        <v>0.1643</v>
      </c>
      <c r="H985">
        <v>9.8599999999999993E-2</v>
      </c>
      <c r="I985">
        <v>4855.259</v>
      </c>
      <c r="J985">
        <v>6772.8</v>
      </c>
    </row>
    <row r="986" spans="1:10">
      <c r="A986">
        <v>184</v>
      </c>
      <c r="B986">
        <v>10</v>
      </c>
      <c r="C986" t="s">
        <v>106</v>
      </c>
      <c r="D986">
        <v>-33.914384958514702</v>
      </c>
      <c r="E986">
        <v>18.845987320280699</v>
      </c>
      <c r="F986">
        <v>6.5750000000000003E-2</v>
      </c>
      <c r="G986">
        <v>0.1643</v>
      </c>
      <c r="H986">
        <v>9.8599999999999993E-2</v>
      </c>
      <c r="I986">
        <v>4539.0770000000002</v>
      </c>
      <c r="J986">
        <v>6456.6180000000004</v>
      </c>
    </row>
    <row r="987" spans="1:10">
      <c r="A987">
        <v>185</v>
      </c>
      <c r="B987">
        <v>10</v>
      </c>
      <c r="C987" t="s">
        <v>106</v>
      </c>
      <c r="D987">
        <v>-33.9147790772953</v>
      </c>
      <c r="E987">
        <v>18.8456316016843</v>
      </c>
      <c r="F987">
        <v>6.5750000000000003E-2</v>
      </c>
      <c r="G987">
        <v>0.1643</v>
      </c>
      <c r="H987">
        <v>9.8599999999999993E-2</v>
      </c>
      <c r="I987">
        <v>4530.8680000000004</v>
      </c>
      <c r="J987">
        <v>6448.4089999999997</v>
      </c>
    </row>
    <row r="988" spans="1:10">
      <c r="A988">
        <v>186</v>
      </c>
      <c r="B988">
        <v>10</v>
      </c>
      <c r="C988" t="s">
        <v>106</v>
      </c>
      <c r="D988">
        <v>-33.919093090893398</v>
      </c>
      <c r="E988">
        <v>18.844934622860801</v>
      </c>
      <c r="F988">
        <v>6.5750000000000003E-2</v>
      </c>
      <c r="G988">
        <v>0.1643</v>
      </c>
      <c r="H988">
        <v>9.8599999999999993E-2</v>
      </c>
      <c r="I988">
        <v>4392.5860000000002</v>
      </c>
      <c r="J988">
        <v>6310.1270000000004</v>
      </c>
    </row>
    <row r="989" spans="1:10">
      <c r="A989">
        <v>187</v>
      </c>
      <c r="B989">
        <v>10</v>
      </c>
      <c r="C989" t="s">
        <v>106</v>
      </c>
      <c r="D989">
        <v>-33.914185327511603</v>
      </c>
      <c r="E989">
        <v>18.846728636708701</v>
      </c>
      <c r="F989">
        <v>6.5750000000000003E-2</v>
      </c>
      <c r="G989">
        <v>0.1643</v>
      </c>
      <c r="H989">
        <v>9.8599999999999993E-2</v>
      </c>
      <c r="I989">
        <v>4412.9579999999996</v>
      </c>
      <c r="J989">
        <v>6330.4989999999998</v>
      </c>
    </row>
    <row r="990" spans="1:10">
      <c r="A990">
        <v>188</v>
      </c>
      <c r="B990">
        <v>10</v>
      </c>
      <c r="C990" t="s">
        <v>106</v>
      </c>
      <c r="D990">
        <v>-33.918637457753803</v>
      </c>
      <c r="E990">
        <v>18.847610074173598</v>
      </c>
      <c r="F990">
        <v>6.5750000000000003E-2</v>
      </c>
      <c r="G990">
        <v>0.1643</v>
      </c>
      <c r="H990">
        <v>9.8599999999999993E-2</v>
      </c>
      <c r="I990">
        <v>4225.3540000000003</v>
      </c>
      <c r="J990">
        <v>6142.8950000000004</v>
      </c>
    </row>
    <row r="991" spans="1:10">
      <c r="A991">
        <v>189</v>
      </c>
      <c r="B991">
        <v>10</v>
      </c>
      <c r="C991" t="s">
        <v>106</v>
      </c>
      <c r="D991">
        <v>-33.918164379999602</v>
      </c>
      <c r="E991">
        <v>18.847155845531098</v>
      </c>
      <c r="F991">
        <v>6.5750000000000003E-2</v>
      </c>
      <c r="G991">
        <v>0.1643</v>
      </c>
      <c r="H991">
        <v>9.8599999999999993E-2</v>
      </c>
      <c r="I991">
        <v>4182.165</v>
      </c>
      <c r="J991">
        <v>6099.7060000000001</v>
      </c>
    </row>
    <row r="992" spans="1:10">
      <c r="A992">
        <v>190</v>
      </c>
      <c r="B992">
        <v>10</v>
      </c>
      <c r="C992" t="s">
        <v>106</v>
      </c>
      <c r="D992">
        <v>-33.9142288539988</v>
      </c>
      <c r="E992">
        <v>18.845131628930499</v>
      </c>
      <c r="F992">
        <v>6.5750000000000003E-2</v>
      </c>
      <c r="G992">
        <v>0.1643</v>
      </c>
      <c r="H992">
        <v>9.8599999999999993E-2</v>
      </c>
      <c r="I992">
        <v>4594.4260000000004</v>
      </c>
      <c r="J992">
        <v>6511.9669999999996</v>
      </c>
    </row>
    <row r="993" spans="1:10">
      <c r="A993">
        <v>191</v>
      </c>
      <c r="B993">
        <v>10</v>
      </c>
      <c r="C993" t="s">
        <v>106</v>
      </c>
      <c r="D993">
        <v>-33.9165572125004</v>
      </c>
      <c r="E993">
        <v>18.847592124712499</v>
      </c>
      <c r="F993">
        <v>6.5750000000000003E-2</v>
      </c>
      <c r="G993">
        <v>0.1643</v>
      </c>
      <c r="H993">
        <v>9.8599999999999993E-2</v>
      </c>
      <c r="I993">
        <v>4079.2440000000001</v>
      </c>
      <c r="J993">
        <v>5996.7849999999999</v>
      </c>
    </row>
    <row r="994" spans="1:10">
      <c r="A994">
        <v>192</v>
      </c>
      <c r="B994">
        <v>10</v>
      </c>
      <c r="C994" t="s">
        <v>106</v>
      </c>
      <c r="D994">
        <v>-33.917306865990199</v>
      </c>
      <c r="E994">
        <v>18.8464803370086</v>
      </c>
      <c r="F994">
        <v>6.5750000000000003E-2</v>
      </c>
      <c r="G994">
        <v>0.1643</v>
      </c>
      <c r="H994">
        <v>9.8599999999999993E-2</v>
      </c>
      <c r="I994">
        <v>4210.442</v>
      </c>
      <c r="J994">
        <v>6127.9830000000002</v>
      </c>
    </row>
    <row r="995" spans="1:10">
      <c r="A995">
        <v>193</v>
      </c>
      <c r="B995">
        <v>10</v>
      </c>
      <c r="C995" t="s">
        <v>106</v>
      </c>
      <c r="D995">
        <v>-33.916458516475501</v>
      </c>
      <c r="E995">
        <v>18.847314083042701</v>
      </c>
      <c r="F995">
        <v>6.5750000000000003E-2</v>
      </c>
      <c r="G995">
        <v>0.1643</v>
      </c>
      <c r="H995">
        <v>9.8599999999999993E-2</v>
      </c>
      <c r="I995">
        <v>4101.317</v>
      </c>
      <c r="J995">
        <v>6018.8580000000002</v>
      </c>
    </row>
    <row r="996" spans="1:10">
      <c r="A996">
        <v>194</v>
      </c>
      <c r="B996">
        <v>10</v>
      </c>
      <c r="C996" t="s">
        <v>106</v>
      </c>
      <c r="D996">
        <v>-33.917765998269502</v>
      </c>
      <c r="E996">
        <v>18.845353138411198</v>
      </c>
      <c r="F996">
        <v>6.5750000000000003E-2</v>
      </c>
      <c r="G996">
        <v>0.1643</v>
      </c>
      <c r="H996">
        <v>9.8599999999999993E-2</v>
      </c>
      <c r="I996">
        <v>5017.5309999999999</v>
      </c>
      <c r="J996">
        <v>6935.0709999999999</v>
      </c>
    </row>
    <row r="997" spans="1:10">
      <c r="A997">
        <v>195</v>
      </c>
      <c r="B997">
        <v>10</v>
      </c>
      <c r="C997" t="s">
        <v>106</v>
      </c>
      <c r="D997">
        <v>-33.9125844950781</v>
      </c>
      <c r="E997">
        <v>18.847469693073901</v>
      </c>
      <c r="F997">
        <v>6.5750000000000003E-2</v>
      </c>
      <c r="G997">
        <v>0.1643</v>
      </c>
      <c r="H997">
        <v>9.8599999999999993E-2</v>
      </c>
      <c r="I997">
        <v>4443.3670000000002</v>
      </c>
      <c r="J997">
        <v>6360.9080000000004</v>
      </c>
    </row>
    <row r="998" spans="1:10">
      <c r="A998">
        <v>196</v>
      </c>
      <c r="B998">
        <v>10</v>
      </c>
      <c r="C998" t="s">
        <v>106</v>
      </c>
      <c r="D998">
        <v>-33.914593510412097</v>
      </c>
      <c r="E998">
        <v>18.845858122414601</v>
      </c>
      <c r="F998">
        <v>6.5750000000000003E-2</v>
      </c>
      <c r="G998">
        <v>0.1643</v>
      </c>
      <c r="H998">
        <v>9.8599999999999993E-2</v>
      </c>
      <c r="I998">
        <v>4514.2020000000002</v>
      </c>
      <c r="J998">
        <v>6431.7430000000004</v>
      </c>
    </row>
    <row r="999" spans="1:10">
      <c r="A999">
        <v>197</v>
      </c>
      <c r="B999">
        <v>10</v>
      </c>
      <c r="C999" t="s">
        <v>106</v>
      </c>
      <c r="D999">
        <v>-33.917424419605098</v>
      </c>
      <c r="E999">
        <v>18.846037472175201</v>
      </c>
      <c r="F999">
        <v>6.5750000000000003E-2</v>
      </c>
      <c r="G999">
        <v>0.1643</v>
      </c>
      <c r="H999">
        <v>9.8599999999999993E-2</v>
      </c>
      <c r="I999">
        <v>4212.4179999999997</v>
      </c>
      <c r="J999">
        <v>6129.9579999999996</v>
      </c>
    </row>
    <row r="1000" spans="1:10">
      <c r="A1000">
        <v>198</v>
      </c>
      <c r="B1000">
        <v>10</v>
      </c>
      <c r="C1000" t="s">
        <v>106</v>
      </c>
      <c r="D1000">
        <v>-33.916153689721199</v>
      </c>
      <c r="E1000">
        <v>18.846351508240499</v>
      </c>
      <c r="F1000">
        <v>6.5750000000000003E-2</v>
      </c>
      <c r="G1000">
        <v>0.1643</v>
      </c>
      <c r="H1000">
        <v>9.8599999999999993E-2</v>
      </c>
      <c r="I1000">
        <v>4238.4369999999999</v>
      </c>
      <c r="J1000">
        <v>6155.9780000000001</v>
      </c>
    </row>
    <row r="1001" spans="1:10">
      <c r="A1001">
        <v>199</v>
      </c>
      <c r="B1001">
        <v>10</v>
      </c>
      <c r="C1001" t="s">
        <v>106</v>
      </c>
      <c r="D1001">
        <v>-33.9131619254116</v>
      </c>
      <c r="E1001">
        <v>18.845596702607502</v>
      </c>
      <c r="F1001">
        <v>6.5750000000000003E-2</v>
      </c>
      <c r="G1001">
        <v>0.1643</v>
      </c>
      <c r="H1001">
        <v>9.8599999999999993E-2</v>
      </c>
      <c r="I1001">
        <v>4804.643</v>
      </c>
      <c r="J1001">
        <v>6722.1840000000002</v>
      </c>
    </row>
    <row r="1002" spans="1:10">
      <c r="A1002">
        <v>200</v>
      </c>
      <c r="B1002">
        <v>10</v>
      </c>
      <c r="C1002" t="s">
        <v>106</v>
      </c>
      <c r="D1002">
        <v>-33.918095787168099</v>
      </c>
      <c r="E1002">
        <v>18.845198105700899</v>
      </c>
      <c r="F1002">
        <v>6.5750000000000003E-2</v>
      </c>
      <c r="G1002">
        <v>0.1643</v>
      </c>
      <c r="H1002">
        <v>9.8599999999999993E-2</v>
      </c>
      <c r="I1002">
        <v>4643.6210000000001</v>
      </c>
      <c r="J1002">
        <v>6561.1620000000003</v>
      </c>
    </row>
    <row r="1003" spans="1:10">
      <c r="A1003">
        <v>201</v>
      </c>
      <c r="B1003">
        <v>10</v>
      </c>
      <c r="C1003" t="s">
        <v>106</v>
      </c>
      <c r="D1003">
        <v>-33.913484519188103</v>
      </c>
      <c r="E1003">
        <v>18.846576696995999</v>
      </c>
      <c r="F1003">
        <v>6.5750000000000003E-2</v>
      </c>
      <c r="G1003">
        <v>0.1643</v>
      </c>
      <c r="H1003">
        <v>9.8599999999999993E-2</v>
      </c>
      <c r="I1003">
        <v>4468.1869999999999</v>
      </c>
      <c r="J1003">
        <v>6385.7280000000001</v>
      </c>
    </row>
    <row r="1004" spans="1:10">
      <c r="A1004">
        <v>202</v>
      </c>
      <c r="B1004">
        <v>10</v>
      </c>
      <c r="C1004" t="s">
        <v>106</v>
      </c>
      <c r="D1004">
        <v>-33.912965341722099</v>
      </c>
      <c r="E1004">
        <v>18.8455595131738</v>
      </c>
      <c r="F1004">
        <v>6.5750000000000003E-2</v>
      </c>
      <c r="G1004">
        <v>0.1643</v>
      </c>
      <c r="H1004">
        <v>9.8599999999999993E-2</v>
      </c>
      <c r="I1004">
        <v>4797.4539999999997</v>
      </c>
      <c r="J1004">
        <v>6714.9949999999999</v>
      </c>
    </row>
    <row r="1005" spans="1:10">
      <c r="A1005">
        <v>203</v>
      </c>
      <c r="B1005">
        <v>10</v>
      </c>
      <c r="C1005" t="s">
        <v>106</v>
      </c>
      <c r="D1005">
        <v>-33.918722277514199</v>
      </c>
      <c r="E1005">
        <v>18.845745617948602</v>
      </c>
      <c r="F1005">
        <v>6.5750000000000003E-2</v>
      </c>
      <c r="G1005">
        <v>0.1643</v>
      </c>
      <c r="H1005">
        <v>9.8599999999999993E-2</v>
      </c>
      <c r="I1005">
        <v>4328.7049999999999</v>
      </c>
      <c r="J1005">
        <v>6246.2460000000001</v>
      </c>
    </row>
    <row r="1006" spans="1:10">
      <c r="A1006">
        <v>204</v>
      </c>
      <c r="B1006">
        <v>10</v>
      </c>
      <c r="C1006" t="s">
        <v>106</v>
      </c>
      <c r="D1006">
        <v>-33.915591121853801</v>
      </c>
      <c r="E1006">
        <v>18.845186810482101</v>
      </c>
      <c r="F1006">
        <v>6.5750000000000003E-2</v>
      </c>
      <c r="G1006">
        <v>0.1643</v>
      </c>
      <c r="H1006">
        <v>9.8599999999999993E-2</v>
      </c>
      <c r="I1006">
        <v>4668.6149999999998</v>
      </c>
      <c r="J1006">
        <v>6586.1559999999999</v>
      </c>
    </row>
    <row r="1007" spans="1:10">
      <c r="A1007">
        <v>205</v>
      </c>
      <c r="B1007">
        <v>10</v>
      </c>
      <c r="C1007" t="s">
        <v>106</v>
      </c>
      <c r="D1007">
        <v>-33.914869211692903</v>
      </c>
      <c r="E1007">
        <v>18.846731859191699</v>
      </c>
      <c r="F1007">
        <v>6.5750000000000003E-2</v>
      </c>
      <c r="G1007">
        <v>0.1643</v>
      </c>
      <c r="H1007">
        <v>9.8599999999999993E-2</v>
      </c>
      <c r="I1007">
        <v>4656.6409999999996</v>
      </c>
      <c r="J1007">
        <v>6574.1819999999998</v>
      </c>
    </row>
    <row r="1008" spans="1:10">
      <c r="A1008">
        <v>206</v>
      </c>
      <c r="B1008">
        <v>10</v>
      </c>
      <c r="C1008" t="s">
        <v>106</v>
      </c>
      <c r="D1008">
        <v>-33.918312407674101</v>
      </c>
      <c r="E1008">
        <v>18.847017005399</v>
      </c>
      <c r="F1008">
        <v>6.5750000000000003E-2</v>
      </c>
      <c r="G1008">
        <v>0.1643</v>
      </c>
      <c r="H1008">
        <v>9.8599999999999993E-2</v>
      </c>
      <c r="I1008">
        <v>4200.0370000000003</v>
      </c>
      <c r="J1008">
        <v>6117.5780000000004</v>
      </c>
    </row>
    <row r="1009" spans="1:10">
      <c r="A1009">
        <v>207</v>
      </c>
      <c r="B1009">
        <v>10</v>
      </c>
      <c r="C1009" t="s">
        <v>106</v>
      </c>
      <c r="D1009">
        <v>-33.915073275879003</v>
      </c>
      <c r="E1009">
        <v>18.846373496424398</v>
      </c>
      <c r="F1009">
        <v>6.5750000000000003E-2</v>
      </c>
      <c r="G1009">
        <v>0.1643</v>
      </c>
      <c r="H1009">
        <v>9.8599999999999993E-2</v>
      </c>
      <c r="I1009">
        <v>4609.8310000000001</v>
      </c>
      <c r="J1009">
        <v>6527.3720000000003</v>
      </c>
    </row>
    <row r="1010" spans="1:10">
      <c r="A1010">
        <v>208</v>
      </c>
      <c r="B1010">
        <v>10</v>
      </c>
      <c r="C1010" t="s">
        <v>106</v>
      </c>
      <c r="D1010">
        <v>-33.913793843561102</v>
      </c>
      <c r="E1010">
        <v>18.845154990433699</v>
      </c>
      <c r="F1010">
        <v>6.5750000000000003E-2</v>
      </c>
      <c r="G1010">
        <v>0.1643</v>
      </c>
      <c r="H1010">
        <v>9.8599999999999993E-2</v>
      </c>
      <c r="I1010">
        <v>4625.51</v>
      </c>
      <c r="J1010">
        <v>6543.05</v>
      </c>
    </row>
    <row r="1011" spans="1:10">
      <c r="A1011">
        <v>209</v>
      </c>
      <c r="B1011">
        <v>10</v>
      </c>
      <c r="C1011" t="s">
        <v>106</v>
      </c>
      <c r="D1011">
        <v>-33.917533494370602</v>
      </c>
      <c r="E1011">
        <v>18.846003814997999</v>
      </c>
      <c r="F1011">
        <v>6.5750000000000003E-2</v>
      </c>
      <c r="G1011">
        <v>0.1643</v>
      </c>
      <c r="H1011">
        <v>9.8599999999999993E-2</v>
      </c>
      <c r="I1011">
        <v>5017.5309999999999</v>
      </c>
      <c r="J1011">
        <v>6935.0709999999999</v>
      </c>
    </row>
    <row r="1012" spans="1:10">
      <c r="A1012">
        <v>210</v>
      </c>
      <c r="B1012">
        <v>10</v>
      </c>
      <c r="C1012" t="s">
        <v>106</v>
      </c>
      <c r="D1012">
        <v>-33.916567585807002</v>
      </c>
      <c r="E1012">
        <v>18.8452452688873</v>
      </c>
      <c r="F1012">
        <v>6.5750000000000003E-2</v>
      </c>
      <c r="G1012">
        <v>0.1643</v>
      </c>
      <c r="H1012">
        <v>9.8599999999999993E-2</v>
      </c>
      <c r="I1012">
        <v>4316.9409999999998</v>
      </c>
      <c r="J1012">
        <v>6234.4809999999998</v>
      </c>
    </row>
    <row r="1013" spans="1:10">
      <c r="A1013">
        <v>211</v>
      </c>
      <c r="B1013">
        <v>10</v>
      </c>
      <c r="C1013" t="s">
        <v>106</v>
      </c>
      <c r="D1013">
        <v>-33.918405186348998</v>
      </c>
      <c r="E1013">
        <v>18.847373423047799</v>
      </c>
      <c r="F1013">
        <v>6.5750000000000003E-2</v>
      </c>
      <c r="G1013">
        <v>0.1643</v>
      </c>
      <c r="H1013">
        <v>9.8599999999999993E-2</v>
      </c>
      <c r="I1013">
        <v>4184.4769999999999</v>
      </c>
      <c r="J1013">
        <v>6102.018</v>
      </c>
    </row>
    <row r="1014" spans="1:10">
      <c r="A1014">
        <v>212</v>
      </c>
      <c r="B1014">
        <v>10</v>
      </c>
      <c r="C1014" t="s">
        <v>106</v>
      </c>
      <c r="D1014">
        <v>-33.912734972031998</v>
      </c>
      <c r="E1014">
        <v>18.845150206730398</v>
      </c>
      <c r="F1014">
        <v>6.5750000000000003E-2</v>
      </c>
      <c r="G1014">
        <v>0.1643</v>
      </c>
      <c r="H1014">
        <v>9.8599999999999993E-2</v>
      </c>
      <c r="I1014">
        <v>4815.0739999999996</v>
      </c>
      <c r="J1014">
        <v>6732.6149999999998</v>
      </c>
    </row>
    <row r="1015" spans="1:10">
      <c r="A1015">
        <v>213</v>
      </c>
      <c r="B1015">
        <v>10</v>
      </c>
      <c r="C1015" t="s">
        <v>106</v>
      </c>
      <c r="D1015">
        <v>-33.918536762257901</v>
      </c>
      <c r="E1015">
        <v>18.845461957531398</v>
      </c>
      <c r="F1015">
        <v>6.5750000000000003E-2</v>
      </c>
      <c r="G1015">
        <v>0.1643</v>
      </c>
      <c r="H1015">
        <v>9.8599999999999993E-2</v>
      </c>
      <c r="I1015">
        <v>4361.6450000000004</v>
      </c>
      <c r="J1015">
        <v>6279.1859999999997</v>
      </c>
    </row>
    <row r="1016" spans="1:10">
      <c r="A1016">
        <v>214</v>
      </c>
      <c r="B1016">
        <v>10</v>
      </c>
      <c r="C1016" t="s">
        <v>106</v>
      </c>
      <c r="D1016">
        <v>-33.918262439900801</v>
      </c>
      <c r="E1016">
        <v>18.847224069434802</v>
      </c>
      <c r="F1016">
        <v>6.5750000000000003E-2</v>
      </c>
      <c r="G1016">
        <v>0.1643</v>
      </c>
      <c r="H1016">
        <v>9.8599999999999993E-2</v>
      </c>
      <c r="I1016">
        <v>4168.5069999999996</v>
      </c>
      <c r="J1016">
        <v>6086.0479999999998</v>
      </c>
    </row>
  </sheetData>
  <mergeCells count="1">
    <mergeCell ref="L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A10" workbookViewId="0">
      <selection activeCell="G17" sqref="G17"/>
    </sheetView>
  </sheetViews>
  <sheetFormatPr defaultRowHeight="13.8"/>
  <cols>
    <col min="1" max="1" width="16.19921875" customWidth="1"/>
    <col min="3" max="3" width="11.796875" customWidth="1"/>
    <col min="6" max="6" width="16.8984375" bestFit="1" customWidth="1"/>
    <col min="7" max="7" width="24" bestFit="1" customWidth="1"/>
    <col min="8" max="8" width="17.09765625" bestFit="1" customWidth="1"/>
    <col min="9" max="9" width="20.796875" bestFit="1" customWidth="1"/>
    <col min="10" max="10" width="12.3984375" bestFit="1" customWidth="1"/>
  </cols>
  <sheetData>
    <row r="1" spans="1:13" ht="21">
      <c r="C1" s="19" t="s">
        <v>172</v>
      </c>
    </row>
    <row r="2" spans="1:13">
      <c r="A2" t="s">
        <v>156</v>
      </c>
      <c r="B2" t="s">
        <v>166</v>
      </c>
      <c r="C2" t="s">
        <v>157</v>
      </c>
      <c r="D2" t="s">
        <v>158</v>
      </c>
      <c r="E2" t="s">
        <v>159</v>
      </c>
      <c r="F2" s="7" t="s">
        <v>160</v>
      </c>
      <c r="G2" t="s">
        <v>161</v>
      </c>
      <c r="H2" s="7" t="s">
        <v>162</v>
      </c>
      <c r="I2" s="7" t="s">
        <v>163</v>
      </c>
      <c r="J2" s="7" t="s">
        <v>164</v>
      </c>
      <c r="K2" s="7" t="s">
        <v>257</v>
      </c>
      <c r="L2" s="7" t="s">
        <v>234</v>
      </c>
    </row>
    <row r="3" spans="1:13">
      <c r="A3" t="s">
        <v>155</v>
      </c>
      <c r="B3">
        <v>1</v>
      </c>
      <c r="C3">
        <v>14</v>
      </c>
      <c r="D3">
        <v>14</v>
      </c>
      <c r="E3">
        <v>7.5</v>
      </c>
      <c r="F3" s="23">
        <v>3.4069065781681398</v>
      </c>
      <c r="G3" s="22">
        <v>14.4379831621766</v>
      </c>
      <c r="H3" s="23">
        <v>14.4379831621766</v>
      </c>
      <c r="I3" s="23">
        <v>24.427174999999998</v>
      </c>
      <c r="J3" s="23">
        <v>38.775529708181402</v>
      </c>
      <c r="K3" s="23">
        <v>21.1957109999999</v>
      </c>
      <c r="L3" s="31">
        <f>K3-I3</f>
        <v>-3.2314640000000985</v>
      </c>
    </row>
    <row r="4" spans="1:13">
      <c r="A4" t="s">
        <v>165</v>
      </c>
      <c r="B4">
        <v>1</v>
      </c>
      <c r="C4">
        <v>14</v>
      </c>
      <c r="D4">
        <v>14</v>
      </c>
      <c r="E4">
        <v>7.5</v>
      </c>
      <c r="F4" s="23">
        <v>3.3107163615015902</v>
      </c>
      <c r="G4" s="22">
        <v>14.4379831621766</v>
      </c>
      <c r="H4" s="23">
        <v>14.4379831621766</v>
      </c>
      <c r="I4" s="23">
        <v>18.655761999999999</v>
      </c>
      <c r="J4" s="23">
        <v>28.3781698167457</v>
      </c>
      <c r="K4" s="23">
        <v>17.722821</v>
      </c>
      <c r="L4" s="31">
        <f t="shared" ref="L4:L12" si="0">K4-I4</f>
        <v>-0.93294099999999958</v>
      </c>
    </row>
    <row r="5" spans="1:13">
      <c r="A5" t="s">
        <v>10</v>
      </c>
      <c r="B5">
        <v>1</v>
      </c>
      <c r="C5">
        <v>14</v>
      </c>
      <c r="D5">
        <v>14</v>
      </c>
      <c r="E5">
        <v>7.5</v>
      </c>
      <c r="F5" s="23">
        <v>3.7272151615014999</v>
      </c>
      <c r="G5" s="22">
        <v>14.4379831621766</v>
      </c>
      <c r="H5" s="23">
        <v>14.4379831621766</v>
      </c>
      <c r="I5" s="23">
        <v>43.645689999999902</v>
      </c>
      <c r="J5" s="23">
        <v>73.993574155654201</v>
      </c>
      <c r="K5" s="23">
        <v>26.6188439999999</v>
      </c>
      <c r="L5" s="31">
        <f t="shared" si="0"/>
        <v>-17.026846000000003</v>
      </c>
      <c r="M5">
        <f>CORREL(I3:I12,J3:J12)</f>
        <v>0.98614416710414421</v>
      </c>
    </row>
    <row r="6" spans="1:13">
      <c r="A6" t="s">
        <v>35</v>
      </c>
      <c r="B6">
        <v>1</v>
      </c>
      <c r="C6">
        <v>14</v>
      </c>
      <c r="D6">
        <v>14</v>
      </c>
      <c r="E6">
        <v>7.5</v>
      </c>
      <c r="F6" s="23">
        <v>3.4201674948349399</v>
      </c>
      <c r="G6" s="22">
        <v>14.4379831621766</v>
      </c>
      <c r="H6" s="23">
        <v>14.4379831621766</v>
      </c>
      <c r="I6" s="23">
        <v>25.222829999999899</v>
      </c>
      <c r="J6" s="23">
        <v>39.731293342849902</v>
      </c>
      <c r="K6" s="23">
        <v>25.184759999999901</v>
      </c>
      <c r="L6" s="31">
        <f t="shared" si="0"/>
        <v>-3.8069999999997606E-2</v>
      </c>
    </row>
    <row r="7" spans="1:13">
      <c r="A7" t="s">
        <v>21</v>
      </c>
      <c r="B7">
        <v>1</v>
      </c>
      <c r="C7">
        <v>11</v>
      </c>
      <c r="D7">
        <v>11</v>
      </c>
      <c r="E7">
        <v>6</v>
      </c>
      <c r="F7" s="23">
        <v>3</v>
      </c>
      <c r="G7" s="22">
        <v>11.43</v>
      </c>
      <c r="H7" s="23">
        <v>11.43</v>
      </c>
      <c r="I7" s="23">
        <v>18.559999999999999</v>
      </c>
      <c r="J7" s="23">
        <v>25.72</v>
      </c>
      <c r="K7" s="23">
        <v>39.588064000000003</v>
      </c>
      <c r="L7" s="31">
        <f t="shared" si="0"/>
        <v>21.028064000000004</v>
      </c>
    </row>
    <row r="8" spans="1:13">
      <c r="A8" t="s">
        <v>50</v>
      </c>
      <c r="B8">
        <v>1</v>
      </c>
      <c r="C8">
        <v>14</v>
      </c>
      <c r="D8">
        <v>14</v>
      </c>
      <c r="E8">
        <v>7.5</v>
      </c>
      <c r="F8" s="23">
        <v>3.5300303115016001</v>
      </c>
      <c r="G8" s="22">
        <v>14.4379831621766</v>
      </c>
      <c r="H8" s="23">
        <v>14.4379831621766</v>
      </c>
      <c r="I8" s="23">
        <v>31.814599000000001</v>
      </c>
      <c r="J8" s="23">
        <v>51.531860394410799</v>
      </c>
      <c r="K8" s="23">
        <v>28.2352069999999</v>
      </c>
      <c r="L8" s="31">
        <f t="shared" si="0"/>
        <v>-3.5793920000001016</v>
      </c>
    </row>
    <row r="9" spans="1:13">
      <c r="A9" t="s">
        <v>52</v>
      </c>
      <c r="B9">
        <v>1</v>
      </c>
      <c r="C9">
        <v>14</v>
      </c>
      <c r="D9">
        <v>14</v>
      </c>
      <c r="E9">
        <v>7.5</v>
      </c>
      <c r="F9" s="23">
        <v>3.3920927448348799</v>
      </c>
      <c r="G9" s="22">
        <v>14.4379831621766</v>
      </c>
      <c r="H9" s="23">
        <v>14.4379831621766</v>
      </c>
      <c r="I9" s="23">
        <v>23.538345</v>
      </c>
      <c r="J9" s="23">
        <v>36.972798625840497</v>
      </c>
      <c r="K9" s="23">
        <v>22.595638999999998</v>
      </c>
      <c r="L9" s="31">
        <f t="shared" si="0"/>
        <v>-0.94270600000000115</v>
      </c>
    </row>
    <row r="10" spans="1:13">
      <c r="A10" t="s">
        <v>51</v>
      </c>
      <c r="B10">
        <v>1</v>
      </c>
      <c r="C10">
        <v>14</v>
      </c>
      <c r="D10">
        <v>14</v>
      </c>
      <c r="E10">
        <v>7.5</v>
      </c>
      <c r="F10" s="23">
        <v>3.5123918781682102</v>
      </c>
      <c r="G10" s="22">
        <v>14.4379831621766</v>
      </c>
      <c r="H10" s="23">
        <v>14.4379831621766</v>
      </c>
      <c r="I10" s="23">
        <v>30.756292999999999</v>
      </c>
      <c r="J10" s="23">
        <v>50.675746723232002</v>
      </c>
      <c r="K10" s="23">
        <v>26.529971</v>
      </c>
      <c r="L10" s="31">
        <f t="shared" si="0"/>
        <v>-4.2263219999999997</v>
      </c>
    </row>
    <row r="11" spans="1:13">
      <c r="A11" t="s">
        <v>11</v>
      </c>
      <c r="B11">
        <v>2</v>
      </c>
      <c r="C11">
        <v>14</v>
      </c>
      <c r="D11">
        <v>14</v>
      </c>
      <c r="E11">
        <v>7.5</v>
      </c>
      <c r="F11" s="23">
        <v>5.5722355776065093</v>
      </c>
      <c r="G11" s="22">
        <v>14.44</v>
      </c>
      <c r="H11" s="23">
        <v>21.651799116301572</v>
      </c>
      <c r="I11" s="23">
        <v>52.981710999999997</v>
      </c>
      <c r="J11" s="23">
        <v>83.041413560507905</v>
      </c>
      <c r="K11" s="23">
        <v>43.633738999999899</v>
      </c>
      <c r="L11" s="31">
        <f t="shared" si="0"/>
        <v>-9.3479720000000981</v>
      </c>
    </row>
    <row r="12" spans="1:13">
      <c r="A12" t="s">
        <v>194</v>
      </c>
      <c r="B12">
        <v>2</v>
      </c>
      <c r="C12">
        <v>14</v>
      </c>
      <c r="D12">
        <v>14</v>
      </c>
      <c r="E12">
        <v>7.5</v>
      </c>
      <c r="F12" s="23">
        <v>5.3690975109398904</v>
      </c>
      <c r="G12" s="22">
        <v>14.44</v>
      </c>
      <c r="H12" s="23">
        <v>21.651799116301572</v>
      </c>
      <c r="I12" s="23">
        <v>40.793426999999895</v>
      </c>
      <c r="J12" s="23">
        <v>57.793921934871804</v>
      </c>
      <c r="K12" s="23">
        <v>37.633631000000001</v>
      </c>
      <c r="L12" s="31">
        <f t="shared" si="0"/>
        <v>-3.1597959999998935</v>
      </c>
    </row>
    <row r="13" spans="1:13">
      <c r="F13" s="23"/>
      <c r="G13" s="22"/>
      <c r="H13" s="23"/>
      <c r="I13" s="23"/>
      <c r="J13" s="23"/>
    </row>
    <row r="14" spans="1:13">
      <c r="A14" t="s">
        <v>75</v>
      </c>
      <c r="F14" s="23">
        <f>SUM(F3:F12)</f>
        <v>38.240853619057255</v>
      </c>
      <c r="G14" s="22"/>
      <c r="H14" s="23">
        <f>SUM(H3:H12)</f>
        <v>155.79948036783935</v>
      </c>
      <c r="I14" s="23">
        <f>SUM(I3:I12)</f>
        <v>310.3958319999997</v>
      </c>
      <c r="J14" s="23">
        <f>SUM(J3:J12)</f>
        <v>486.61430826229423</v>
      </c>
    </row>
    <row r="15" spans="1:13">
      <c r="F15" s="23"/>
      <c r="G15" s="22"/>
      <c r="H15" s="23"/>
      <c r="I15" s="23"/>
      <c r="J15" s="23"/>
    </row>
    <row r="16" spans="1:13">
      <c r="A16" t="s">
        <v>192</v>
      </c>
      <c r="F16" s="23">
        <f>AVERAGE(F3:F12)</f>
        <v>3.8240853619057256</v>
      </c>
      <c r="G16" s="22"/>
      <c r="H16" s="23"/>
      <c r="I16" s="23">
        <f>AVERAGE(I3:I12)</f>
        <v>31.039583199999971</v>
      </c>
      <c r="J16" s="23">
        <f>AVERAGE(J3:J12)</f>
        <v>48.66143082622942</v>
      </c>
    </row>
    <row r="17" spans="1:13">
      <c r="A17" t="s">
        <v>193</v>
      </c>
      <c r="F17" s="23">
        <f>_xlfn.STDEV.S(F3:F12)</f>
        <v>0.8883546945488987</v>
      </c>
      <c r="G17" s="22"/>
      <c r="H17" s="23"/>
      <c r="I17" s="23">
        <f>_xlfn.STDEV.S(I3:I12)</f>
        <v>11.44608342346638</v>
      </c>
      <c r="J17" s="23">
        <f>_xlfn.STDEV.S(J3:J12)</f>
        <v>18.771202445937735</v>
      </c>
    </row>
    <row r="18" spans="1:13">
      <c r="F18" s="22"/>
      <c r="G18" s="22"/>
      <c r="H18" s="22"/>
      <c r="I18" s="22"/>
      <c r="J18" s="22"/>
    </row>
    <row r="19" spans="1:13">
      <c r="F19" s="22"/>
      <c r="G19" s="22"/>
      <c r="H19" s="22"/>
      <c r="I19" s="22"/>
      <c r="J19" s="22"/>
    </row>
    <row r="20" spans="1:13">
      <c r="F20" s="22"/>
      <c r="G20" s="22"/>
      <c r="H20" s="22"/>
      <c r="I20" s="22"/>
      <c r="J20" s="22"/>
    </row>
    <row r="21" spans="1:13" ht="22.8">
      <c r="C21" s="20" t="s">
        <v>173</v>
      </c>
      <c r="F21" s="22"/>
      <c r="G21" s="22"/>
      <c r="H21" s="22"/>
      <c r="I21" s="22"/>
      <c r="J21" s="22"/>
    </row>
    <row r="22" spans="1:13">
      <c r="F22" s="22"/>
      <c r="G22" s="22"/>
      <c r="H22" s="22"/>
      <c r="I22" s="22"/>
      <c r="J22" s="22"/>
    </row>
    <row r="23" spans="1:13">
      <c r="A23" t="s">
        <v>156</v>
      </c>
      <c r="B23" t="s">
        <v>166</v>
      </c>
      <c r="C23" t="s">
        <v>157</v>
      </c>
      <c r="D23" t="s">
        <v>158</v>
      </c>
      <c r="E23" t="s">
        <v>159</v>
      </c>
      <c r="F23" s="7" t="s">
        <v>160</v>
      </c>
      <c r="G23" s="22" t="s">
        <v>161</v>
      </c>
      <c r="H23" s="7" t="s">
        <v>162</v>
      </c>
      <c r="I23" s="7" t="s">
        <v>163</v>
      </c>
      <c r="J23" s="7" t="s">
        <v>164</v>
      </c>
      <c r="K23" s="7"/>
      <c r="L23" s="7"/>
    </row>
    <row r="24" spans="1:13">
      <c r="A24" t="s">
        <v>155</v>
      </c>
      <c r="B24">
        <v>1</v>
      </c>
      <c r="C24">
        <v>0</v>
      </c>
      <c r="D24">
        <v>14</v>
      </c>
      <c r="E24">
        <v>0</v>
      </c>
      <c r="F24" s="23">
        <v>3.2431688862092201</v>
      </c>
      <c r="G24" s="22">
        <v>14.4379831621766</v>
      </c>
      <c r="H24" s="23">
        <v>14.4379831621766</v>
      </c>
      <c r="I24" s="23">
        <v>21.1957109999999</v>
      </c>
      <c r="J24" s="23">
        <v>27.435016518479902</v>
      </c>
      <c r="K24" s="22"/>
      <c r="L24" s="22"/>
    </row>
    <row r="25" spans="1:13">
      <c r="A25" t="s">
        <v>165</v>
      </c>
      <c r="B25">
        <v>1</v>
      </c>
      <c r="C25">
        <v>0</v>
      </c>
      <c r="D25">
        <v>14</v>
      </c>
      <c r="E25">
        <v>0</v>
      </c>
      <c r="F25" s="23">
        <v>3.1852873862092301</v>
      </c>
      <c r="G25" s="22">
        <v>14.4379831621766</v>
      </c>
      <c r="H25" s="23">
        <v>14.4379831621766</v>
      </c>
      <c r="I25" s="23">
        <v>17.722821</v>
      </c>
      <c r="J25" s="23">
        <v>22.745979337127299</v>
      </c>
      <c r="K25" s="22"/>
      <c r="L25" s="22"/>
    </row>
    <row r="26" spans="1:13">
      <c r="A26" t="s">
        <v>10</v>
      </c>
      <c r="B26">
        <v>1</v>
      </c>
      <c r="C26">
        <v>0</v>
      </c>
      <c r="D26">
        <v>14</v>
      </c>
      <c r="E26">
        <v>0</v>
      </c>
      <c r="F26" s="23">
        <v>3.33355443620923</v>
      </c>
      <c r="G26" s="22">
        <v>14.4379831621766</v>
      </c>
      <c r="H26" s="23">
        <v>14.4379831621766</v>
      </c>
      <c r="I26" s="23">
        <v>26.6188439999999</v>
      </c>
      <c r="J26" s="23">
        <v>32.812998880467603</v>
      </c>
      <c r="K26" s="22"/>
      <c r="L26" s="22"/>
    </row>
    <row r="27" spans="1:13">
      <c r="A27" t="s">
        <v>35</v>
      </c>
      <c r="B27">
        <v>1</v>
      </c>
      <c r="C27">
        <v>0</v>
      </c>
      <c r="D27">
        <v>14</v>
      </c>
      <c r="E27">
        <v>0</v>
      </c>
      <c r="F27" s="23">
        <v>3.3096530362092298</v>
      </c>
      <c r="G27" s="22">
        <v>14.4379831621766</v>
      </c>
      <c r="H27" s="23">
        <v>14.4379831621766</v>
      </c>
      <c r="I27" s="23">
        <v>25.184759999999901</v>
      </c>
      <c r="J27" s="23">
        <v>31.8608256425773</v>
      </c>
      <c r="K27" s="22"/>
      <c r="L27" s="22"/>
      <c r="M27">
        <f>CORREL(I24:I33,J24:J33)</f>
        <v>0.98563196622966298</v>
      </c>
    </row>
    <row r="28" spans="1:13">
      <c r="A28" t="s">
        <v>21</v>
      </c>
      <c r="B28">
        <v>1</v>
      </c>
      <c r="C28">
        <v>0</v>
      </c>
      <c r="D28">
        <v>11</v>
      </c>
      <c r="E28">
        <v>0</v>
      </c>
      <c r="F28" s="23">
        <v>3.27274292838286</v>
      </c>
      <c r="G28" s="22">
        <v>11.2203429940832</v>
      </c>
      <c r="H28" s="23">
        <v>11.2203429940832</v>
      </c>
      <c r="I28" s="23">
        <v>39.588064000000003</v>
      </c>
      <c r="J28" s="23">
        <v>45.163157091271898</v>
      </c>
      <c r="K28" s="22"/>
      <c r="L28" s="22"/>
    </row>
    <row r="29" spans="1:13">
      <c r="A29" t="s">
        <v>50</v>
      </c>
      <c r="B29">
        <v>1</v>
      </c>
      <c r="C29">
        <v>0</v>
      </c>
      <c r="D29">
        <v>14</v>
      </c>
      <c r="E29">
        <v>0</v>
      </c>
      <c r="F29" s="23">
        <v>3.3604938195425702</v>
      </c>
      <c r="G29" s="22">
        <v>14.4379831621766</v>
      </c>
      <c r="H29" s="23">
        <v>14.4379831621766</v>
      </c>
      <c r="I29" s="23">
        <v>28.2352069999999</v>
      </c>
      <c r="J29" s="23">
        <v>34.678867997101797</v>
      </c>
      <c r="K29" s="22"/>
      <c r="L29" s="22"/>
    </row>
    <row r="30" spans="1:13">
      <c r="A30" t="s">
        <v>52</v>
      </c>
      <c r="B30">
        <v>1</v>
      </c>
      <c r="C30">
        <v>0</v>
      </c>
      <c r="D30">
        <v>14</v>
      </c>
      <c r="E30">
        <v>0</v>
      </c>
      <c r="F30" s="23">
        <v>3.2665010195425599</v>
      </c>
      <c r="G30" s="22">
        <v>14.4379831621766</v>
      </c>
      <c r="H30" s="23">
        <v>14.4379831621766</v>
      </c>
      <c r="I30" s="23">
        <v>22.595638999999998</v>
      </c>
      <c r="J30" s="23">
        <v>26.410446628474201</v>
      </c>
      <c r="K30" s="22"/>
      <c r="L30" s="22"/>
    </row>
    <row r="31" spans="1:13">
      <c r="A31" t="s">
        <v>51</v>
      </c>
      <c r="B31">
        <v>1</v>
      </c>
      <c r="C31">
        <v>0</v>
      </c>
      <c r="D31">
        <v>14</v>
      </c>
      <c r="E31">
        <v>0</v>
      </c>
      <c r="F31" s="23">
        <v>3.3320732195425502</v>
      </c>
      <c r="G31" s="22">
        <v>14.4379831621766</v>
      </c>
      <c r="H31" s="23">
        <v>14.4379831621766</v>
      </c>
      <c r="I31" s="23">
        <v>26.529971</v>
      </c>
      <c r="J31" s="23">
        <v>35.725666053344</v>
      </c>
      <c r="K31" s="22"/>
      <c r="L31" s="22"/>
    </row>
    <row r="32" spans="1:13">
      <c r="A32" t="s">
        <v>11</v>
      </c>
      <c r="B32">
        <v>2</v>
      </c>
      <c r="C32">
        <v>0</v>
      </c>
      <c r="D32">
        <v>14</v>
      </c>
      <c r="E32">
        <v>0</v>
      </c>
      <c r="F32" s="23">
        <v>5.1901743697080605</v>
      </c>
      <c r="G32" s="22">
        <v>14.44</v>
      </c>
      <c r="H32" s="23">
        <v>21.6517991163015</v>
      </c>
      <c r="I32" s="23">
        <v>43.633738999999899</v>
      </c>
      <c r="J32" s="23">
        <v>52.163921216719899</v>
      </c>
      <c r="K32" s="22"/>
      <c r="L32" s="22"/>
    </row>
    <row r="33" spans="1:12">
      <c r="A33" t="s">
        <v>24</v>
      </c>
      <c r="B33">
        <v>2</v>
      </c>
      <c r="C33">
        <v>0</v>
      </c>
      <c r="D33">
        <v>14</v>
      </c>
      <c r="E33">
        <v>0</v>
      </c>
      <c r="F33" s="23">
        <v>5.09017256970807</v>
      </c>
      <c r="G33" s="22">
        <v>14.44</v>
      </c>
      <c r="H33" s="23">
        <v>21.6517991163015</v>
      </c>
      <c r="I33" s="23">
        <v>37.633631000000001</v>
      </c>
      <c r="J33" s="23">
        <v>42.660688326142498</v>
      </c>
      <c r="K33" s="22"/>
      <c r="L33" s="22"/>
    </row>
    <row r="34" spans="1:12">
      <c r="F34" s="23"/>
      <c r="G34" s="22"/>
      <c r="H34" s="23"/>
      <c r="I34" s="23"/>
      <c r="J34" s="23"/>
    </row>
    <row r="35" spans="1:12">
      <c r="A35" t="s">
        <v>75</v>
      </c>
      <c r="F35" s="23">
        <f>SUM(F24:F33)</f>
        <v>36.583821671263578</v>
      </c>
      <c r="G35" s="22"/>
      <c r="H35" s="23">
        <f>SUM(H24:H33)</f>
        <v>155.58982336192241</v>
      </c>
      <c r="I35" s="23">
        <f>SUM(I24:I33)</f>
        <v>288.93838699999947</v>
      </c>
      <c r="J35" s="23">
        <f>SUM(J24:J33)</f>
        <v>351.65756769170645</v>
      </c>
    </row>
    <row r="37" spans="1:12">
      <c r="A37" t="s">
        <v>192</v>
      </c>
      <c r="F37" s="23">
        <f>AVERAGE(F24:F33)</f>
        <v>3.6583821671263577</v>
      </c>
      <c r="G37" s="22"/>
      <c r="H37" s="23"/>
      <c r="I37" s="23">
        <f>AVERAGE(I24:I33)</f>
        <v>28.893838699999947</v>
      </c>
      <c r="J37" s="23">
        <f>AVERAGE(J24:J33)</f>
        <v>35.165756769170642</v>
      </c>
    </row>
    <row r="38" spans="1:12">
      <c r="A38" t="s">
        <v>193</v>
      </c>
      <c r="F38" s="23">
        <f>_xlfn.STDEV.S(F24:F33)</f>
        <v>0.78296163975204625</v>
      </c>
      <c r="G38" s="22"/>
      <c r="H38" s="23"/>
      <c r="I38" s="23">
        <f>_xlfn.STDEV.S(I24:I33)</f>
        <v>8.5419861272014082</v>
      </c>
      <c r="J38" s="23">
        <f>_xlfn.STDEV.S(J24:J33)</f>
        <v>9.1453623784112708</v>
      </c>
    </row>
    <row r="39" spans="1:12">
      <c r="F39" s="23"/>
      <c r="G39" s="22"/>
      <c r="H39" s="23"/>
      <c r="I39" s="23"/>
      <c r="J39" s="23"/>
    </row>
    <row r="40" spans="1:12">
      <c r="A40" t="s">
        <v>190</v>
      </c>
      <c r="C40" s="21">
        <f>(I35-I14)/I14</f>
        <v>-6.9129294880481043E-2</v>
      </c>
    </row>
    <row r="41" spans="1:12">
      <c r="C41" s="21"/>
    </row>
    <row r="42" spans="1:12">
      <c r="A42" t="s">
        <v>191</v>
      </c>
      <c r="C42" s="21">
        <f>(J35-J14)/J14</f>
        <v>-0.27733820867808018</v>
      </c>
    </row>
    <row r="44" spans="1:12">
      <c r="B44" t="s">
        <v>232</v>
      </c>
      <c r="C44" t="s">
        <v>249</v>
      </c>
      <c r="D44" t="s">
        <v>258</v>
      </c>
    </row>
    <row r="45" spans="1:12">
      <c r="A45" t="s">
        <v>155</v>
      </c>
      <c r="B45" s="23">
        <v>24.427174999999998</v>
      </c>
      <c r="C45" s="22">
        <v>21.1957109999999</v>
      </c>
      <c r="D45" s="22">
        <f>C45-B45</f>
        <v>-3.2314640000000985</v>
      </c>
    </row>
    <row r="46" spans="1:12">
      <c r="A46" t="s">
        <v>165</v>
      </c>
      <c r="B46" s="23">
        <v>18.655761999999999</v>
      </c>
      <c r="C46" s="22">
        <v>17.722821</v>
      </c>
      <c r="D46" s="22">
        <f t="shared" ref="D46:D52" si="1">C46-B46</f>
        <v>-0.93294099999999958</v>
      </c>
    </row>
    <row r="47" spans="1:12">
      <c r="A47" t="s">
        <v>35</v>
      </c>
      <c r="B47" s="23">
        <v>25.222829999999899</v>
      </c>
      <c r="C47" s="22">
        <v>25.184759999999901</v>
      </c>
      <c r="D47" s="22">
        <f t="shared" si="1"/>
        <v>-3.8069999999997606E-2</v>
      </c>
    </row>
    <row r="48" spans="1:12">
      <c r="A48" t="s">
        <v>50</v>
      </c>
      <c r="B48" s="23">
        <v>31.814599000000001</v>
      </c>
      <c r="C48" s="22">
        <v>28.2352069999999</v>
      </c>
      <c r="D48" s="22">
        <f t="shared" si="1"/>
        <v>-3.5793920000001016</v>
      </c>
    </row>
    <row r="49" spans="1:6">
      <c r="A49" t="s">
        <v>52</v>
      </c>
      <c r="B49" s="23">
        <v>23.538345</v>
      </c>
      <c r="C49" s="22">
        <v>22.595638999999998</v>
      </c>
      <c r="D49" s="22">
        <f t="shared" si="1"/>
        <v>-0.94270600000000115</v>
      </c>
    </row>
    <row r="50" spans="1:6">
      <c r="A50" t="s">
        <v>51</v>
      </c>
      <c r="B50" s="23">
        <v>30.756292999999999</v>
      </c>
      <c r="C50" s="22">
        <v>26.529971</v>
      </c>
      <c r="D50" s="22">
        <f t="shared" si="1"/>
        <v>-4.2263219999999997</v>
      </c>
    </row>
    <row r="51" spans="1:6">
      <c r="A51" t="s">
        <v>11</v>
      </c>
      <c r="B51" s="23">
        <v>52.981710999999997</v>
      </c>
      <c r="C51" s="22">
        <v>43.633738999999899</v>
      </c>
      <c r="D51" s="22">
        <f t="shared" si="1"/>
        <v>-9.3479720000000981</v>
      </c>
    </row>
    <row r="52" spans="1:6">
      <c r="A52" t="s">
        <v>24</v>
      </c>
      <c r="B52" s="23">
        <v>40.793426999999895</v>
      </c>
      <c r="C52" s="22">
        <v>37.633631000000001</v>
      </c>
      <c r="D52" s="22">
        <f t="shared" si="1"/>
        <v>-3.1597959999998935</v>
      </c>
    </row>
    <row r="53" spans="1:6">
      <c r="B53" s="23"/>
      <c r="C53" s="22"/>
      <c r="D53" s="22"/>
    </row>
    <row r="54" spans="1:6">
      <c r="A54" t="s">
        <v>242</v>
      </c>
      <c r="B54" s="22"/>
      <c r="D54" s="22">
        <f>AVERAGE(D45:D52)</f>
        <v>-3.1823328750000237</v>
      </c>
      <c r="F54" s="22">
        <f>AVERAGE(D45:D52)</f>
        <v>-3.1823328750000237</v>
      </c>
    </row>
    <row r="55" spans="1:6">
      <c r="A55" t="s">
        <v>243</v>
      </c>
      <c r="D55" s="24">
        <f>_xlfn.STDEV.S(D45:D52)</f>
        <v>2.9087964672061335</v>
      </c>
      <c r="F55" s="24">
        <f>_xlfn.STDEV.S(D45:D52)</f>
        <v>2.9087964672061335</v>
      </c>
    </row>
    <row r="57" spans="1:6">
      <c r="A57" t="s">
        <v>246</v>
      </c>
    </row>
    <row r="58" spans="1:6">
      <c r="A58" t="s">
        <v>247</v>
      </c>
      <c r="B58" t="s">
        <v>248</v>
      </c>
    </row>
    <row r="59" spans="1:6">
      <c r="A59" t="s">
        <v>250</v>
      </c>
      <c r="D59">
        <v>8</v>
      </c>
      <c r="F59">
        <v>10</v>
      </c>
    </row>
    <row r="60" spans="1:6">
      <c r="A60" t="s">
        <v>251</v>
      </c>
      <c r="D60">
        <v>7</v>
      </c>
      <c r="F60">
        <v>9</v>
      </c>
    </row>
    <row r="61" spans="1:6">
      <c r="A61" t="s">
        <v>252</v>
      </c>
      <c r="D61">
        <v>-1.895</v>
      </c>
      <c r="F61">
        <v>-1.833</v>
      </c>
    </row>
    <row r="62" spans="1:6">
      <c r="A62" t="s">
        <v>253</v>
      </c>
      <c r="D62" s="24">
        <f>D54/(D55/SQRT(D59))</f>
        <v>-3.0944057877885669</v>
      </c>
      <c r="F62" s="24">
        <f>(-2.15)/(9.582/SQRT(10))</f>
        <v>-0.70954883838050664</v>
      </c>
    </row>
    <row r="64" spans="1:6">
      <c r="A64" t="s">
        <v>254</v>
      </c>
    </row>
    <row r="66" spans="1:1">
      <c r="A66" t="s">
        <v>255</v>
      </c>
    </row>
    <row r="67" spans="1:1">
      <c r="A67" t="s">
        <v>256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>
      <selection activeCell="J16" sqref="J16"/>
    </sheetView>
  </sheetViews>
  <sheetFormatPr defaultRowHeight="13.8"/>
  <cols>
    <col min="1" max="1" width="16.19921875" customWidth="1"/>
    <col min="3" max="3" width="11.796875" customWidth="1"/>
    <col min="6" max="6" width="16.8984375" bestFit="1" customWidth="1"/>
    <col min="7" max="7" width="17.09765625" customWidth="1"/>
    <col min="8" max="8" width="17.09765625" bestFit="1" customWidth="1"/>
    <col min="9" max="9" width="20.796875" bestFit="1" customWidth="1"/>
    <col min="10" max="10" width="12.3984375" bestFit="1" customWidth="1"/>
    <col min="11" max="11" width="4" style="25" customWidth="1"/>
  </cols>
  <sheetData>
    <row r="1" spans="1:14" ht="21">
      <c r="C1" s="19" t="s">
        <v>172</v>
      </c>
      <c r="M1">
        <f>CORREL(I3:I20,J3:J20)</f>
        <v>0.97294977873216459</v>
      </c>
    </row>
    <row r="2" spans="1:14">
      <c r="A2" t="s">
        <v>156</v>
      </c>
      <c r="B2" t="s">
        <v>166</v>
      </c>
      <c r="C2" t="s">
        <v>157</v>
      </c>
      <c r="D2" t="s">
        <v>158</v>
      </c>
      <c r="E2" t="s">
        <v>159</v>
      </c>
      <c r="F2" s="7" t="s">
        <v>160</v>
      </c>
      <c r="G2" t="s">
        <v>161</v>
      </c>
      <c r="H2" s="7" t="s">
        <v>162</v>
      </c>
      <c r="I2" s="7" t="s">
        <v>163</v>
      </c>
      <c r="J2" s="7" t="s">
        <v>164</v>
      </c>
      <c r="K2" s="26"/>
      <c r="L2" s="7" t="s">
        <v>231</v>
      </c>
      <c r="M2" s="7" t="s">
        <v>229</v>
      </c>
      <c r="N2" s="7" t="s">
        <v>230</v>
      </c>
    </row>
    <row r="3" spans="1:14">
      <c r="A3" t="s">
        <v>197</v>
      </c>
      <c r="B3">
        <v>1</v>
      </c>
      <c r="C3">
        <v>14</v>
      </c>
      <c r="D3">
        <v>14</v>
      </c>
      <c r="E3">
        <v>7.5</v>
      </c>
      <c r="F3" s="23">
        <v>3.4069065781681398</v>
      </c>
      <c r="G3" s="22">
        <v>14.4379831621766</v>
      </c>
      <c r="H3" s="23">
        <v>14.4379831621766</v>
      </c>
      <c r="I3" s="23">
        <v>24.427174999999998</v>
      </c>
      <c r="J3" s="23">
        <v>38.775529708181402</v>
      </c>
      <c r="K3" s="27"/>
      <c r="M3" s="23">
        <f>J3/I3</f>
        <v>1.5873931270472907</v>
      </c>
    </row>
    <row r="4" spans="1:14">
      <c r="A4" t="s">
        <v>206</v>
      </c>
      <c r="B4">
        <v>1</v>
      </c>
      <c r="C4">
        <v>14</v>
      </c>
      <c r="D4">
        <v>14</v>
      </c>
      <c r="E4">
        <v>7.5</v>
      </c>
      <c r="F4" s="23">
        <v>3.3107163615015902</v>
      </c>
      <c r="G4" s="22">
        <v>14.4379831621766</v>
      </c>
      <c r="H4" s="23">
        <v>14.4379831621766</v>
      </c>
      <c r="I4" s="23">
        <v>18.655761999999999</v>
      </c>
      <c r="J4" s="23">
        <v>28.3781698167457</v>
      </c>
      <c r="K4" s="27"/>
      <c r="M4" s="23">
        <f t="shared" ref="M4:M20" si="0">J4/I4</f>
        <v>1.5211477192272125</v>
      </c>
    </row>
    <row r="5" spans="1:14">
      <c r="A5" t="s">
        <v>207</v>
      </c>
      <c r="B5">
        <v>1</v>
      </c>
      <c r="C5">
        <v>14</v>
      </c>
      <c r="D5">
        <v>14</v>
      </c>
      <c r="E5">
        <v>7.5</v>
      </c>
      <c r="F5" s="23">
        <v>3.7272151615014999</v>
      </c>
      <c r="G5" s="22">
        <v>14.4379831621766</v>
      </c>
      <c r="H5" s="23">
        <v>14.4379831621766</v>
      </c>
      <c r="I5" s="23">
        <v>43.645689999999902</v>
      </c>
      <c r="J5" s="23">
        <v>73.993574155654201</v>
      </c>
      <c r="K5" s="27"/>
      <c r="M5" s="23">
        <f t="shared" si="0"/>
        <v>1.6953237342714564</v>
      </c>
    </row>
    <row r="6" spans="1:14">
      <c r="A6" t="s">
        <v>208</v>
      </c>
      <c r="B6">
        <v>1</v>
      </c>
      <c r="C6">
        <v>14</v>
      </c>
      <c r="D6">
        <v>14</v>
      </c>
      <c r="E6">
        <v>7.5</v>
      </c>
      <c r="F6" s="23">
        <v>3.4201674948349399</v>
      </c>
      <c r="G6" s="22">
        <v>14.4379831621766</v>
      </c>
      <c r="H6" s="23">
        <v>14.4379831621766</v>
      </c>
      <c r="I6" s="23">
        <v>25.222829999999899</v>
      </c>
      <c r="J6" s="23">
        <v>39.731293342849902</v>
      </c>
      <c r="K6" s="27"/>
      <c r="M6" s="23">
        <f t="shared" si="0"/>
        <v>1.5752115580547488</v>
      </c>
    </row>
    <row r="7" spans="1:14">
      <c r="A7" t="s">
        <v>209</v>
      </c>
      <c r="B7">
        <v>1</v>
      </c>
      <c r="C7">
        <v>14</v>
      </c>
      <c r="D7">
        <v>14</v>
      </c>
      <c r="E7">
        <v>7.5</v>
      </c>
      <c r="F7" s="23">
        <v>3.5300303115016001</v>
      </c>
      <c r="G7" s="22">
        <v>14.4379831621766</v>
      </c>
      <c r="H7" s="23">
        <v>14.4379831621766</v>
      </c>
      <c r="I7" s="23">
        <v>31.814599000000001</v>
      </c>
      <c r="J7" s="23">
        <v>51.531860394410799</v>
      </c>
      <c r="K7" s="27"/>
      <c r="M7" s="23">
        <f t="shared" si="0"/>
        <v>1.619755144310032</v>
      </c>
    </row>
    <row r="8" spans="1:14">
      <c r="A8" t="s">
        <v>210</v>
      </c>
      <c r="B8">
        <v>1</v>
      </c>
      <c r="C8">
        <v>14</v>
      </c>
      <c r="D8">
        <v>14</v>
      </c>
      <c r="E8">
        <v>7.5</v>
      </c>
      <c r="F8" s="23">
        <v>3.3920927448348799</v>
      </c>
      <c r="G8" s="22">
        <v>14.4379831621766</v>
      </c>
      <c r="H8" s="23">
        <v>14.4379831621766</v>
      </c>
      <c r="I8" s="23">
        <v>23.538345</v>
      </c>
      <c r="J8" s="23">
        <v>36.972798625840497</v>
      </c>
      <c r="K8" s="27"/>
      <c r="M8" s="23">
        <f t="shared" si="0"/>
        <v>1.5707475876422279</v>
      </c>
    </row>
    <row r="9" spans="1:14">
      <c r="A9" t="s">
        <v>213</v>
      </c>
      <c r="B9">
        <v>1</v>
      </c>
      <c r="C9">
        <v>14</v>
      </c>
      <c r="D9">
        <v>14</v>
      </c>
      <c r="E9">
        <v>7.5</v>
      </c>
      <c r="F9" s="23">
        <v>3.5123918781682102</v>
      </c>
      <c r="G9" s="22">
        <v>14.4379831621766</v>
      </c>
      <c r="H9" s="23">
        <v>14.4379831621766</v>
      </c>
      <c r="I9" s="23">
        <v>30.756292999999999</v>
      </c>
      <c r="J9" s="23">
        <v>50.675746723232002</v>
      </c>
      <c r="K9" s="27"/>
      <c r="M9" s="23">
        <f t="shared" si="0"/>
        <v>1.6476545701795728</v>
      </c>
    </row>
    <row r="10" spans="1:14">
      <c r="A10" t="s">
        <v>211</v>
      </c>
      <c r="B10">
        <v>2</v>
      </c>
      <c r="C10">
        <v>14</v>
      </c>
      <c r="D10">
        <v>14</v>
      </c>
      <c r="E10">
        <v>7.5</v>
      </c>
      <c r="F10" s="23">
        <v>5.5722355776065093</v>
      </c>
      <c r="G10" s="22">
        <v>14.44</v>
      </c>
      <c r="H10" s="23">
        <v>21.651799116301572</v>
      </c>
      <c r="I10" s="23">
        <v>52.981710999999997</v>
      </c>
      <c r="J10" s="23">
        <v>83.041413560507905</v>
      </c>
      <c r="K10" s="27"/>
      <c r="M10" s="23">
        <f t="shared" si="0"/>
        <v>1.567359981268025</v>
      </c>
    </row>
    <row r="11" spans="1:14">
      <c r="A11" t="s">
        <v>212</v>
      </c>
      <c r="B11">
        <v>2</v>
      </c>
      <c r="C11">
        <v>14</v>
      </c>
      <c r="D11">
        <v>14</v>
      </c>
      <c r="E11">
        <v>7.5</v>
      </c>
      <c r="F11" s="23">
        <v>5.3690975109398904</v>
      </c>
      <c r="G11" s="22">
        <v>14.44</v>
      </c>
      <c r="H11" s="23">
        <v>21.651799116301572</v>
      </c>
      <c r="I11" s="23">
        <v>40.793426999999895</v>
      </c>
      <c r="J11" s="23">
        <v>57.793921934871804</v>
      </c>
      <c r="K11" s="27"/>
      <c r="M11" s="23">
        <f t="shared" si="0"/>
        <v>1.4167459364194126</v>
      </c>
    </row>
    <row r="12" spans="1:14">
      <c r="A12" t="s">
        <v>196</v>
      </c>
      <c r="B12">
        <v>1</v>
      </c>
      <c r="C12">
        <v>10</v>
      </c>
      <c r="D12">
        <v>10</v>
      </c>
      <c r="E12">
        <v>5.5</v>
      </c>
      <c r="F12" s="22">
        <v>2.9338229234067201</v>
      </c>
      <c r="G12" s="22">
        <v>10.138090191070001</v>
      </c>
      <c r="H12" s="22">
        <v>10.138090191070001</v>
      </c>
      <c r="I12" s="22">
        <v>21.764178999999999</v>
      </c>
      <c r="J12" s="22">
        <v>28.8128641951056</v>
      </c>
      <c r="K12" s="28"/>
      <c r="M12" s="23">
        <f t="shared" si="0"/>
        <v>1.3238663491559044</v>
      </c>
    </row>
    <row r="13" spans="1:14">
      <c r="A13" t="s">
        <v>199</v>
      </c>
      <c r="B13">
        <v>1</v>
      </c>
      <c r="C13">
        <v>10</v>
      </c>
      <c r="D13">
        <v>10</v>
      </c>
      <c r="E13">
        <v>5.5</v>
      </c>
      <c r="F13" s="22">
        <v>2.88070764007341</v>
      </c>
      <c r="G13" s="22">
        <v>10.138090191070001</v>
      </c>
      <c r="H13" s="22">
        <v>10.138090191070001</v>
      </c>
      <c r="I13" s="22">
        <v>18.577261999999902</v>
      </c>
      <c r="J13" s="22">
        <v>23.954285674319198</v>
      </c>
      <c r="K13" s="28"/>
      <c r="M13" s="23">
        <f t="shared" si="0"/>
        <v>1.2894411283169354</v>
      </c>
    </row>
    <row r="14" spans="1:14">
      <c r="A14" t="s">
        <v>205</v>
      </c>
      <c r="B14">
        <v>1</v>
      </c>
      <c r="C14">
        <v>10</v>
      </c>
      <c r="D14">
        <v>10</v>
      </c>
      <c r="E14">
        <v>5.5</v>
      </c>
      <c r="F14" s="22">
        <v>3.1566754400734198</v>
      </c>
      <c r="G14" s="22">
        <v>10.138090191070001</v>
      </c>
      <c r="H14" s="22">
        <v>10.138090191070001</v>
      </c>
      <c r="I14" s="22">
        <v>35.135330000000003</v>
      </c>
      <c r="J14" s="22">
        <v>48.936418422922998</v>
      </c>
      <c r="K14" s="28"/>
      <c r="M14" s="23">
        <f t="shared" si="0"/>
        <v>1.3927980304418086</v>
      </c>
    </row>
    <row r="15" spans="1:14">
      <c r="A15" t="s">
        <v>214</v>
      </c>
      <c r="B15">
        <v>1</v>
      </c>
      <c r="C15">
        <v>10</v>
      </c>
      <c r="D15">
        <v>10</v>
      </c>
      <c r="E15">
        <v>5.5</v>
      </c>
      <c r="F15" s="22">
        <v>3.0200928067401498</v>
      </c>
      <c r="G15" s="22">
        <v>10.138090191070001</v>
      </c>
      <c r="H15" s="22">
        <v>10.138090191070001</v>
      </c>
      <c r="I15" s="22">
        <v>26.940371999999901</v>
      </c>
      <c r="J15" s="22">
        <v>36.226804484061702</v>
      </c>
      <c r="K15" s="28"/>
      <c r="M15" s="23">
        <f t="shared" si="0"/>
        <v>1.3447032017249738</v>
      </c>
    </row>
    <row r="16" spans="1:14">
      <c r="A16" t="s">
        <v>200</v>
      </c>
      <c r="B16">
        <v>1</v>
      </c>
      <c r="C16">
        <v>10</v>
      </c>
      <c r="D16">
        <v>10</v>
      </c>
      <c r="E16">
        <v>5.5</v>
      </c>
      <c r="F16" s="22">
        <v>3.0332159067401099</v>
      </c>
      <c r="G16" s="22">
        <v>10.138090191070001</v>
      </c>
      <c r="H16" s="22">
        <v>10.138090191070001</v>
      </c>
      <c r="I16" s="22">
        <v>27.727758000000001</v>
      </c>
      <c r="J16" s="22">
        <v>37.273846517857201</v>
      </c>
      <c r="K16" s="28"/>
      <c r="M16" s="23">
        <f t="shared" si="0"/>
        <v>1.3442791342111828</v>
      </c>
    </row>
    <row r="17" spans="1:13">
      <c r="A17" t="s">
        <v>201</v>
      </c>
      <c r="B17">
        <v>1</v>
      </c>
      <c r="C17">
        <v>10</v>
      </c>
      <c r="D17">
        <v>10</v>
      </c>
      <c r="E17">
        <v>5.5</v>
      </c>
      <c r="F17" s="22">
        <v>2.8702552567401001</v>
      </c>
      <c r="G17" s="22">
        <v>10.138090191070001</v>
      </c>
      <c r="H17" s="22">
        <v>10.138090191070001</v>
      </c>
      <c r="I17" s="22">
        <v>17.950119000000001</v>
      </c>
      <c r="J17" s="22">
        <v>22.7133912417492</v>
      </c>
      <c r="K17" s="28"/>
      <c r="M17" s="23">
        <f t="shared" si="0"/>
        <v>1.2653615968645777</v>
      </c>
    </row>
    <row r="18" spans="1:13">
      <c r="A18" t="s">
        <v>202</v>
      </c>
      <c r="B18">
        <v>1</v>
      </c>
      <c r="C18">
        <v>10</v>
      </c>
      <c r="D18">
        <v>10</v>
      </c>
      <c r="E18">
        <v>5.5</v>
      </c>
      <c r="F18" s="22">
        <v>3.02861125674014</v>
      </c>
      <c r="G18" s="22">
        <v>10.138090191070001</v>
      </c>
      <c r="H18" s="22">
        <v>10.138090191070001</v>
      </c>
      <c r="I18" s="22">
        <v>27.451478999999999</v>
      </c>
      <c r="J18" s="22">
        <v>37.479021823092197</v>
      </c>
      <c r="K18" s="28"/>
      <c r="M18" s="23">
        <f t="shared" si="0"/>
        <v>1.3652824251506521</v>
      </c>
    </row>
    <row r="19" spans="1:13">
      <c r="A19" t="s">
        <v>203</v>
      </c>
      <c r="B19">
        <v>1</v>
      </c>
      <c r="C19">
        <v>10</v>
      </c>
      <c r="D19">
        <v>10</v>
      </c>
      <c r="E19">
        <v>5.5</v>
      </c>
      <c r="F19" s="22">
        <v>3.0774717567401599</v>
      </c>
      <c r="G19" s="22">
        <v>15.2038790753342</v>
      </c>
      <c r="H19" s="22">
        <v>15.2038790753342</v>
      </c>
      <c r="I19" s="22">
        <v>30.383108999999902</v>
      </c>
      <c r="J19" s="22">
        <v>50.660202752629303</v>
      </c>
      <c r="K19" s="28"/>
      <c r="M19" s="23">
        <f t="shared" si="0"/>
        <v>1.6673804761925275</v>
      </c>
    </row>
    <row r="20" spans="1:13">
      <c r="A20" t="s">
        <v>204</v>
      </c>
      <c r="B20">
        <v>1</v>
      </c>
      <c r="C20">
        <v>10</v>
      </c>
      <c r="D20">
        <v>10</v>
      </c>
      <c r="E20">
        <v>5.5</v>
      </c>
      <c r="F20" s="22">
        <v>2.9455300567401301</v>
      </c>
      <c r="G20" s="22">
        <v>15.2038790753342</v>
      </c>
      <c r="H20" s="22">
        <v>15.2038790753342</v>
      </c>
      <c r="I20" s="22">
        <v>22.4666069999999</v>
      </c>
      <c r="J20" s="22">
        <v>35.5092136444243</v>
      </c>
      <c r="K20" s="28"/>
      <c r="M20" s="23">
        <f t="shared" si="0"/>
        <v>1.5805329947875288</v>
      </c>
    </row>
    <row r="21" spans="1:13">
      <c r="F21" s="23"/>
      <c r="G21" s="22"/>
      <c r="H21" s="23"/>
      <c r="I21" s="23"/>
      <c r="J21" s="23"/>
      <c r="K21" s="27"/>
    </row>
    <row r="22" spans="1:13">
      <c r="A22" t="s">
        <v>75</v>
      </c>
      <c r="F22" s="23">
        <f>SUM(F3:F20)</f>
        <v>62.187236663051614</v>
      </c>
      <c r="G22" s="22"/>
      <c r="H22" s="23">
        <f>SUM(H3:H20)</f>
        <v>245.74386985599784</v>
      </c>
      <c r="I22" s="23">
        <f>SUM(I3:I20)</f>
        <v>520.23204699999928</v>
      </c>
      <c r="J22" s="23">
        <f t="shared" ref="J22" si="1">SUM(J3:J20)</f>
        <v>782.46035701845597</v>
      </c>
      <c r="K22" s="27"/>
    </row>
    <row r="23" spans="1:13">
      <c r="F23" s="23"/>
      <c r="G23" s="22"/>
      <c r="H23" s="23"/>
      <c r="I23" s="23"/>
      <c r="J23" s="23"/>
      <c r="K23" s="27"/>
    </row>
    <row r="24" spans="1:13">
      <c r="A24" t="s">
        <v>192</v>
      </c>
      <c r="F24" s="23">
        <f>AVERAGE(F3:F20)</f>
        <v>3.4548464812806454</v>
      </c>
      <c r="G24" s="22"/>
      <c r="H24" s="23">
        <f>AVERAGE(H3:H20)</f>
        <v>13.652437214222102</v>
      </c>
      <c r="I24" s="23">
        <f t="shared" ref="I24:J24" si="2">AVERAGE(I3:I20)</f>
        <v>28.901780388888849</v>
      </c>
      <c r="J24" s="23">
        <f t="shared" si="2"/>
        <v>43.470019834358666</v>
      </c>
      <c r="K24" s="27"/>
      <c r="M24" s="23">
        <f t="shared" ref="M24" si="3">AVERAGE(M3:M20)</f>
        <v>1.487499149737004</v>
      </c>
    </row>
    <row r="25" spans="1:13">
      <c r="A25" t="s">
        <v>193</v>
      </c>
      <c r="F25" s="23">
        <f>_xlfn.STDEV.S(F3:F20)</f>
        <v>0.77615504261907076</v>
      </c>
      <c r="G25" s="22"/>
      <c r="H25" s="23">
        <f>_xlfn.STDEV.S(H3:H20)</f>
        <v>3.6264351919667996</v>
      </c>
      <c r="I25" s="23">
        <f t="shared" ref="I25:J25" si="4">_xlfn.STDEV.S(I3:I20)</f>
        <v>9.3467096967741927</v>
      </c>
      <c r="J25" s="23">
        <f t="shared" si="4"/>
        <v>16.13163468355679</v>
      </c>
      <c r="K25" s="27"/>
      <c r="M25" s="23">
        <f t="shared" ref="M25" si="5">_xlfn.STDEV.S(M3:M20)</f>
        <v>0.14237879783579793</v>
      </c>
    </row>
    <row r="26" spans="1:13">
      <c r="F26" s="22"/>
      <c r="G26" s="22"/>
      <c r="H26" s="22"/>
      <c r="I26" s="22"/>
      <c r="J26" s="22"/>
      <c r="K26" s="28"/>
    </row>
    <row r="27" spans="1:13">
      <c r="F27" s="22"/>
      <c r="G27" s="22"/>
      <c r="H27" s="22"/>
      <c r="I27" s="22"/>
      <c r="J27" s="22"/>
      <c r="K27" s="28"/>
    </row>
    <row r="28" spans="1:13">
      <c r="F28" s="22"/>
      <c r="G28" s="22"/>
      <c r="H28" s="22"/>
      <c r="I28" s="22"/>
      <c r="J28" s="22"/>
      <c r="K28" s="28"/>
    </row>
    <row r="29" spans="1:13" ht="22.8">
      <c r="C29" s="20" t="s">
        <v>173</v>
      </c>
      <c r="F29" s="22"/>
      <c r="G29" s="22"/>
      <c r="H29" s="22"/>
      <c r="I29" s="22"/>
      <c r="J29" s="22"/>
      <c r="K29" s="28"/>
    </row>
    <row r="30" spans="1:13">
      <c r="F30" s="22"/>
      <c r="G30" s="22"/>
      <c r="H30" s="22"/>
      <c r="I30" s="22"/>
      <c r="J30" s="22"/>
      <c r="K30" s="28"/>
    </row>
    <row r="31" spans="1:13">
      <c r="A31" t="s">
        <v>156</v>
      </c>
      <c r="B31" t="s">
        <v>166</v>
      </c>
      <c r="C31" t="s">
        <v>157</v>
      </c>
      <c r="D31" t="s">
        <v>158</v>
      </c>
      <c r="E31" t="s">
        <v>159</v>
      </c>
      <c r="F31" s="7" t="s">
        <v>160</v>
      </c>
      <c r="G31" s="22" t="s">
        <v>161</v>
      </c>
      <c r="H31" s="7" t="s">
        <v>162</v>
      </c>
      <c r="I31" s="7" t="s">
        <v>163</v>
      </c>
      <c r="J31" s="7" t="s">
        <v>164</v>
      </c>
      <c r="K31" s="26"/>
      <c r="L31" s="7"/>
      <c r="M31" s="7" t="s">
        <v>229</v>
      </c>
    </row>
    <row r="32" spans="1:13">
      <c r="A32" t="s">
        <v>155</v>
      </c>
      <c r="B32">
        <v>1</v>
      </c>
      <c r="C32">
        <v>0</v>
      </c>
      <c r="D32">
        <v>14</v>
      </c>
      <c r="E32">
        <v>0</v>
      </c>
      <c r="F32" s="23">
        <v>3.2431688862092201</v>
      </c>
      <c r="G32" s="22">
        <v>14.4379831621766</v>
      </c>
      <c r="H32" s="23">
        <v>14.4379831621766</v>
      </c>
      <c r="I32" s="23">
        <v>21.1957109999999</v>
      </c>
      <c r="J32" s="23">
        <v>27.435016518479902</v>
      </c>
      <c r="K32" s="27"/>
      <c r="L32" s="22"/>
      <c r="M32" s="23">
        <f>J32/I32</f>
        <v>1.2943664177380052</v>
      </c>
    </row>
    <row r="33" spans="1:13">
      <c r="A33" t="s">
        <v>165</v>
      </c>
      <c r="B33">
        <v>1</v>
      </c>
      <c r="C33">
        <v>0</v>
      </c>
      <c r="D33">
        <v>14</v>
      </c>
      <c r="E33">
        <v>0</v>
      </c>
      <c r="F33" s="23">
        <v>3.1852873862092301</v>
      </c>
      <c r="G33" s="22">
        <v>14.4379831621766</v>
      </c>
      <c r="H33" s="23">
        <v>14.4379831621766</v>
      </c>
      <c r="I33" s="23">
        <v>17.722821</v>
      </c>
      <c r="J33" s="23">
        <v>22.745979337127299</v>
      </c>
      <c r="K33" s="27"/>
      <c r="L33" s="22"/>
      <c r="M33" s="23">
        <f t="shared" ref="M33:M49" si="6">J33/I33</f>
        <v>1.2834288253053676</v>
      </c>
    </row>
    <row r="34" spans="1:13">
      <c r="A34" t="s">
        <v>10</v>
      </c>
      <c r="B34">
        <v>1</v>
      </c>
      <c r="C34">
        <v>0</v>
      </c>
      <c r="D34">
        <v>14</v>
      </c>
      <c r="E34">
        <v>0</v>
      </c>
      <c r="F34" s="23">
        <v>3.33355443620923</v>
      </c>
      <c r="G34" s="22">
        <v>14.4379831621766</v>
      </c>
      <c r="H34" s="23">
        <v>14.4379831621766</v>
      </c>
      <c r="I34" s="23">
        <v>26.6188439999999</v>
      </c>
      <c r="J34" s="23">
        <v>32.812998880467603</v>
      </c>
      <c r="K34" s="27"/>
      <c r="L34" s="22"/>
      <c r="M34" s="23">
        <f t="shared" si="6"/>
        <v>1.2326981171859952</v>
      </c>
    </row>
    <row r="35" spans="1:13">
      <c r="A35" t="s">
        <v>35</v>
      </c>
      <c r="B35">
        <v>1</v>
      </c>
      <c r="C35">
        <v>0</v>
      </c>
      <c r="D35">
        <v>14</v>
      </c>
      <c r="E35">
        <v>0</v>
      </c>
      <c r="F35" s="23">
        <v>3.3096530362092298</v>
      </c>
      <c r="G35" s="22">
        <v>14.4379831621766</v>
      </c>
      <c r="H35" s="23">
        <v>14.4379831621766</v>
      </c>
      <c r="I35" s="23">
        <v>25.184759999999901</v>
      </c>
      <c r="J35" s="23">
        <v>31.8608256425773</v>
      </c>
      <c r="K35" s="27"/>
      <c r="L35" s="22"/>
      <c r="M35" s="23">
        <f t="shared" si="6"/>
        <v>1.2650835522187793</v>
      </c>
    </row>
    <row r="36" spans="1:13">
      <c r="A36" t="s">
        <v>50</v>
      </c>
      <c r="B36">
        <v>1</v>
      </c>
      <c r="C36">
        <v>0</v>
      </c>
      <c r="D36">
        <v>14</v>
      </c>
      <c r="E36">
        <v>0</v>
      </c>
      <c r="F36" s="23">
        <v>3.3604938195425702</v>
      </c>
      <c r="G36" s="22">
        <v>14.4379831621766</v>
      </c>
      <c r="H36" s="23">
        <v>14.4379831621766</v>
      </c>
      <c r="I36" s="23">
        <v>28.2352069999999</v>
      </c>
      <c r="J36" s="23">
        <v>34.678867997101797</v>
      </c>
      <c r="K36" s="27"/>
      <c r="L36" s="22"/>
      <c r="M36" s="23">
        <f t="shared" si="6"/>
        <v>1.2282136977817064</v>
      </c>
    </row>
    <row r="37" spans="1:13">
      <c r="A37" t="s">
        <v>52</v>
      </c>
      <c r="B37">
        <v>1</v>
      </c>
      <c r="C37">
        <v>0</v>
      </c>
      <c r="D37">
        <v>14</v>
      </c>
      <c r="E37">
        <v>0</v>
      </c>
      <c r="F37" s="23">
        <v>3.2665010195425599</v>
      </c>
      <c r="G37" s="22">
        <v>14.4379831621766</v>
      </c>
      <c r="H37" s="23">
        <v>14.4379831621766</v>
      </c>
      <c r="I37" s="23">
        <v>22.595638999999998</v>
      </c>
      <c r="J37" s="23">
        <v>26.410446628474201</v>
      </c>
      <c r="K37" s="27"/>
      <c r="L37" s="22"/>
      <c r="M37" s="23">
        <f t="shared" si="6"/>
        <v>1.1688293758133683</v>
      </c>
    </row>
    <row r="38" spans="1:13">
      <c r="A38" t="s">
        <v>51</v>
      </c>
      <c r="B38">
        <v>1</v>
      </c>
      <c r="C38">
        <v>0</v>
      </c>
      <c r="D38">
        <v>14</v>
      </c>
      <c r="E38">
        <v>0</v>
      </c>
      <c r="F38" s="23">
        <v>3.3320732195425502</v>
      </c>
      <c r="G38" s="22">
        <v>14.4379831621766</v>
      </c>
      <c r="H38" s="23">
        <v>14.4379831621766</v>
      </c>
      <c r="I38" s="23">
        <v>26.529971</v>
      </c>
      <c r="J38" s="23">
        <v>35.725666053344</v>
      </c>
      <c r="K38" s="27"/>
      <c r="L38" s="22"/>
      <c r="M38" s="23">
        <f t="shared" si="6"/>
        <v>1.3466153450881646</v>
      </c>
    </row>
    <row r="39" spans="1:13">
      <c r="A39" t="s">
        <v>11</v>
      </c>
      <c r="B39">
        <v>2</v>
      </c>
      <c r="C39">
        <v>0</v>
      </c>
      <c r="D39">
        <v>14</v>
      </c>
      <c r="E39">
        <v>0</v>
      </c>
      <c r="F39" s="23">
        <v>5.1901743697080605</v>
      </c>
      <c r="G39" s="22">
        <v>14.44</v>
      </c>
      <c r="H39" s="23">
        <v>21.6517991163015</v>
      </c>
      <c r="I39" s="23">
        <v>43.633738999999899</v>
      </c>
      <c r="J39" s="23">
        <v>52.163921216719899</v>
      </c>
      <c r="K39" s="27"/>
      <c r="L39" s="22"/>
      <c r="M39" s="23">
        <f t="shared" si="6"/>
        <v>1.1954951010895496</v>
      </c>
    </row>
    <row r="40" spans="1:13">
      <c r="A40" t="s">
        <v>24</v>
      </c>
      <c r="B40">
        <v>2</v>
      </c>
      <c r="C40">
        <v>0</v>
      </c>
      <c r="D40">
        <v>14</v>
      </c>
      <c r="E40">
        <v>0</v>
      </c>
      <c r="F40" s="23">
        <v>5.09017256970807</v>
      </c>
      <c r="G40" s="22">
        <v>14.44</v>
      </c>
      <c r="H40" s="23">
        <v>21.6517991163015</v>
      </c>
      <c r="I40" s="23">
        <v>37.633631000000001</v>
      </c>
      <c r="J40" s="23">
        <v>42.660688326142498</v>
      </c>
      <c r="K40" s="27"/>
      <c r="L40" s="22"/>
      <c r="M40" s="23">
        <f t="shared" si="6"/>
        <v>1.1335788546723673</v>
      </c>
    </row>
    <row r="41" spans="1:13">
      <c r="A41" t="s">
        <v>196</v>
      </c>
      <c r="B41">
        <v>1</v>
      </c>
      <c r="C41">
        <v>0</v>
      </c>
      <c r="D41">
        <v>10</v>
      </c>
      <c r="E41">
        <v>0</v>
      </c>
      <c r="F41" s="22">
        <v>2.84190375509408</v>
      </c>
      <c r="G41" s="22">
        <v>10.1806778865393</v>
      </c>
      <c r="H41" s="22">
        <v>10.1806778865393</v>
      </c>
      <c r="I41" s="22">
        <v>20.779125000000001</v>
      </c>
      <c r="J41" s="22">
        <v>23.4877378130865</v>
      </c>
      <c r="K41" s="28"/>
      <c r="L41" s="22"/>
      <c r="M41" s="23">
        <f t="shared" si="6"/>
        <v>1.1303525924737687</v>
      </c>
    </row>
    <row r="42" spans="1:13">
      <c r="A42" t="s">
        <v>198</v>
      </c>
      <c r="B42">
        <v>1</v>
      </c>
      <c r="C42">
        <v>0</v>
      </c>
      <c r="D42">
        <v>10</v>
      </c>
      <c r="E42">
        <v>0</v>
      </c>
      <c r="F42" s="22">
        <v>2.7897692050940801</v>
      </c>
      <c r="G42" s="22">
        <v>10.1806778865393</v>
      </c>
      <c r="H42" s="22">
        <v>10.1806778865393</v>
      </c>
      <c r="I42" s="22">
        <v>17.651052</v>
      </c>
      <c r="J42" s="22">
        <v>20.484634209763801</v>
      </c>
      <c r="K42" s="28"/>
      <c r="L42" s="22"/>
      <c r="M42" s="23">
        <f t="shared" si="6"/>
        <v>1.1605333330706749</v>
      </c>
    </row>
    <row r="43" spans="1:13">
      <c r="A43" t="s">
        <v>205</v>
      </c>
      <c r="B43">
        <v>1</v>
      </c>
      <c r="C43">
        <v>0</v>
      </c>
      <c r="D43">
        <v>10</v>
      </c>
      <c r="E43">
        <v>0</v>
      </c>
      <c r="F43" s="22">
        <v>2.9398029217607502</v>
      </c>
      <c r="G43" s="22">
        <v>10.138090191070001</v>
      </c>
      <c r="H43" s="22">
        <v>10.138090191070001</v>
      </c>
      <c r="I43" s="22">
        <v>26.653075000000001</v>
      </c>
      <c r="J43" s="22">
        <v>29.975882864342498</v>
      </c>
      <c r="K43" s="28"/>
      <c r="L43" s="22"/>
      <c r="M43" s="23">
        <f t="shared" si="6"/>
        <v>1.124668837060733</v>
      </c>
    </row>
    <row r="44" spans="1:13">
      <c r="A44" t="s">
        <v>214</v>
      </c>
      <c r="B44">
        <v>1</v>
      </c>
      <c r="C44">
        <v>0</v>
      </c>
      <c r="D44">
        <v>10</v>
      </c>
      <c r="E44">
        <v>0</v>
      </c>
      <c r="F44" s="22">
        <v>2.9243612717607501</v>
      </c>
      <c r="G44" s="22">
        <v>10.138090191070001</v>
      </c>
      <c r="H44" s="22">
        <v>10.138090191070001</v>
      </c>
      <c r="I44" s="22">
        <v>25.726575999999898</v>
      </c>
      <c r="J44" s="22">
        <v>27.876807971448699</v>
      </c>
      <c r="K44" s="28"/>
      <c r="L44" s="22"/>
      <c r="M44" s="23">
        <f t="shared" si="6"/>
        <v>1.0835801846094408</v>
      </c>
    </row>
    <row r="45" spans="1:13">
      <c r="A45" t="s">
        <v>200</v>
      </c>
      <c r="B45">
        <v>1</v>
      </c>
      <c r="C45">
        <v>0</v>
      </c>
      <c r="D45">
        <v>10</v>
      </c>
      <c r="E45">
        <v>0</v>
      </c>
      <c r="F45" s="22">
        <v>3.1466144717607398</v>
      </c>
      <c r="G45" s="22">
        <v>10.138090191070001</v>
      </c>
      <c r="H45" s="22">
        <v>10.138090191070001</v>
      </c>
      <c r="I45" s="22">
        <v>39.061767999999901</v>
      </c>
      <c r="J45" s="22">
        <v>44.8908529370797</v>
      </c>
      <c r="K45" s="28"/>
      <c r="L45" s="22"/>
      <c r="M45" s="23">
        <f t="shared" si="6"/>
        <v>1.1492273707907898</v>
      </c>
    </row>
    <row r="46" spans="1:13">
      <c r="A46" t="s">
        <v>201</v>
      </c>
      <c r="B46">
        <v>1</v>
      </c>
      <c r="C46">
        <v>0</v>
      </c>
      <c r="D46">
        <v>10</v>
      </c>
      <c r="E46">
        <v>0</v>
      </c>
      <c r="F46" s="22">
        <v>2.88461413842741</v>
      </c>
      <c r="G46" s="22">
        <v>10.138090191070001</v>
      </c>
      <c r="H46" s="22">
        <v>10.138090191070001</v>
      </c>
      <c r="I46" s="22">
        <v>23.341747999999999</v>
      </c>
      <c r="J46" s="22">
        <v>25.0773512065274</v>
      </c>
      <c r="K46" s="28"/>
      <c r="M46" s="23">
        <f t="shared" si="6"/>
        <v>1.0743561796026331</v>
      </c>
    </row>
    <row r="47" spans="1:13">
      <c r="A47" t="s">
        <v>202</v>
      </c>
      <c r="B47">
        <v>1</v>
      </c>
      <c r="C47">
        <v>0</v>
      </c>
      <c r="D47">
        <v>10</v>
      </c>
      <c r="E47">
        <v>0</v>
      </c>
      <c r="F47" s="22">
        <v>3.0406664384274098</v>
      </c>
      <c r="G47" s="22">
        <v>10.138090191070001</v>
      </c>
      <c r="H47" s="22">
        <v>10.138090191070001</v>
      </c>
      <c r="I47" s="22">
        <v>32.704885999999902</v>
      </c>
      <c r="J47" s="22">
        <v>38.407261120286002</v>
      </c>
      <c r="K47" s="28"/>
      <c r="L47" s="22"/>
      <c r="M47" s="23">
        <f t="shared" si="6"/>
        <v>1.1743585077864549</v>
      </c>
    </row>
    <row r="48" spans="1:13">
      <c r="A48" t="s">
        <v>203</v>
      </c>
      <c r="B48">
        <v>1</v>
      </c>
      <c r="C48">
        <v>0</v>
      </c>
      <c r="D48">
        <v>10</v>
      </c>
      <c r="E48">
        <v>0</v>
      </c>
      <c r="F48" s="22">
        <v>3.08999892176075</v>
      </c>
      <c r="G48" s="22">
        <v>15.2038790753342</v>
      </c>
      <c r="H48" s="22">
        <v>15.2038790753342</v>
      </c>
      <c r="I48" s="22">
        <v>35.664834999999997</v>
      </c>
      <c r="J48" s="22">
        <v>47.304112308072298</v>
      </c>
      <c r="K48" s="28"/>
      <c r="L48" s="22"/>
      <c r="M48" s="23">
        <f t="shared" si="6"/>
        <v>1.3263516376305204</v>
      </c>
    </row>
    <row r="49" spans="1:13">
      <c r="A49" t="s">
        <v>204</v>
      </c>
      <c r="B49">
        <v>1</v>
      </c>
      <c r="C49">
        <v>0</v>
      </c>
      <c r="D49">
        <v>10</v>
      </c>
      <c r="E49">
        <v>0</v>
      </c>
      <c r="F49" s="22">
        <v>2.8887434550940698</v>
      </c>
      <c r="G49" s="22">
        <v>15.2038790753341</v>
      </c>
      <c r="H49" s="22">
        <v>15.2038790753341</v>
      </c>
      <c r="I49" s="22">
        <v>23.589506999999902</v>
      </c>
      <c r="J49" s="22">
        <v>29.633036566401199</v>
      </c>
      <c r="M49" s="23">
        <f t="shared" si="6"/>
        <v>1.2561956706598965</v>
      </c>
    </row>
    <row r="50" spans="1:13">
      <c r="F50" s="23"/>
      <c r="G50" s="22"/>
      <c r="H50" s="23"/>
      <c r="I50" s="23"/>
      <c r="J50" s="23"/>
      <c r="K50" s="27"/>
    </row>
    <row r="51" spans="1:13">
      <c r="A51" t="s">
        <v>75</v>
      </c>
      <c r="F51" s="23">
        <f>SUM(F32:F48)</f>
        <v>56.968809866966701</v>
      </c>
      <c r="G51" s="22"/>
      <c r="H51" s="23">
        <f>SUM(H32:H48)</f>
        <v>230.62516617160202</v>
      </c>
      <c r="I51" s="23">
        <f>SUM(I32:I49)</f>
        <v>494.5228949999991</v>
      </c>
      <c r="J51" s="23">
        <f>SUM(J32:J48)</f>
        <v>563.99905103104129</v>
      </c>
      <c r="K51" s="27"/>
    </row>
    <row r="53" spans="1:13">
      <c r="A53" t="s">
        <v>192</v>
      </c>
      <c r="F53" s="23">
        <f>AVERAGE(F32:F40)</f>
        <v>3.7012309714311917</v>
      </c>
      <c r="G53" s="22"/>
      <c r="H53" s="23"/>
      <c r="I53" s="23">
        <f>AVERAGE(I32:I40)</f>
        <v>27.705591444444387</v>
      </c>
      <c r="J53" s="23">
        <f>AVERAGE(J32:J40)</f>
        <v>34.054934511159388</v>
      </c>
      <c r="K53" s="27"/>
      <c r="M53" s="23">
        <f t="shared" ref="M53" si="7">AVERAGE(M32:M49)</f>
        <v>1.2015518666987897</v>
      </c>
    </row>
    <row r="54" spans="1:13">
      <c r="A54" t="s">
        <v>193</v>
      </c>
      <c r="F54" s="23">
        <f>_xlfn.STDEV.S(F32:F40)</f>
        <v>0.81792562018017823</v>
      </c>
      <c r="G54" s="22"/>
      <c r="H54" s="23"/>
      <c r="I54" s="23">
        <f>_xlfn.STDEV.S(I32:I40)</f>
        <v>8.1364604124392663</v>
      </c>
      <c r="J54" s="23">
        <f>_xlfn.STDEV.S(J32:J40)</f>
        <v>8.9560421594289981</v>
      </c>
      <c r="K54" s="27"/>
      <c r="M54" s="23">
        <f t="shared" ref="M54" si="8">_xlfn.STDEV.S(M32:M49)</f>
        <v>8.1386500097272191E-2</v>
      </c>
    </row>
    <row r="55" spans="1:13">
      <c r="F55" s="23"/>
      <c r="G55" s="22"/>
      <c r="H55" s="23"/>
      <c r="I55" s="23"/>
      <c r="J55" s="23"/>
      <c r="K55" s="27"/>
    </row>
    <row r="56" spans="1:13">
      <c r="A56" t="s">
        <v>190</v>
      </c>
      <c r="C56" s="21">
        <f>(I51-I22)/I22</f>
        <v>-4.9418624147159126E-2</v>
      </c>
    </row>
    <row r="57" spans="1:13">
      <c r="C57" s="21"/>
    </row>
    <row r="58" spans="1:13">
      <c r="A58" t="s">
        <v>191</v>
      </c>
      <c r="C58" s="21">
        <f>(J51-J22)/J22</f>
        <v>-0.2791979223329033</v>
      </c>
    </row>
    <row r="60" spans="1:13">
      <c r="B60" s="32" t="s">
        <v>240</v>
      </c>
      <c r="C60" s="32"/>
      <c r="D60" s="32"/>
      <c r="E60" s="32" t="s">
        <v>241</v>
      </c>
      <c r="F60" s="32"/>
      <c r="G60" s="32"/>
    </row>
    <row r="61" spans="1:13">
      <c r="B61" s="30" t="s">
        <v>232</v>
      </c>
      <c r="C61" s="30" t="s">
        <v>233</v>
      </c>
      <c r="D61" s="30" t="s">
        <v>234</v>
      </c>
      <c r="E61" s="30" t="s">
        <v>232</v>
      </c>
      <c r="F61" s="30" t="s">
        <v>233</v>
      </c>
      <c r="G61" s="30" t="s">
        <v>234</v>
      </c>
    </row>
    <row r="62" spans="1:13">
      <c r="A62" t="s">
        <v>155</v>
      </c>
      <c r="B62" s="23">
        <v>24.427174999999998</v>
      </c>
      <c r="C62" s="23">
        <v>21.1957109999999</v>
      </c>
      <c r="D62" s="22">
        <f>C62-B62</f>
        <v>-3.2314640000000985</v>
      </c>
      <c r="E62" s="23">
        <v>38.775529708181402</v>
      </c>
      <c r="F62" s="23">
        <v>27.435016518479902</v>
      </c>
      <c r="G62" s="22">
        <f>F62-E62</f>
        <v>-11.3405131897015</v>
      </c>
    </row>
    <row r="63" spans="1:13">
      <c r="A63" t="s">
        <v>165</v>
      </c>
      <c r="B63" s="23">
        <v>18.655761999999999</v>
      </c>
      <c r="C63" s="23">
        <v>17.722821</v>
      </c>
      <c r="D63" s="22">
        <f t="shared" ref="D63:D79" si="9">C63-B63</f>
        <v>-0.93294099999999958</v>
      </c>
      <c r="E63" s="23">
        <v>28.3781698167457</v>
      </c>
      <c r="F63" s="23">
        <v>22.745979337127299</v>
      </c>
      <c r="G63" s="22">
        <f t="shared" ref="G63:G79" si="10">F63-E63</f>
        <v>-5.6321904796184015</v>
      </c>
    </row>
    <row r="64" spans="1:13">
      <c r="A64" t="s">
        <v>10</v>
      </c>
      <c r="B64" s="23">
        <v>43.645689999999902</v>
      </c>
      <c r="C64" s="23">
        <v>26.6188439999999</v>
      </c>
      <c r="D64" s="22">
        <f t="shared" si="9"/>
        <v>-17.026846000000003</v>
      </c>
      <c r="E64" s="23">
        <v>73.993574155654201</v>
      </c>
      <c r="F64" s="23">
        <v>32.812998880467603</v>
      </c>
      <c r="G64" s="22">
        <f t="shared" si="10"/>
        <v>-41.180575275186598</v>
      </c>
    </row>
    <row r="65" spans="1:7">
      <c r="A65" t="s">
        <v>35</v>
      </c>
      <c r="B65" s="23">
        <v>25.222829999999899</v>
      </c>
      <c r="C65" s="23">
        <v>25.184759999999901</v>
      </c>
      <c r="D65" s="22">
        <f t="shared" si="9"/>
        <v>-3.8069999999997606E-2</v>
      </c>
      <c r="E65" s="23">
        <v>39.731293342849902</v>
      </c>
      <c r="F65" s="23">
        <v>31.8608256425773</v>
      </c>
      <c r="G65" s="22">
        <f t="shared" si="10"/>
        <v>-7.8704677002726022</v>
      </c>
    </row>
    <row r="66" spans="1:7">
      <c r="A66" t="s">
        <v>50</v>
      </c>
      <c r="B66" s="23">
        <v>31.814599000000001</v>
      </c>
      <c r="C66" s="23">
        <v>28.2352069999999</v>
      </c>
      <c r="D66" s="22">
        <f t="shared" si="9"/>
        <v>-3.5793920000001016</v>
      </c>
      <c r="E66" s="23">
        <v>51.531860394410799</v>
      </c>
      <c r="F66" s="23">
        <v>34.678867997101797</v>
      </c>
      <c r="G66" s="22">
        <f t="shared" si="10"/>
        <v>-16.852992397309002</v>
      </c>
    </row>
    <row r="67" spans="1:7">
      <c r="A67" t="s">
        <v>52</v>
      </c>
      <c r="B67" s="23">
        <v>23.538345</v>
      </c>
      <c r="C67" s="23">
        <v>22.595638999999998</v>
      </c>
      <c r="D67" s="22">
        <f t="shared" si="9"/>
        <v>-0.94270600000000115</v>
      </c>
      <c r="E67" s="23">
        <v>36.972798625840497</v>
      </c>
      <c r="F67" s="23">
        <v>26.410446628474201</v>
      </c>
      <c r="G67" s="22">
        <f t="shared" si="10"/>
        <v>-10.562351997366296</v>
      </c>
    </row>
    <row r="68" spans="1:7">
      <c r="A68" t="s">
        <v>51</v>
      </c>
      <c r="B68" s="23">
        <v>30.756292999999999</v>
      </c>
      <c r="C68" s="23">
        <v>26.529971</v>
      </c>
      <c r="D68" s="22">
        <f t="shared" si="9"/>
        <v>-4.2263219999999997</v>
      </c>
      <c r="E68" s="23">
        <v>50.675746723232002</v>
      </c>
      <c r="F68" s="23">
        <v>35.725666053344</v>
      </c>
      <c r="G68" s="22">
        <f t="shared" si="10"/>
        <v>-14.950080669888003</v>
      </c>
    </row>
    <row r="69" spans="1:7">
      <c r="A69" t="s">
        <v>11</v>
      </c>
      <c r="B69" s="23">
        <v>52.981710999999997</v>
      </c>
      <c r="C69" s="23">
        <v>43.633738999999899</v>
      </c>
      <c r="D69" s="22">
        <f t="shared" si="9"/>
        <v>-9.3479720000000981</v>
      </c>
      <c r="E69" s="23">
        <v>83.041413560507905</v>
      </c>
      <c r="F69" s="23">
        <v>52.163921216719899</v>
      </c>
      <c r="G69" s="22">
        <f t="shared" si="10"/>
        <v>-30.877492343788006</v>
      </c>
    </row>
    <row r="70" spans="1:7">
      <c r="A70" t="s">
        <v>24</v>
      </c>
      <c r="B70" s="23">
        <v>40.793426999999895</v>
      </c>
      <c r="C70" s="23">
        <v>37.633631000000001</v>
      </c>
      <c r="D70" s="22">
        <f t="shared" si="9"/>
        <v>-3.1597959999998935</v>
      </c>
      <c r="E70" s="23">
        <v>57.793921934871804</v>
      </c>
      <c r="F70" s="23">
        <v>42.660688326142498</v>
      </c>
      <c r="G70" s="22">
        <f t="shared" si="10"/>
        <v>-15.133233608729306</v>
      </c>
    </row>
    <row r="71" spans="1:7">
      <c r="A71" t="s">
        <v>196</v>
      </c>
      <c r="B71" s="22">
        <v>21.764178999999999</v>
      </c>
      <c r="C71" s="22">
        <v>20.779125000000001</v>
      </c>
      <c r="D71" s="22">
        <f t="shared" si="9"/>
        <v>-0.9850539999999981</v>
      </c>
      <c r="E71" s="22">
        <v>28.8128641951056</v>
      </c>
      <c r="F71" s="22">
        <v>23.4877378130865</v>
      </c>
      <c r="G71" s="22">
        <f t="shared" si="10"/>
        <v>-5.3251263820190999</v>
      </c>
    </row>
    <row r="72" spans="1:7">
      <c r="A72" t="s">
        <v>198</v>
      </c>
      <c r="B72" s="22">
        <v>18.577261999999902</v>
      </c>
      <c r="C72" s="22">
        <v>17.651052</v>
      </c>
      <c r="D72" s="22">
        <f t="shared" si="9"/>
        <v>-0.92620999999990161</v>
      </c>
      <c r="E72" s="22">
        <v>23.954285674319198</v>
      </c>
      <c r="F72" s="22">
        <v>20.484634209763801</v>
      </c>
      <c r="G72" s="22">
        <f t="shared" si="10"/>
        <v>-3.4696514645553975</v>
      </c>
    </row>
    <row r="73" spans="1:7">
      <c r="A73" t="s">
        <v>205</v>
      </c>
      <c r="B73" s="22">
        <v>35.135330000000003</v>
      </c>
      <c r="C73" s="22">
        <v>26.653075000000001</v>
      </c>
      <c r="D73" s="22">
        <f t="shared" si="9"/>
        <v>-8.4822550000000021</v>
      </c>
      <c r="E73" s="22">
        <v>48.936418422922998</v>
      </c>
      <c r="F73" s="22">
        <v>29.975882864342498</v>
      </c>
      <c r="G73" s="22">
        <f t="shared" si="10"/>
        <v>-18.960535558580499</v>
      </c>
    </row>
    <row r="74" spans="1:7">
      <c r="A74" t="s">
        <v>214</v>
      </c>
      <c r="B74" s="22">
        <v>26.940371999999901</v>
      </c>
      <c r="C74" s="22">
        <v>25.726575999999898</v>
      </c>
      <c r="D74" s="22">
        <f t="shared" si="9"/>
        <v>-1.2137960000000021</v>
      </c>
      <c r="E74" s="22">
        <v>36.226804484061702</v>
      </c>
      <c r="F74" s="22">
        <v>27.876807971448699</v>
      </c>
      <c r="G74" s="22">
        <f t="shared" si="10"/>
        <v>-8.3499965126130036</v>
      </c>
    </row>
    <row r="75" spans="1:7">
      <c r="A75" t="s">
        <v>200</v>
      </c>
      <c r="B75" s="22">
        <v>27.727758000000001</v>
      </c>
      <c r="C75" s="22">
        <v>39.061767999999901</v>
      </c>
      <c r="D75" s="22">
        <f t="shared" si="9"/>
        <v>11.3340099999999</v>
      </c>
      <c r="E75" s="22">
        <v>37.273846517857201</v>
      </c>
      <c r="F75" s="22">
        <v>44.8908529370797</v>
      </c>
      <c r="G75" s="22">
        <f t="shared" si="10"/>
        <v>7.6170064192224984</v>
      </c>
    </row>
    <row r="76" spans="1:7">
      <c r="A76" t="s">
        <v>201</v>
      </c>
      <c r="B76" s="22">
        <v>17.950119000000001</v>
      </c>
      <c r="C76" s="22">
        <v>23.341747999999999</v>
      </c>
      <c r="D76" s="22">
        <f t="shared" si="9"/>
        <v>5.3916289999999982</v>
      </c>
      <c r="E76" s="22">
        <v>22.7133912417492</v>
      </c>
      <c r="F76" s="22">
        <v>25.0773512065274</v>
      </c>
      <c r="G76" s="22">
        <f t="shared" si="10"/>
        <v>2.3639599647781999</v>
      </c>
    </row>
    <row r="77" spans="1:7">
      <c r="A77" t="s">
        <v>202</v>
      </c>
      <c r="B77" s="22">
        <v>27.451478999999999</v>
      </c>
      <c r="C77" s="22">
        <v>32.704885999999902</v>
      </c>
      <c r="D77" s="22">
        <f t="shared" si="9"/>
        <v>5.2534069999999033</v>
      </c>
      <c r="E77" s="22">
        <v>37.479021823092197</v>
      </c>
      <c r="F77" s="22">
        <v>38.407261120286002</v>
      </c>
      <c r="G77" s="22">
        <f t="shared" si="10"/>
        <v>0.92823929719380516</v>
      </c>
    </row>
    <row r="78" spans="1:7">
      <c r="A78" t="s">
        <v>203</v>
      </c>
      <c r="B78" s="22">
        <v>30.383108999999902</v>
      </c>
      <c r="C78" s="22">
        <v>35.664834999999997</v>
      </c>
      <c r="D78" s="22">
        <f t="shared" si="9"/>
        <v>5.281726000000095</v>
      </c>
      <c r="E78" s="22">
        <v>50.660202752629303</v>
      </c>
      <c r="F78" s="22">
        <v>47.304112308072298</v>
      </c>
      <c r="G78" s="22">
        <f t="shared" si="10"/>
        <v>-3.3560904445570046</v>
      </c>
    </row>
    <row r="79" spans="1:7">
      <c r="A79" t="s">
        <v>204</v>
      </c>
      <c r="B79" s="22">
        <v>22.4666069999999</v>
      </c>
      <c r="C79" s="22">
        <v>23.589506999999902</v>
      </c>
      <c r="D79" s="22">
        <f t="shared" si="9"/>
        <v>1.1229000000000013</v>
      </c>
      <c r="E79" s="22">
        <v>35.5092136444243</v>
      </c>
      <c r="F79" s="22">
        <v>29.633036566401199</v>
      </c>
      <c r="G79" s="22">
        <f t="shared" si="10"/>
        <v>-5.8761770780231011</v>
      </c>
    </row>
    <row r="81" spans="1:7">
      <c r="A81" t="s">
        <v>242</v>
      </c>
      <c r="D81" s="22">
        <f>AVERAGE(D62:D79)</f>
        <v>-1.4282862222222337</v>
      </c>
      <c r="G81" s="22">
        <f>AVERAGE(G62:G79)</f>
        <v>-10.490459412278518</v>
      </c>
    </row>
    <row r="82" spans="1:7">
      <c r="A82" t="s">
        <v>243</v>
      </c>
      <c r="D82" s="22">
        <f>_xlfn.STDEV.S(D62:D79)</f>
        <v>6.3383728080964614</v>
      </c>
      <c r="E82" s="22"/>
      <c r="F82" s="22"/>
      <c r="G82" s="22">
        <f>_xlfn.STDEV.S(G62:G79)</f>
        <v>11.678599625165837</v>
      </c>
    </row>
    <row r="84" spans="1:7">
      <c r="A84" t="s">
        <v>244</v>
      </c>
      <c r="B84" t="s">
        <v>245</v>
      </c>
    </row>
    <row r="86" spans="1:7">
      <c r="A86" t="s">
        <v>246</v>
      </c>
    </row>
    <row r="87" spans="1:7">
      <c r="A87" t="s">
        <v>247</v>
      </c>
      <c r="B87" t="s">
        <v>248</v>
      </c>
    </row>
  </sheetData>
  <mergeCells count="2">
    <mergeCell ref="B60:D60"/>
    <mergeCell ref="E60:G6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topLeftCell="A4" workbookViewId="0">
      <selection activeCell="F92" sqref="F92"/>
    </sheetView>
  </sheetViews>
  <sheetFormatPr defaultRowHeight="13.8"/>
  <cols>
    <col min="1" max="1" width="7.296875" bestFit="1" customWidth="1"/>
    <col min="2" max="2" width="11.8984375" bestFit="1" customWidth="1"/>
    <col min="3" max="3" width="15.19921875" customWidth="1"/>
    <col min="4" max="4" width="8.19921875" customWidth="1"/>
    <col min="5" max="5" width="15.796875" customWidth="1"/>
    <col min="6" max="6" width="15.09765625" customWidth="1"/>
    <col min="7" max="7" width="11.8984375" bestFit="1" customWidth="1"/>
  </cols>
  <sheetData>
    <row r="1" spans="1:9">
      <c r="A1" t="s">
        <v>195</v>
      </c>
      <c r="E1" t="s">
        <v>215</v>
      </c>
      <c r="F1" t="s">
        <v>216</v>
      </c>
      <c r="H1" t="s">
        <v>217</v>
      </c>
    </row>
    <row r="2" spans="1:9">
      <c r="A2" t="s">
        <v>167</v>
      </c>
      <c r="B2" t="s">
        <v>156</v>
      </c>
      <c r="C2" t="s">
        <v>168</v>
      </c>
      <c r="E2" t="s">
        <v>167</v>
      </c>
      <c r="F2" t="s">
        <v>156</v>
      </c>
      <c r="G2" t="s">
        <v>168</v>
      </c>
    </row>
    <row r="3" spans="1:9">
      <c r="A3">
        <v>13</v>
      </c>
      <c r="B3" t="s">
        <v>46</v>
      </c>
      <c r="C3">
        <v>1.0518704029877699</v>
      </c>
      <c r="E3">
        <v>13</v>
      </c>
      <c r="F3" t="s">
        <v>46</v>
      </c>
      <c r="G3">
        <v>0.92558391397042905</v>
      </c>
      <c r="H3">
        <v>11</v>
      </c>
      <c r="I3">
        <v>13</v>
      </c>
    </row>
    <row r="4" spans="1:9">
      <c r="A4">
        <v>12</v>
      </c>
      <c r="B4" t="s">
        <v>46</v>
      </c>
      <c r="C4">
        <v>1.0460698874954</v>
      </c>
      <c r="E4">
        <v>12</v>
      </c>
      <c r="F4" t="s">
        <v>46</v>
      </c>
      <c r="G4">
        <v>1.14502144114379</v>
      </c>
      <c r="H4">
        <v>10</v>
      </c>
      <c r="I4">
        <v>12</v>
      </c>
    </row>
    <row r="5" spans="1:9">
      <c r="A5">
        <v>11</v>
      </c>
      <c r="B5" t="s">
        <v>46</v>
      </c>
      <c r="C5">
        <v>0.99401018040642897</v>
      </c>
      <c r="E5">
        <v>11</v>
      </c>
      <c r="F5" t="s">
        <v>46</v>
      </c>
      <c r="G5">
        <v>0.98110423464166896</v>
      </c>
      <c r="H5">
        <v>9</v>
      </c>
      <c r="I5">
        <v>11</v>
      </c>
    </row>
    <row r="6" spans="1:9">
      <c r="A6">
        <v>10</v>
      </c>
      <c r="B6" t="s">
        <v>46</v>
      </c>
      <c r="C6">
        <v>0.98997341495254698</v>
      </c>
      <c r="E6">
        <v>10</v>
      </c>
      <c r="F6" t="s">
        <v>46</v>
      </c>
      <c r="G6">
        <v>1.0945572187232799</v>
      </c>
      <c r="H6">
        <v>8</v>
      </c>
      <c r="I6">
        <v>10</v>
      </c>
    </row>
    <row r="7" spans="1:9">
      <c r="A7">
        <v>9</v>
      </c>
      <c r="B7" t="s">
        <v>46</v>
      </c>
      <c r="C7">
        <v>1.03977184960788</v>
      </c>
      <c r="E7">
        <v>9</v>
      </c>
      <c r="F7" t="s">
        <v>46</v>
      </c>
      <c r="G7">
        <v>0.93091985954719803</v>
      </c>
      <c r="H7">
        <v>7</v>
      </c>
      <c r="I7">
        <v>9</v>
      </c>
    </row>
    <row r="8" spans="1:9">
      <c r="A8">
        <v>8</v>
      </c>
      <c r="B8" t="s">
        <v>46</v>
      </c>
      <c r="C8">
        <v>0.94921825203251398</v>
      </c>
      <c r="E8">
        <v>8</v>
      </c>
      <c r="F8" t="s">
        <v>46</v>
      </c>
      <c r="G8">
        <v>0.98794147905957996</v>
      </c>
      <c r="H8">
        <v>6</v>
      </c>
      <c r="I8">
        <v>8</v>
      </c>
    </row>
    <row r="9" spans="1:9">
      <c r="A9">
        <v>7</v>
      </c>
      <c r="B9" t="s">
        <v>46</v>
      </c>
      <c r="C9">
        <v>1.03666458485701</v>
      </c>
      <c r="E9">
        <v>7</v>
      </c>
      <c r="F9" t="s">
        <v>46</v>
      </c>
      <c r="G9">
        <v>0.92082538783224099</v>
      </c>
      <c r="H9">
        <v>5</v>
      </c>
      <c r="I9">
        <v>7</v>
      </c>
    </row>
    <row r="10" spans="1:9">
      <c r="A10">
        <v>6</v>
      </c>
      <c r="B10" t="s">
        <v>46</v>
      </c>
      <c r="C10">
        <v>0.99751683696509597</v>
      </c>
      <c r="E10">
        <v>6</v>
      </c>
      <c r="F10" t="s">
        <v>46</v>
      </c>
      <c r="G10">
        <v>1.0940934882206701</v>
      </c>
      <c r="H10">
        <v>4</v>
      </c>
      <c r="I10">
        <v>6</v>
      </c>
    </row>
    <row r="11" spans="1:9">
      <c r="A11">
        <v>5</v>
      </c>
      <c r="B11" t="s">
        <v>46</v>
      </c>
      <c r="C11">
        <v>1.0930693273785601</v>
      </c>
      <c r="E11">
        <v>5</v>
      </c>
      <c r="F11" t="s">
        <v>46</v>
      </c>
      <c r="G11">
        <v>1.01088936215575</v>
      </c>
      <c r="H11">
        <v>3</v>
      </c>
      <c r="I11">
        <v>5</v>
      </c>
    </row>
    <row r="12" spans="1:9">
      <c r="A12">
        <v>4</v>
      </c>
      <c r="B12" t="s">
        <v>46</v>
      </c>
      <c r="C12">
        <v>0.98251314985617799</v>
      </c>
      <c r="E12">
        <v>4</v>
      </c>
      <c r="F12" t="s">
        <v>46</v>
      </c>
      <c r="G12">
        <v>1.0471538057754499</v>
      </c>
      <c r="H12">
        <v>2</v>
      </c>
      <c r="I12">
        <v>4</v>
      </c>
    </row>
    <row r="13" spans="1:9">
      <c r="A13">
        <v>3</v>
      </c>
      <c r="B13" t="s">
        <v>46</v>
      </c>
      <c r="C13">
        <v>0.97665571550819397</v>
      </c>
      <c r="E13">
        <v>13</v>
      </c>
      <c r="F13" t="s">
        <v>42</v>
      </c>
      <c r="G13">
        <v>0.92558391397042905</v>
      </c>
      <c r="H13">
        <v>11</v>
      </c>
      <c r="I13">
        <v>13</v>
      </c>
    </row>
    <row r="14" spans="1:9">
      <c r="A14">
        <v>2</v>
      </c>
      <c r="B14" t="s">
        <v>46</v>
      </c>
      <c r="C14">
        <v>1.1148797950234099</v>
      </c>
      <c r="E14">
        <v>12</v>
      </c>
      <c r="F14" t="s">
        <v>42</v>
      </c>
      <c r="G14">
        <v>1.14502144114379</v>
      </c>
      <c r="H14">
        <v>10</v>
      </c>
      <c r="I14">
        <v>12</v>
      </c>
    </row>
    <row r="15" spans="1:9">
      <c r="A15">
        <v>1</v>
      </c>
      <c r="B15" t="s">
        <v>46</v>
      </c>
      <c r="C15">
        <v>1.0368313596232099</v>
      </c>
      <c r="E15">
        <v>11</v>
      </c>
      <c r="F15" t="s">
        <v>42</v>
      </c>
      <c r="G15">
        <v>0.98110423464166896</v>
      </c>
      <c r="H15">
        <v>9</v>
      </c>
      <c r="I15">
        <v>11</v>
      </c>
    </row>
    <row r="16" spans="1:9">
      <c r="A16">
        <v>0</v>
      </c>
      <c r="B16" t="s">
        <v>46</v>
      </c>
      <c r="C16">
        <v>1.1289384054824101</v>
      </c>
      <c r="E16">
        <v>10</v>
      </c>
      <c r="F16" t="s">
        <v>42</v>
      </c>
      <c r="G16">
        <v>1.0945572187232799</v>
      </c>
      <c r="H16">
        <v>8</v>
      </c>
      <c r="I16">
        <v>10</v>
      </c>
    </row>
    <row r="17" spans="1:9">
      <c r="A17">
        <v>13</v>
      </c>
      <c r="B17" t="s">
        <v>42</v>
      </c>
      <c r="C17">
        <v>1.0518704029877699</v>
      </c>
      <c r="E17">
        <v>9</v>
      </c>
      <c r="F17" t="s">
        <v>42</v>
      </c>
      <c r="G17">
        <v>0.93091985954719803</v>
      </c>
      <c r="H17">
        <v>7</v>
      </c>
      <c r="I17">
        <v>9</v>
      </c>
    </row>
    <row r="18" spans="1:9">
      <c r="A18">
        <v>12</v>
      </c>
      <c r="B18" t="s">
        <v>42</v>
      </c>
      <c r="C18">
        <v>1.0460698874954</v>
      </c>
      <c r="E18">
        <v>8</v>
      </c>
      <c r="F18" t="s">
        <v>42</v>
      </c>
      <c r="G18">
        <v>0.98794147905957996</v>
      </c>
      <c r="H18">
        <v>6</v>
      </c>
      <c r="I18">
        <v>8</v>
      </c>
    </row>
    <row r="19" spans="1:9">
      <c r="A19">
        <v>11</v>
      </c>
      <c r="B19" t="s">
        <v>42</v>
      </c>
      <c r="C19">
        <v>0.99401018040642897</v>
      </c>
      <c r="E19">
        <v>7</v>
      </c>
      <c r="F19" t="s">
        <v>42</v>
      </c>
      <c r="G19">
        <v>0.92082538783224099</v>
      </c>
      <c r="H19">
        <v>5</v>
      </c>
      <c r="I19">
        <v>7</v>
      </c>
    </row>
    <row r="20" spans="1:9">
      <c r="A20">
        <v>10</v>
      </c>
      <c r="B20" t="s">
        <v>42</v>
      </c>
      <c r="C20">
        <v>0.98997341495254698</v>
      </c>
      <c r="E20">
        <v>6</v>
      </c>
      <c r="F20" t="s">
        <v>42</v>
      </c>
      <c r="G20">
        <v>1.0940934882206701</v>
      </c>
      <c r="H20">
        <v>4</v>
      </c>
      <c r="I20">
        <v>6</v>
      </c>
    </row>
    <row r="21" spans="1:9">
      <c r="A21">
        <v>9</v>
      </c>
      <c r="B21" t="s">
        <v>42</v>
      </c>
      <c r="C21">
        <v>1.03977184960788</v>
      </c>
      <c r="E21">
        <v>5</v>
      </c>
      <c r="F21" t="s">
        <v>42</v>
      </c>
      <c r="G21">
        <v>1.01088936215575</v>
      </c>
      <c r="H21">
        <v>3</v>
      </c>
      <c r="I21">
        <v>5</v>
      </c>
    </row>
    <row r="22" spans="1:9">
      <c r="A22">
        <v>8</v>
      </c>
      <c r="B22" t="s">
        <v>42</v>
      </c>
      <c r="C22">
        <v>0.94921825203251398</v>
      </c>
      <c r="E22">
        <v>4</v>
      </c>
      <c r="F22" t="s">
        <v>42</v>
      </c>
      <c r="G22">
        <v>1.0471538057754499</v>
      </c>
      <c r="H22">
        <v>2</v>
      </c>
      <c r="I22">
        <v>4</v>
      </c>
    </row>
    <row r="23" spans="1:9">
      <c r="A23">
        <v>7</v>
      </c>
      <c r="B23" t="s">
        <v>42</v>
      </c>
      <c r="C23">
        <v>1.03666458485701</v>
      </c>
      <c r="E23">
        <v>17</v>
      </c>
      <c r="F23" t="s">
        <v>10</v>
      </c>
      <c r="G23">
        <v>0.92558391397042905</v>
      </c>
      <c r="H23">
        <v>11</v>
      </c>
      <c r="I23">
        <v>17</v>
      </c>
    </row>
    <row r="24" spans="1:9">
      <c r="A24">
        <v>6</v>
      </c>
      <c r="B24" t="s">
        <v>42</v>
      </c>
      <c r="C24">
        <v>0.99751683696509597</v>
      </c>
      <c r="E24">
        <v>16</v>
      </c>
      <c r="F24" t="s">
        <v>10</v>
      </c>
      <c r="G24">
        <v>1.14502144114379</v>
      </c>
      <c r="H24">
        <v>10</v>
      </c>
      <c r="I24">
        <v>16</v>
      </c>
    </row>
    <row r="25" spans="1:9">
      <c r="A25">
        <v>5</v>
      </c>
      <c r="B25" t="s">
        <v>42</v>
      </c>
      <c r="C25">
        <v>1.0930693273785601</v>
      </c>
      <c r="E25">
        <v>15</v>
      </c>
      <c r="F25" t="s">
        <v>10</v>
      </c>
      <c r="G25">
        <v>0.98110423464166896</v>
      </c>
      <c r="H25">
        <v>9</v>
      </c>
      <c r="I25">
        <v>15</v>
      </c>
    </row>
    <row r="26" spans="1:9">
      <c r="A26">
        <v>4</v>
      </c>
      <c r="B26" t="s">
        <v>42</v>
      </c>
      <c r="C26">
        <v>0.98251314985617799</v>
      </c>
      <c r="E26">
        <v>14</v>
      </c>
      <c r="F26" t="s">
        <v>10</v>
      </c>
      <c r="G26">
        <v>1.0945572187232799</v>
      </c>
      <c r="H26">
        <v>8</v>
      </c>
      <c r="I26">
        <v>14</v>
      </c>
    </row>
    <row r="27" spans="1:9">
      <c r="A27">
        <v>3</v>
      </c>
      <c r="B27" t="s">
        <v>42</v>
      </c>
      <c r="C27">
        <v>0.97665571550819397</v>
      </c>
      <c r="E27">
        <v>13</v>
      </c>
      <c r="F27" t="s">
        <v>10</v>
      </c>
      <c r="G27">
        <v>0.93091985954719803</v>
      </c>
      <c r="H27">
        <v>7</v>
      </c>
      <c r="I27">
        <v>13</v>
      </c>
    </row>
    <row r="28" spans="1:9">
      <c r="A28">
        <v>2</v>
      </c>
      <c r="B28" t="s">
        <v>42</v>
      </c>
      <c r="C28">
        <v>1.1148797950234099</v>
      </c>
      <c r="E28">
        <v>12</v>
      </c>
      <c r="F28" t="s">
        <v>10</v>
      </c>
      <c r="G28">
        <v>0.98794147905957996</v>
      </c>
      <c r="H28">
        <v>6</v>
      </c>
      <c r="I28">
        <v>12</v>
      </c>
    </row>
    <row r="29" spans="1:9">
      <c r="A29">
        <v>1</v>
      </c>
      <c r="B29" t="s">
        <v>42</v>
      </c>
      <c r="C29">
        <v>1.0368313596232099</v>
      </c>
      <c r="E29">
        <v>11</v>
      </c>
      <c r="F29" t="s">
        <v>10</v>
      </c>
      <c r="G29">
        <v>0.92082538783224099</v>
      </c>
      <c r="H29">
        <v>5</v>
      </c>
      <c r="I29">
        <v>11</v>
      </c>
    </row>
    <row r="30" spans="1:9">
      <c r="A30">
        <v>0</v>
      </c>
      <c r="B30" t="s">
        <v>42</v>
      </c>
      <c r="C30">
        <v>1.1289384054824101</v>
      </c>
      <c r="E30">
        <v>10</v>
      </c>
      <c r="F30" t="s">
        <v>10</v>
      </c>
      <c r="G30">
        <v>1.0940934882206701</v>
      </c>
      <c r="H30">
        <v>4</v>
      </c>
      <c r="I30">
        <v>10</v>
      </c>
    </row>
    <row r="31" spans="1:9">
      <c r="A31">
        <v>13</v>
      </c>
      <c r="B31" t="s">
        <v>10</v>
      </c>
      <c r="C31">
        <v>1.0518704029877699</v>
      </c>
      <c r="E31">
        <v>9</v>
      </c>
      <c r="F31" t="s">
        <v>10</v>
      </c>
      <c r="G31">
        <v>1.01088936215575</v>
      </c>
      <c r="H31">
        <v>3</v>
      </c>
      <c r="I31">
        <v>9</v>
      </c>
    </row>
    <row r="32" spans="1:9">
      <c r="A32">
        <v>12</v>
      </c>
      <c r="B32" t="s">
        <v>10</v>
      </c>
      <c r="C32">
        <v>1.0460698874954</v>
      </c>
      <c r="E32">
        <v>8</v>
      </c>
      <c r="F32" t="s">
        <v>10</v>
      </c>
      <c r="G32">
        <v>1.0471538057754499</v>
      </c>
      <c r="H32">
        <v>2</v>
      </c>
      <c r="I32">
        <v>8</v>
      </c>
    </row>
    <row r="33" spans="1:9">
      <c r="A33">
        <v>11</v>
      </c>
      <c r="B33" t="s">
        <v>10</v>
      </c>
      <c r="C33">
        <v>0.99401018040642897</v>
      </c>
      <c r="E33">
        <v>58</v>
      </c>
      <c r="F33" t="s">
        <v>35</v>
      </c>
      <c r="G33">
        <v>0.92558391397042905</v>
      </c>
      <c r="H33">
        <v>11</v>
      </c>
      <c r="I33">
        <v>58</v>
      </c>
    </row>
    <row r="34" spans="1:9">
      <c r="A34">
        <v>10</v>
      </c>
      <c r="B34" t="s">
        <v>10</v>
      </c>
      <c r="C34">
        <v>0.98997341495254698</v>
      </c>
      <c r="E34">
        <v>57</v>
      </c>
      <c r="F34" t="s">
        <v>35</v>
      </c>
      <c r="G34">
        <v>1.14502144114379</v>
      </c>
      <c r="H34">
        <v>10</v>
      </c>
      <c r="I34">
        <v>57</v>
      </c>
    </row>
    <row r="35" spans="1:9">
      <c r="A35">
        <v>9</v>
      </c>
      <c r="B35" t="s">
        <v>10</v>
      </c>
      <c r="C35">
        <v>1.03977184960788</v>
      </c>
      <c r="E35">
        <v>56</v>
      </c>
      <c r="F35" t="s">
        <v>35</v>
      </c>
      <c r="G35">
        <v>0.98110423464166896</v>
      </c>
      <c r="H35">
        <v>9</v>
      </c>
      <c r="I35">
        <v>56</v>
      </c>
    </row>
    <row r="36" spans="1:9">
      <c r="A36">
        <v>8</v>
      </c>
      <c r="B36" t="s">
        <v>10</v>
      </c>
      <c r="C36">
        <v>0.94921825203251398</v>
      </c>
      <c r="E36">
        <v>55</v>
      </c>
      <c r="F36" t="s">
        <v>35</v>
      </c>
      <c r="G36">
        <v>1.0945572187232799</v>
      </c>
      <c r="H36">
        <v>8</v>
      </c>
      <c r="I36">
        <v>55</v>
      </c>
    </row>
    <row r="37" spans="1:9">
      <c r="A37">
        <v>7</v>
      </c>
      <c r="B37" t="s">
        <v>10</v>
      </c>
      <c r="C37">
        <v>1.03666458485701</v>
      </c>
      <c r="E37">
        <v>54</v>
      </c>
      <c r="F37" t="s">
        <v>35</v>
      </c>
      <c r="G37">
        <v>0.93091985954719803</v>
      </c>
      <c r="H37">
        <v>7</v>
      </c>
      <c r="I37">
        <v>54</v>
      </c>
    </row>
    <row r="38" spans="1:9">
      <c r="A38">
        <v>6</v>
      </c>
      <c r="B38" t="s">
        <v>10</v>
      </c>
      <c r="C38">
        <v>0.99751683696509597</v>
      </c>
      <c r="E38">
        <v>53</v>
      </c>
      <c r="F38" t="s">
        <v>35</v>
      </c>
      <c r="G38">
        <v>0.98794147905957996</v>
      </c>
      <c r="H38">
        <v>6</v>
      </c>
      <c r="I38">
        <v>53</v>
      </c>
    </row>
    <row r="39" spans="1:9">
      <c r="A39">
        <v>5</v>
      </c>
      <c r="B39" t="s">
        <v>10</v>
      </c>
      <c r="C39">
        <v>1.0930693273785601</v>
      </c>
      <c r="E39">
        <v>52</v>
      </c>
      <c r="F39" t="s">
        <v>35</v>
      </c>
      <c r="G39">
        <v>0.92082538783224099</v>
      </c>
      <c r="H39">
        <v>5</v>
      </c>
      <c r="I39">
        <v>52</v>
      </c>
    </row>
    <row r="40" spans="1:9">
      <c r="A40">
        <v>4</v>
      </c>
      <c r="B40" t="s">
        <v>10</v>
      </c>
      <c r="C40">
        <v>0.98251314985617799</v>
      </c>
      <c r="E40">
        <v>51</v>
      </c>
      <c r="F40" t="s">
        <v>35</v>
      </c>
      <c r="G40">
        <v>1.0940934882206701</v>
      </c>
      <c r="H40">
        <v>4</v>
      </c>
      <c r="I40">
        <v>51</v>
      </c>
    </row>
    <row r="41" spans="1:9">
      <c r="A41">
        <v>3</v>
      </c>
      <c r="B41" t="s">
        <v>10</v>
      </c>
      <c r="C41">
        <v>0.97665571550819397</v>
      </c>
      <c r="E41">
        <v>50</v>
      </c>
      <c r="F41" t="s">
        <v>35</v>
      </c>
      <c r="G41">
        <v>1.01088936215575</v>
      </c>
      <c r="H41">
        <v>3</v>
      </c>
      <c r="I41">
        <v>50</v>
      </c>
    </row>
    <row r="42" spans="1:9">
      <c r="A42">
        <v>2</v>
      </c>
      <c r="B42" t="s">
        <v>10</v>
      </c>
      <c r="C42">
        <v>1.1148797950234099</v>
      </c>
      <c r="E42">
        <v>49</v>
      </c>
      <c r="F42" t="s">
        <v>35</v>
      </c>
      <c r="G42">
        <v>1.0471538057754499</v>
      </c>
      <c r="H42">
        <v>2</v>
      </c>
      <c r="I42">
        <v>49</v>
      </c>
    </row>
    <row r="43" spans="1:9">
      <c r="A43">
        <v>1</v>
      </c>
      <c r="B43" t="s">
        <v>10</v>
      </c>
      <c r="C43">
        <v>1.0368313596232099</v>
      </c>
      <c r="E43">
        <v>71</v>
      </c>
      <c r="F43" t="s">
        <v>50</v>
      </c>
      <c r="G43">
        <v>0.92558391397042905</v>
      </c>
      <c r="H43">
        <v>11</v>
      </c>
      <c r="I43">
        <v>71</v>
      </c>
    </row>
    <row r="44" spans="1:9">
      <c r="A44">
        <v>0</v>
      </c>
      <c r="B44" t="s">
        <v>10</v>
      </c>
      <c r="C44">
        <v>1.1289384054824101</v>
      </c>
      <c r="E44">
        <v>70</v>
      </c>
      <c r="F44" t="s">
        <v>50</v>
      </c>
      <c r="G44">
        <v>1.14502144114379</v>
      </c>
      <c r="H44">
        <v>10</v>
      </c>
      <c r="I44">
        <v>70</v>
      </c>
    </row>
    <row r="45" spans="1:9">
      <c r="A45">
        <v>13</v>
      </c>
      <c r="B45" t="s">
        <v>35</v>
      </c>
      <c r="C45">
        <v>1.0518704029877699</v>
      </c>
      <c r="E45">
        <v>69</v>
      </c>
      <c r="F45" t="s">
        <v>50</v>
      </c>
      <c r="G45">
        <v>0.98110423464166896</v>
      </c>
      <c r="H45">
        <v>9</v>
      </c>
      <c r="I45">
        <v>69</v>
      </c>
    </row>
    <row r="46" spans="1:9">
      <c r="A46">
        <v>12</v>
      </c>
      <c r="B46" t="s">
        <v>35</v>
      </c>
      <c r="C46">
        <v>1.0460698874954</v>
      </c>
      <c r="E46">
        <v>68</v>
      </c>
      <c r="F46" t="s">
        <v>50</v>
      </c>
      <c r="G46">
        <v>1.0945572187232799</v>
      </c>
      <c r="H46">
        <v>8</v>
      </c>
      <c r="I46">
        <v>68</v>
      </c>
    </row>
    <row r="47" spans="1:9">
      <c r="A47">
        <v>11</v>
      </c>
      <c r="B47" t="s">
        <v>35</v>
      </c>
      <c r="C47">
        <v>0.99401018040642897</v>
      </c>
      <c r="E47">
        <v>67</v>
      </c>
      <c r="F47" t="s">
        <v>50</v>
      </c>
      <c r="G47">
        <v>0.93091985954719803</v>
      </c>
      <c r="H47">
        <v>7</v>
      </c>
      <c r="I47">
        <v>67</v>
      </c>
    </row>
    <row r="48" spans="1:9">
      <c r="A48">
        <v>10</v>
      </c>
      <c r="B48" t="s">
        <v>35</v>
      </c>
      <c r="C48">
        <v>0.98997341495254698</v>
      </c>
      <c r="E48">
        <v>66</v>
      </c>
      <c r="F48" t="s">
        <v>50</v>
      </c>
      <c r="G48">
        <v>0.98794147905957996</v>
      </c>
      <c r="H48">
        <v>6</v>
      </c>
      <c r="I48">
        <v>66</v>
      </c>
    </row>
    <row r="49" spans="1:9">
      <c r="A49">
        <v>9</v>
      </c>
      <c r="B49" t="s">
        <v>35</v>
      </c>
      <c r="C49">
        <v>1.03977184960788</v>
      </c>
      <c r="E49">
        <v>65</v>
      </c>
      <c r="F49" t="s">
        <v>50</v>
      </c>
      <c r="G49">
        <v>0.92082538783224099</v>
      </c>
      <c r="H49">
        <v>5</v>
      </c>
      <c r="I49">
        <v>65</v>
      </c>
    </row>
    <row r="50" spans="1:9">
      <c r="A50">
        <v>8</v>
      </c>
      <c r="B50" t="s">
        <v>35</v>
      </c>
      <c r="C50">
        <v>0.94921825203251398</v>
      </c>
      <c r="E50">
        <v>64</v>
      </c>
      <c r="F50" t="s">
        <v>50</v>
      </c>
      <c r="G50">
        <v>1.0940934882206701</v>
      </c>
      <c r="H50">
        <v>4</v>
      </c>
      <c r="I50">
        <v>64</v>
      </c>
    </row>
    <row r="51" spans="1:9">
      <c r="A51">
        <v>7</v>
      </c>
      <c r="B51" t="s">
        <v>35</v>
      </c>
      <c r="C51">
        <v>1.03666458485701</v>
      </c>
      <c r="E51">
        <v>63</v>
      </c>
      <c r="F51" t="s">
        <v>50</v>
      </c>
      <c r="G51">
        <v>1.01088936215575</v>
      </c>
      <c r="H51">
        <v>3</v>
      </c>
      <c r="I51">
        <v>63</v>
      </c>
    </row>
    <row r="52" spans="1:9">
      <c r="A52">
        <v>6</v>
      </c>
      <c r="B52" t="s">
        <v>35</v>
      </c>
      <c r="C52">
        <v>0.99751683696509597</v>
      </c>
      <c r="E52">
        <v>62</v>
      </c>
      <c r="F52" t="s">
        <v>50</v>
      </c>
      <c r="G52">
        <v>1.0471538057754499</v>
      </c>
      <c r="H52">
        <v>2</v>
      </c>
      <c r="I52">
        <v>62</v>
      </c>
    </row>
    <row r="53" spans="1:9">
      <c r="A53">
        <v>5</v>
      </c>
      <c r="B53" t="s">
        <v>35</v>
      </c>
      <c r="C53">
        <v>1.0930693273785601</v>
      </c>
      <c r="E53">
        <v>73</v>
      </c>
      <c r="F53" t="s">
        <v>52</v>
      </c>
      <c r="G53">
        <v>0.92558391397042905</v>
      </c>
      <c r="H53">
        <v>11</v>
      </c>
      <c r="I53">
        <v>73</v>
      </c>
    </row>
    <row r="54" spans="1:9">
      <c r="A54">
        <v>4</v>
      </c>
      <c r="B54" t="s">
        <v>35</v>
      </c>
      <c r="C54">
        <v>0.98251314985617799</v>
      </c>
      <c r="E54">
        <v>72</v>
      </c>
      <c r="F54" t="s">
        <v>52</v>
      </c>
      <c r="G54">
        <v>1.14502144114379</v>
      </c>
      <c r="H54">
        <v>10</v>
      </c>
      <c r="I54">
        <v>72</v>
      </c>
    </row>
    <row r="55" spans="1:9">
      <c r="A55">
        <v>3</v>
      </c>
      <c r="B55" t="s">
        <v>35</v>
      </c>
      <c r="C55">
        <v>0.97665571550819397</v>
      </c>
      <c r="E55">
        <v>71</v>
      </c>
      <c r="F55" t="s">
        <v>52</v>
      </c>
      <c r="G55">
        <v>0.98110423464166896</v>
      </c>
      <c r="H55">
        <v>9</v>
      </c>
      <c r="I55">
        <v>71</v>
      </c>
    </row>
    <row r="56" spans="1:9">
      <c r="A56">
        <v>2</v>
      </c>
      <c r="B56" t="s">
        <v>35</v>
      </c>
      <c r="C56">
        <v>1.1148797950234099</v>
      </c>
      <c r="E56">
        <v>70</v>
      </c>
      <c r="F56" t="s">
        <v>52</v>
      </c>
      <c r="G56">
        <v>1.0945572187232799</v>
      </c>
      <c r="H56">
        <v>8</v>
      </c>
      <c r="I56">
        <v>70</v>
      </c>
    </row>
    <row r="57" spans="1:9">
      <c r="A57">
        <v>1</v>
      </c>
      <c r="B57" t="s">
        <v>35</v>
      </c>
      <c r="C57">
        <v>1.0368313596232099</v>
      </c>
      <c r="E57">
        <v>69</v>
      </c>
      <c r="F57" t="s">
        <v>52</v>
      </c>
      <c r="G57">
        <v>0.93091985954719803</v>
      </c>
      <c r="H57">
        <v>7</v>
      </c>
      <c r="I57">
        <v>69</v>
      </c>
    </row>
    <row r="58" spans="1:9">
      <c r="A58">
        <v>0</v>
      </c>
      <c r="B58" t="s">
        <v>35</v>
      </c>
      <c r="C58">
        <v>1.1289384054824101</v>
      </c>
      <c r="E58">
        <v>68</v>
      </c>
      <c r="F58" t="s">
        <v>52</v>
      </c>
      <c r="G58">
        <v>0.98794147905957996</v>
      </c>
      <c r="H58">
        <v>6</v>
      </c>
      <c r="I58">
        <v>68</v>
      </c>
    </row>
    <row r="59" spans="1:9">
      <c r="A59">
        <v>13</v>
      </c>
      <c r="B59" t="s">
        <v>21</v>
      </c>
      <c r="C59">
        <v>1.0518704029877699</v>
      </c>
      <c r="E59">
        <v>67</v>
      </c>
      <c r="F59" t="s">
        <v>52</v>
      </c>
      <c r="G59">
        <v>0.92082538783224099</v>
      </c>
      <c r="H59">
        <v>5</v>
      </c>
      <c r="I59">
        <v>67</v>
      </c>
    </row>
    <row r="60" spans="1:9">
      <c r="A60">
        <v>12</v>
      </c>
      <c r="B60" t="s">
        <v>21</v>
      </c>
      <c r="C60">
        <v>1.0460698874954</v>
      </c>
      <c r="E60">
        <v>66</v>
      </c>
      <c r="F60" t="s">
        <v>52</v>
      </c>
      <c r="G60">
        <v>1.0940934882206701</v>
      </c>
      <c r="H60">
        <v>4</v>
      </c>
      <c r="I60">
        <v>66</v>
      </c>
    </row>
    <row r="61" spans="1:9">
      <c r="A61">
        <v>11</v>
      </c>
      <c r="B61" t="s">
        <v>21</v>
      </c>
      <c r="C61">
        <v>0.99401018040642897</v>
      </c>
      <c r="E61">
        <v>65</v>
      </c>
      <c r="F61" t="s">
        <v>52</v>
      </c>
      <c r="G61">
        <v>1.01088936215575</v>
      </c>
      <c r="H61">
        <v>3</v>
      </c>
      <c r="I61">
        <v>65</v>
      </c>
    </row>
    <row r="62" spans="1:9">
      <c r="A62">
        <v>10</v>
      </c>
      <c r="B62" t="s">
        <v>21</v>
      </c>
      <c r="C62">
        <v>0.98997341495254698</v>
      </c>
      <c r="E62">
        <v>64</v>
      </c>
      <c r="F62" t="s">
        <v>52</v>
      </c>
      <c r="G62">
        <v>1.0471538057754499</v>
      </c>
      <c r="H62">
        <v>2</v>
      </c>
      <c r="I62">
        <v>64</v>
      </c>
    </row>
    <row r="63" spans="1:9">
      <c r="A63">
        <v>9</v>
      </c>
      <c r="B63" t="s">
        <v>21</v>
      </c>
      <c r="C63">
        <v>1.03977184960788</v>
      </c>
      <c r="E63">
        <v>106</v>
      </c>
      <c r="F63" t="s">
        <v>169</v>
      </c>
      <c r="G63">
        <v>0.92558391397042905</v>
      </c>
      <c r="H63">
        <v>11</v>
      </c>
      <c r="I63">
        <v>106</v>
      </c>
    </row>
    <row r="64" spans="1:9">
      <c r="A64">
        <v>8</v>
      </c>
      <c r="B64" t="s">
        <v>21</v>
      </c>
      <c r="C64">
        <v>0.94921825203251398</v>
      </c>
      <c r="E64">
        <v>105</v>
      </c>
      <c r="F64" t="s">
        <v>169</v>
      </c>
      <c r="G64">
        <v>1.14502144114379</v>
      </c>
      <c r="H64">
        <v>10</v>
      </c>
      <c r="I64">
        <v>105</v>
      </c>
    </row>
    <row r="65" spans="1:9">
      <c r="A65">
        <v>7</v>
      </c>
      <c r="B65" t="s">
        <v>21</v>
      </c>
      <c r="C65">
        <v>1.03666458485701</v>
      </c>
      <c r="E65">
        <v>104</v>
      </c>
      <c r="F65" t="s">
        <v>169</v>
      </c>
      <c r="G65">
        <v>0.98110423464166896</v>
      </c>
      <c r="H65">
        <v>9</v>
      </c>
      <c r="I65">
        <v>104</v>
      </c>
    </row>
    <row r="66" spans="1:9">
      <c r="A66">
        <v>6</v>
      </c>
      <c r="B66" t="s">
        <v>21</v>
      </c>
      <c r="C66">
        <v>0.99751683696509597</v>
      </c>
      <c r="E66">
        <v>103</v>
      </c>
      <c r="F66" t="s">
        <v>169</v>
      </c>
      <c r="G66">
        <v>1.0945572187232799</v>
      </c>
      <c r="H66">
        <v>8</v>
      </c>
      <c r="I66">
        <v>103</v>
      </c>
    </row>
    <row r="67" spans="1:9">
      <c r="A67">
        <v>5</v>
      </c>
      <c r="B67" t="s">
        <v>21</v>
      </c>
      <c r="C67">
        <v>1.0930693273785601</v>
      </c>
      <c r="E67">
        <v>102</v>
      </c>
      <c r="F67" t="s">
        <v>169</v>
      </c>
      <c r="G67">
        <v>0.93091985954719803</v>
      </c>
      <c r="H67">
        <v>7</v>
      </c>
      <c r="I67">
        <v>102</v>
      </c>
    </row>
    <row r="68" spans="1:9">
      <c r="A68">
        <v>4</v>
      </c>
      <c r="B68" t="s">
        <v>21</v>
      </c>
      <c r="C68">
        <v>0.98251314985617799</v>
      </c>
      <c r="E68">
        <v>101</v>
      </c>
      <c r="F68" t="s">
        <v>169</v>
      </c>
      <c r="G68">
        <v>0.98794147905957996</v>
      </c>
      <c r="H68">
        <v>6</v>
      </c>
      <c r="I68">
        <v>101</v>
      </c>
    </row>
    <row r="69" spans="1:9">
      <c r="A69">
        <v>3</v>
      </c>
      <c r="B69" t="s">
        <v>21</v>
      </c>
      <c r="C69">
        <v>0.97665571550819397</v>
      </c>
      <c r="E69">
        <v>100</v>
      </c>
      <c r="F69" t="s">
        <v>169</v>
      </c>
      <c r="G69">
        <v>0.92082538783224099</v>
      </c>
      <c r="H69">
        <v>5</v>
      </c>
      <c r="I69">
        <v>100</v>
      </c>
    </row>
    <row r="70" spans="1:9">
      <c r="A70">
        <v>2</v>
      </c>
      <c r="B70" t="s">
        <v>21</v>
      </c>
      <c r="C70">
        <v>1.1148797950234099</v>
      </c>
      <c r="E70">
        <v>99</v>
      </c>
      <c r="F70" t="s">
        <v>169</v>
      </c>
      <c r="G70">
        <v>1.0940934882206701</v>
      </c>
      <c r="H70">
        <v>4</v>
      </c>
      <c r="I70">
        <v>99</v>
      </c>
    </row>
    <row r="71" spans="1:9">
      <c r="A71">
        <v>1</v>
      </c>
      <c r="B71" t="s">
        <v>21</v>
      </c>
      <c r="C71">
        <v>1.0368313596232099</v>
      </c>
      <c r="E71">
        <v>98</v>
      </c>
      <c r="F71" t="s">
        <v>169</v>
      </c>
      <c r="G71">
        <v>1.01088936215575</v>
      </c>
      <c r="H71">
        <v>3</v>
      </c>
      <c r="I71">
        <v>98</v>
      </c>
    </row>
    <row r="72" spans="1:9">
      <c r="A72">
        <v>0</v>
      </c>
      <c r="B72" t="s">
        <v>21</v>
      </c>
      <c r="C72">
        <v>1.1289384054824101</v>
      </c>
      <c r="E72">
        <v>97</v>
      </c>
      <c r="F72" t="s">
        <v>169</v>
      </c>
      <c r="G72">
        <v>1.0471538057754499</v>
      </c>
      <c r="H72">
        <v>2</v>
      </c>
      <c r="I72">
        <v>97</v>
      </c>
    </row>
    <row r="73" spans="1:9">
      <c r="A73">
        <v>13</v>
      </c>
      <c r="B73" t="s">
        <v>50</v>
      </c>
      <c r="C73">
        <v>1.0518704029877699</v>
      </c>
      <c r="E73">
        <v>166</v>
      </c>
      <c r="F73" t="s">
        <v>11</v>
      </c>
      <c r="G73">
        <v>1.38824349832085</v>
      </c>
      <c r="H73">
        <v>11</v>
      </c>
      <c r="I73">
        <v>166</v>
      </c>
    </row>
    <row r="74" spans="1:9">
      <c r="A74">
        <v>12</v>
      </c>
      <c r="B74" t="s">
        <v>50</v>
      </c>
      <c r="C74">
        <v>1.0460698874954</v>
      </c>
      <c r="E74">
        <v>165</v>
      </c>
      <c r="F74" t="s">
        <v>11</v>
      </c>
      <c r="G74">
        <v>1.71690948461347</v>
      </c>
      <c r="H74">
        <v>10</v>
      </c>
      <c r="I74">
        <v>165</v>
      </c>
    </row>
    <row r="75" spans="1:9">
      <c r="A75">
        <v>11</v>
      </c>
      <c r="B75" t="s">
        <v>50</v>
      </c>
      <c r="C75">
        <v>0.99401018040642897</v>
      </c>
      <c r="E75">
        <v>164</v>
      </c>
      <c r="F75" t="s">
        <v>11</v>
      </c>
      <c r="G75">
        <v>1.4713938565179701</v>
      </c>
      <c r="H75">
        <v>9</v>
      </c>
      <c r="I75">
        <v>164</v>
      </c>
    </row>
    <row r="76" spans="1:9">
      <c r="A76">
        <v>10</v>
      </c>
      <c r="B76" t="s">
        <v>50</v>
      </c>
      <c r="C76">
        <v>0.98997341495254698</v>
      </c>
      <c r="E76">
        <v>163</v>
      </c>
      <c r="F76" t="s">
        <v>11</v>
      </c>
      <c r="G76">
        <v>1.6413258139304101</v>
      </c>
      <c r="H76">
        <v>8</v>
      </c>
      <c r="I76">
        <v>163</v>
      </c>
    </row>
    <row r="77" spans="1:9">
      <c r="A77">
        <v>9</v>
      </c>
      <c r="B77" t="s">
        <v>50</v>
      </c>
      <c r="C77">
        <v>1.03977184960788</v>
      </c>
      <c r="E77">
        <v>162</v>
      </c>
      <c r="F77" t="s">
        <v>11</v>
      </c>
      <c r="G77">
        <v>1.39625970227536</v>
      </c>
      <c r="H77">
        <v>7</v>
      </c>
      <c r="I77">
        <v>162</v>
      </c>
    </row>
    <row r="78" spans="1:9">
      <c r="A78">
        <v>8</v>
      </c>
      <c r="B78" t="s">
        <v>50</v>
      </c>
      <c r="C78">
        <v>0.94921825203251398</v>
      </c>
      <c r="E78">
        <v>161</v>
      </c>
      <c r="F78" t="s">
        <v>11</v>
      </c>
      <c r="G78">
        <v>1.48164297959518</v>
      </c>
      <c r="H78">
        <v>6</v>
      </c>
      <c r="I78">
        <v>161</v>
      </c>
    </row>
    <row r="79" spans="1:9">
      <c r="A79">
        <v>7</v>
      </c>
      <c r="B79" t="s">
        <v>50</v>
      </c>
      <c r="C79">
        <v>1.03666458485701</v>
      </c>
      <c r="E79">
        <v>160</v>
      </c>
      <c r="F79" t="s">
        <v>11</v>
      </c>
      <c r="G79">
        <v>1.38111286028867</v>
      </c>
      <c r="H79">
        <v>5</v>
      </c>
      <c r="I79">
        <v>160</v>
      </c>
    </row>
    <row r="80" spans="1:9">
      <c r="A80">
        <v>6</v>
      </c>
      <c r="B80" t="s">
        <v>50</v>
      </c>
      <c r="C80">
        <v>0.99751683696509597</v>
      </c>
      <c r="E80">
        <v>159</v>
      </c>
      <c r="F80" t="s">
        <v>11</v>
      </c>
      <c r="G80">
        <v>1.64063724217248</v>
      </c>
      <c r="H80">
        <v>4</v>
      </c>
      <c r="I80">
        <v>159</v>
      </c>
    </row>
    <row r="81" spans="1:9">
      <c r="A81">
        <v>5</v>
      </c>
      <c r="B81" t="s">
        <v>50</v>
      </c>
      <c r="C81">
        <v>1.0930693273785601</v>
      </c>
      <c r="E81">
        <v>158</v>
      </c>
      <c r="F81" t="s">
        <v>11</v>
      </c>
      <c r="G81">
        <v>1.51602218763744</v>
      </c>
      <c r="H81">
        <v>3</v>
      </c>
      <c r="I81">
        <v>158</v>
      </c>
    </row>
    <row r="82" spans="1:9">
      <c r="A82">
        <v>4</v>
      </c>
      <c r="B82" t="s">
        <v>50</v>
      </c>
      <c r="C82">
        <v>0.98251314985617799</v>
      </c>
      <c r="E82">
        <v>157</v>
      </c>
      <c r="F82" t="s">
        <v>11</v>
      </c>
      <c r="G82">
        <v>1.57033144998237</v>
      </c>
      <c r="H82">
        <v>2</v>
      </c>
      <c r="I82">
        <v>157</v>
      </c>
    </row>
    <row r="83" spans="1:9">
      <c r="A83">
        <v>3</v>
      </c>
      <c r="B83" t="s">
        <v>50</v>
      </c>
      <c r="C83">
        <v>0.97665571550819397</v>
      </c>
      <c r="E83">
        <v>214</v>
      </c>
      <c r="F83" t="s">
        <v>106</v>
      </c>
      <c r="G83">
        <v>1.38824349832085</v>
      </c>
      <c r="H83">
        <v>11</v>
      </c>
      <c r="I83">
        <v>214</v>
      </c>
    </row>
    <row r="84" spans="1:9">
      <c r="A84">
        <v>2</v>
      </c>
      <c r="B84" t="s">
        <v>50</v>
      </c>
      <c r="C84">
        <v>1.1148797950234099</v>
      </c>
      <c r="E84">
        <v>213</v>
      </c>
      <c r="F84" t="s">
        <v>106</v>
      </c>
      <c r="G84">
        <v>1.71690948461347</v>
      </c>
      <c r="H84">
        <v>10</v>
      </c>
      <c r="I84">
        <v>213</v>
      </c>
    </row>
    <row r="85" spans="1:9">
      <c r="A85">
        <v>1</v>
      </c>
      <c r="B85" t="s">
        <v>50</v>
      </c>
      <c r="C85">
        <v>1.0368313596232099</v>
      </c>
      <c r="E85">
        <v>212</v>
      </c>
      <c r="F85" t="s">
        <v>106</v>
      </c>
      <c r="G85">
        <v>1.4713938565179701</v>
      </c>
      <c r="H85">
        <v>9</v>
      </c>
      <c r="I85">
        <v>212</v>
      </c>
    </row>
    <row r="86" spans="1:9">
      <c r="A86">
        <v>0</v>
      </c>
      <c r="B86" t="s">
        <v>50</v>
      </c>
      <c r="C86">
        <v>1.1289384054824101</v>
      </c>
      <c r="E86">
        <v>211</v>
      </c>
      <c r="F86" t="s">
        <v>106</v>
      </c>
      <c r="G86">
        <v>1.6413258139304101</v>
      </c>
      <c r="H86">
        <v>8</v>
      </c>
      <c r="I86">
        <v>211</v>
      </c>
    </row>
    <row r="87" spans="1:9">
      <c r="A87">
        <v>13</v>
      </c>
      <c r="B87" t="s">
        <v>52</v>
      </c>
      <c r="C87">
        <v>1.0518704029877699</v>
      </c>
      <c r="E87">
        <v>210</v>
      </c>
      <c r="F87" t="s">
        <v>106</v>
      </c>
      <c r="G87">
        <v>1.39625970227536</v>
      </c>
      <c r="H87">
        <v>7</v>
      </c>
      <c r="I87">
        <v>210</v>
      </c>
    </row>
    <row r="88" spans="1:9">
      <c r="A88">
        <v>12</v>
      </c>
      <c r="B88" t="s">
        <v>52</v>
      </c>
      <c r="C88">
        <v>1.0460698874954</v>
      </c>
      <c r="E88">
        <v>209</v>
      </c>
      <c r="F88" t="s">
        <v>106</v>
      </c>
      <c r="G88">
        <v>1.48164297959518</v>
      </c>
      <c r="H88">
        <v>6</v>
      </c>
      <c r="I88">
        <v>209</v>
      </c>
    </row>
    <row r="89" spans="1:9">
      <c r="A89">
        <v>11</v>
      </c>
      <c r="B89" t="s">
        <v>52</v>
      </c>
      <c r="C89">
        <v>0.99401018040642897</v>
      </c>
      <c r="E89">
        <v>208</v>
      </c>
      <c r="F89" t="s">
        <v>106</v>
      </c>
      <c r="G89">
        <v>1.38111286028867</v>
      </c>
      <c r="H89">
        <v>5</v>
      </c>
      <c r="I89">
        <v>208</v>
      </c>
    </row>
    <row r="90" spans="1:9">
      <c r="A90">
        <v>10</v>
      </c>
      <c r="B90" t="s">
        <v>52</v>
      </c>
      <c r="C90">
        <v>0.98997341495254698</v>
      </c>
      <c r="E90">
        <v>207</v>
      </c>
      <c r="F90" t="s">
        <v>106</v>
      </c>
      <c r="G90">
        <v>1.64063724217248</v>
      </c>
      <c r="H90">
        <v>4</v>
      </c>
      <c r="I90">
        <v>207</v>
      </c>
    </row>
    <row r="91" spans="1:9">
      <c r="A91">
        <v>9</v>
      </c>
      <c r="B91" t="s">
        <v>52</v>
      </c>
      <c r="C91">
        <v>1.03977184960788</v>
      </c>
      <c r="E91">
        <v>206</v>
      </c>
      <c r="F91" t="s">
        <v>106</v>
      </c>
      <c r="G91">
        <v>1.51602218763744</v>
      </c>
      <c r="H91">
        <v>3</v>
      </c>
      <c r="I91">
        <v>206</v>
      </c>
    </row>
    <row r="92" spans="1:9">
      <c r="A92">
        <v>8</v>
      </c>
      <c r="B92" t="s">
        <v>52</v>
      </c>
      <c r="C92">
        <v>0.94921825203251398</v>
      </c>
      <c r="E92">
        <v>205</v>
      </c>
      <c r="F92" t="s">
        <v>106</v>
      </c>
      <c r="G92">
        <v>1.57033144998237</v>
      </c>
      <c r="H92">
        <v>2</v>
      </c>
      <c r="I92">
        <v>205</v>
      </c>
    </row>
    <row r="93" spans="1:9">
      <c r="A93">
        <v>7</v>
      </c>
      <c r="B93" t="s">
        <v>52</v>
      </c>
      <c r="C93">
        <v>1.03666458485701</v>
      </c>
    </row>
    <row r="94" spans="1:9">
      <c r="A94">
        <v>6</v>
      </c>
      <c r="B94" t="s">
        <v>52</v>
      </c>
      <c r="C94">
        <v>0.99751683696509597</v>
      </c>
    </row>
    <row r="95" spans="1:9">
      <c r="A95">
        <v>5</v>
      </c>
      <c r="B95" t="s">
        <v>52</v>
      </c>
      <c r="C95">
        <v>1.0930693273785601</v>
      </c>
    </row>
    <row r="96" spans="1:9">
      <c r="A96">
        <v>4</v>
      </c>
      <c r="B96" t="s">
        <v>52</v>
      </c>
      <c r="C96">
        <v>0.98251314985617799</v>
      </c>
    </row>
    <row r="97" spans="1:3">
      <c r="A97">
        <v>3</v>
      </c>
      <c r="B97" t="s">
        <v>52</v>
      </c>
      <c r="C97">
        <v>0.97665571550819397</v>
      </c>
    </row>
    <row r="98" spans="1:3">
      <c r="A98">
        <v>2</v>
      </c>
      <c r="B98" t="s">
        <v>52</v>
      </c>
      <c r="C98">
        <v>1.1148797950234099</v>
      </c>
    </row>
    <row r="99" spans="1:3">
      <c r="A99">
        <v>1</v>
      </c>
      <c r="B99" t="s">
        <v>52</v>
      </c>
      <c r="C99">
        <v>1.0368313596232099</v>
      </c>
    </row>
    <row r="100" spans="1:3">
      <c r="A100">
        <v>0</v>
      </c>
      <c r="B100" t="s">
        <v>52</v>
      </c>
      <c r="C100">
        <v>1.1289384054824101</v>
      </c>
    </row>
    <row r="101" spans="1:3">
      <c r="A101">
        <v>13</v>
      </c>
      <c r="B101" t="s">
        <v>11</v>
      </c>
      <c r="C101">
        <v>1.57737148868426</v>
      </c>
    </row>
    <row r="102" spans="1:3">
      <c r="A102">
        <v>12</v>
      </c>
      <c r="B102" t="s">
        <v>11</v>
      </c>
      <c r="C102">
        <v>1.5686939489679499</v>
      </c>
    </row>
    <row r="103" spans="1:3">
      <c r="A103">
        <v>11</v>
      </c>
      <c r="B103" t="s">
        <v>11</v>
      </c>
      <c r="C103">
        <v>1.4907063053577301</v>
      </c>
    </row>
    <row r="104" spans="1:3">
      <c r="A104">
        <v>10</v>
      </c>
      <c r="B104" t="s">
        <v>11</v>
      </c>
      <c r="C104">
        <v>1.4846803825661501</v>
      </c>
    </row>
    <row r="105" spans="1:3">
      <c r="A105">
        <v>9</v>
      </c>
      <c r="B105" t="s">
        <v>11</v>
      </c>
      <c r="C105">
        <v>1.5592576689839699</v>
      </c>
    </row>
    <row r="106" spans="1:3">
      <c r="A106">
        <v>8</v>
      </c>
      <c r="B106" t="s">
        <v>11</v>
      </c>
      <c r="C106">
        <v>1.42364154023839</v>
      </c>
    </row>
    <row r="107" spans="1:3">
      <c r="A107">
        <v>7</v>
      </c>
      <c r="B107" t="s">
        <v>11</v>
      </c>
      <c r="C107">
        <v>1.5546291163377</v>
      </c>
    </row>
    <row r="108" spans="1:3">
      <c r="A108">
        <v>6</v>
      </c>
      <c r="B108" t="s">
        <v>11</v>
      </c>
      <c r="C108">
        <v>1.49598130104305</v>
      </c>
    </row>
    <row r="109" spans="1:3">
      <c r="A109">
        <v>5</v>
      </c>
      <c r="B109" t="s">
        <v>11</v>
      </c>
      <c r="C109">
        <v>1.6391054696131</v>
      </c>
    </row>
    <row r="110" spans="1:3">
      <c r="A110">
        <v>4</v>
      </c>
      <c r="B110" t="s">
        <v>11</v>
      </c>
      <c r="C110">
        <v>1.4735181236542101</v>
      </c>
    </row>
    <row r="111" spans="1:3">
      <c r="A111">
        <v>3</v>
      </c>
      <c r="B111" t="s">
        <v>11</v>
      </c>
      <c r="C111">
        <v>1.4647256546712299</v>
      </c>
    </row>
    <row r="112" spans="1:3">
      <c r="A112">
        <v>2</v>
      </c>
      <c r="B112" t="s">
        <v>11</v>
      </c>
      <c r="C112">
        <v>1.6717745300723199</v>
      </c>
    </row>
    <row r="113" spans="1:3">
      <c r="A113">
        <v>1</v>
      </c>
      <c r="B113" t="s">
        <v>11</v>
      </c>
      <c r="C113">
        <v>1.5548800961623901</v>
      </c>
    </row>
    <row r="114" spans="1:3">
      <c r="A114">
        <v>0</v>
      </c>
      <c r="B114" t="s">
        <v>11</v>
      </c>
      <c r="C114">
        <v>1.69283348994907</v>
      </c>
    </row>
    <row r="115" spans="1:3">
      <c r="A115">
        <v>13</v>
      </c>
      <c r="B115" t="s">
        <v>105</v>
      </c>
      <c r="C115">
        <v>1.57737148868426</v>
      </c>
    </row>
    <row r="116" spans="1:3">
      <c r="A116">
        <v>12</v>
      </c>
      <c r="B116" t="s">
        <v>105</v>
      </c>
      <c r="C116">
        <v>1.5686939489679499</v>
      </c>
    </row>
    <row r="117" spans="1:3">
      <c r="A117">
        <v>11</v>
      </c>
      <c r="B117" t="s">
        <v>105</v>
      </c>
      <c r="C117">
        <v>1.4907063053577301</v>
      </c>
    </row>
    <row r="118" spans="1:3">
      <c r="A118">
        <v>10</v>
      </c>
      <c r="B118" t="s">
        <v>105</v>
      </c>
      <c r="C118">
        <v>1.4846803825661501</v>
      </c>
    </row>
    <row r="119" spans="1:3">
      <c r="A119">
        <v>9</v>
      </c>
      <c r="B119" t="s">
        <v>105</v>
      </c>
      <c r="C119">
        <v>1.5592576689839699</v>
      </c>
    </row>
    <row r="120" spans="1:3">
      <c r="A120">
        <v>8</v>
      </c>
      <c r="B120" t="s">
        <v>105</v>
      </c>
      <c r="C120">
        <v>1.42364154023839</v>
      </c>
    </row>
    <row r="121" spans="1:3">
      <c r="A121">
        <v>7</v>
      </c>
      <c r="B121" t="s">
        <v>105</v>
      </c>
      <c r="C121">
        <v>1.5546291163377</v>
      </c>
    </row>
    <row r="122" spans="1:3">
      <c r="A122">
        <v>6</v>
      </c>
      <c r="B122" t="s">
        <v>105</v>
      </c>
      <c r="C122">
        <v>1.49598130104305</v>
      </c>
    </row>
    <row r="123" spans="1:3">
      <c r="A123">
        <v>5</v>
      </c>
      <c r="B123" t="s">
        <v>105</v>
      </c>
      <c r="C123">
        <v>1.6391054696131</v>
      </c>
    </row>
    <row r="124" spans="1:3">
      <c r="A124">
        <v>4</v>
      </c>
      <c r="B124" t="s">
        <v>105</v>
      </c>
      <c r="C124">
        <v>1.4735181236542101</v>
      </c>
    </row>
    <row r="125" spans="1:3">
      <c r="A125">
        <v>3</v>
      </c>
      <c r="B125" t="s">
        <v>105</v>
      </c>
      <c r="C125">
        <v>1.4647256546712299</v>
      </c>
    </row>
    <row r="126" spans="1:3">
      <c r="A126">
        <v>2</v>
      </c>
      <c r="B126" t="s">
        <v>105</v>
      </c>
      <c r="C126">
        <v>1.6717745300723199</v>
      </c>
    </row>
    <row r="127" spans="1:3">
      <c r="A127">
        <v>1</v>
      </c>
      <c r="B127" t="s">
        <v>105</v>
      </c>
      <c r="C127">
        <v>1.5548800961623901</v>
      </c>
    </row>
    <row r="128" spans="1:3">
      <c r="A128">
        <v>0</v>
      </c>
      <c r="B128" t="s">
        <v>105</v>
      </c>
      <c r="C128">
        <v>1.69283348994907</v>
      </c>
    </row>
    <row r="129" spans="1:3">
      <c r="A129">
        <v>0</v>
      </c>
      <c r="B129" t="s">
        <v>169</v>
      </c>
      <c r="C129">
        <v>1.1289384054824101</v>
      </c>
    </row>
    <row r="130" spans="1:3">
      <c r="A130">
        <v>1</v>
      </c>
      <c r="B130" t="s">
        <v>169</v>
      </c>
      <c r="C130">
        <v>1.0368313596232099</v>
      </c>
    </row>
    <row r="131" spans="1:3">
      <c r="A131">
        <v>2</v>
      </c>
      <c r="B131" t="s">
        <v>169</v>
      </c>
      <c r="C131">
        <v>1.1148797950234099</v>
      </c>
    </row>
    <row r="132" spans="1:3">
      <c r="A132">
        <v>3</v>
      </c>
      <c r="B132" t="s">
        <v>169</v>
      </c>
      <c r="C132">
        <v>0.97665571550819397</v>
      </c>
    </row>
    <row r="133" spans="1:3">
      <c r="A133">
        <v>4</v>
      </c>
      <c r="B133" t="s">
        <v>169</v>
      </c>
      <c r="C133">
        <v>0.98251314985617799</v>
      </c>
    </row>
    <row r="134" spans="1:3">
      <c r="A134">
        <v>5</v>
      </c>
      <c r="B134" t="s">
        <v>169</v>
      </c>
      <c r="C134">
        <v>1.0930693273785601</v>
      </c>
    </row>
    <row r="135" spans="1:3">
      <c r="A135">
        <v>6</v>
      </c>
      <c r="B135" t="s">
        <v>169</v>
      </c>
      <c r="C135">
        <v>0.99751683696509597</v>
      </c>
    </row>
    <row r="136" spans="1:3">
      <c r="A136">
        <v>7</v>
      </c>
      <c r="B136" t="s">
        <v>169</v>
      </c>
      <c r="C136">
        <v>1.03666458485701</v>
      </c>
    </row>
    <row r="137" spans="1:3">
      <c r="A137">
        <v>8</v>
      </c>
      <c r="B137" t="s">
        <v>169</v>
      </c>
      <c r="C137">
        <v>0.94921825203251398</v>
      </c>
    </row>
    <row r="138" spans="1:3">
      <c r="A138">
        <v>9</v>
      </c>
      <c r="B138" t="s">
        <v>169</v>
      </c>
      <c r="C138">
        <v>1.03977184960788</v>
      </c>
    </row>
    <row r="139" spans="1:3">
      <c r="A139">
        <v>10</v>
      </c>
      <c r="B139" t="s">
        <v>169</v>
      </c>
      <c r="C139">
        <v>0.98997341495254698</v>
      </c>
    </row>
    <row r="140" spans="1:3">
      <c r="A140">
        <v>11</v>
      </c>
      <c r="B140" t="s">
        <v>169</v>
      </c>
      <c r="C140">
        <v>0.99401018040642897</v>
      </c>
    </row>
    <row r="141" spans="1:3">
      <c r="A141">
        <v>12</v>
      </c>
      <c r="B141" t="s">
        <v>169</v>
      </c>
      <c r="C141">
        <v>1.0460698874954</v>
      </c>
    </row>
    <row r="142" spans="1:3">
      <c r="A142">
        <v>13</v>
      </c>
      <c r="B142" t="s">
        <v>169</v>
      </c>
      <c r="C142">
        <v>1.0518704029877699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N16" sqref="N16"/>
    </sheetView>
  </sheetViews>
  <sheetFormatPr defaultRowHeight="13.8"/>
  <sheetData>
    <row r="1" spans="1:2">
      <c r="A1">
        <v>0</v>
      </c>
      <c r="B1">
        <v>1.1289384054824101</v>
      </c>
    </row>
    <row r="2" spans="1:2">
      <c r="A2">
        <v>1</v>
      </c>
      <c r="B2">
        <v>1.0368313596232099</v>
      </c>
    </row>
    <row r="3" spans="1:2">
      <c r="A3">
        <v>2</v>
      </c>
      <c r="B3">
        <v>1.1148797950234099</v>
      </c>
    </row>
    <row r="4" spans="1:2">
      <c r="A4">
        <v>3</v>
      </c>
      <c r="B4">
        <v>0.97665571550819397</v>
      </c>
    </row>
    <row r="5" spans="1:2">
      <c r="A5">
        <v>4</v>
      </c>
      <c r="B5">
        <v>0.98251314985617799</v>
      </c>
    </row>
    <row r="6" spans="1:2">
      <c r="A6">
        <v>5</v>
      </c>
      <c r="B6">
        <v>1.0930693273785601</v>
      </c>
    </row>
    <row r="7" spans="1:2">
      <c r="A7">
        <v>6</v>
      </c>
      <c r="B7">
        <v>0.99751683696509597</v>
      </c>
    </row>
    <row r="8" spans="1:2">
      <c r="A8">
        <v>7</v>
      </c>
      <c r="B8">
        <v>1.03666458485701</v>
      </c>
    </row>
    <row r="9" spans="1:2">
      <c r="A9">
        <v>8</v>
      </c>
      <c r="B9">
        <v>0.94921825203251398</v>
      </c>
    </row>
    <row r="10" spans="1:2">
      <c r="A10">
        <v>9</v>
      </c>
      <c r="B10">
        <v>1.03977184960788</v>
      </c>
    </row>
    <row r="11" spans="1:2">
      <c r="A11">
        <v>10</v>
      </c>
      <c r="B11">
        <v>0.98997341495254698</v>
      </c>
    </row>
    <row r="12" spans="1:2">
      <c r="A12">
        <v>11</v>
      </c>
      <c r="B12">
        <v>0.99401018040642897</v>
      </c>
    </row>
    <row r="13" spans="1:2">
      <c r="A13">
        <v>12</v>
      </c>
      <c r="B13">
        <v>1.0460698874954</v>
      </c>
    </row>
    <row r="14" spans="1:2">
      <c r="A14">
        <v>13</v>
      </c>
      <c r="B14">
        <v>1.0518704029877699</v>
      </c>
    </row>
  </sheetData>
  <sortState ref="A1:C14">
    <sortCondition ref="A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opLeftCell="A7" workbookViewId="0">
      <selection activeCell="L56" sqref="L56"/>
    </sheetView>
  </sheetViews>
  <sheetFormatPr defaultRowHeight="13.8"/>
  <cols>
    <col min="1" max="1" width="11.8984375" bestFit="1" customWidth="1"/>
    <col min="2" max="2" width="9.59765625" customWidth="1"/>
    <col min="3" max="3" width="11.59765625" bestFit="1" customWidth="1"/>
    <col min="11" max="11" width="11.59765625" bestFit="1" customWidth="1"/>
    <col min="19" max="19" width="14" customWidth="1"/>
    <col min="24" max="24" width="11.296875" bestFit="1" customWidth="1"/>
  </cols>
  <sheetData>
    <row r="1" spans="1:28">
      <c r="A1" t="s">
        <v>156</v>
      </c>
      <c r="B1" t="s">
        <v>170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188</v>
      </c>
      <c r="P1" t="s">
        <v>189</v>
      </c>
    </row>
    <row r="2" spans="1:28">
      <c r="A2" t="s">
        <v>46</v>
      </c>
      <c r="B2">
        <v>3</v>
      </c>
      <c r="C2">
        <v>0</v>
      </c>
      <c r="D2">
        <v>2</v>
      </c>
      <c r="E2">
        <v>9</v>
      </c>
      <c r="F2">
        <v>6</v>
      </c>
      <c r="G2">
        <v>5</v>
      </c>
      <c r="H2">
        <v>7</v>
      </c>
      <c r="I2">
        <v>10</v>
      </c>
      <c r="J2">
        <v>8</v>
      </c>
      <c r="K2">
        <v>4</v>
      </c>
      <c r="L2">
        <v>11</v>
      </c>
      <c r="M2">
        <v>3</v>
      </c>
      <c r="N2">
        <v>1</v>
      </c>
    </row>
    <row r="3" spans="1:28">
      <c r="A3" t="s">
        <v>42</v>
      </c>
      <c r="B3">
        <v>3</v>
      </c>
      <c r="C3">
        <v>0</v>
      </c>
      <c r="D3">
        <v>11</v>
      </c>
      <c r="E3">
        <v>3</v>
      </c>
      <c r="F3">
        <v>10</v>
      </c>
      <c r="G3">
        <v>5</v>
      </c>
      <c r="H3">
        <v>4</v>
      </c>
      <c r="I3">
        <v>6</v>
      </c>
      <c r="J3">
        <v>8</v>
      </c>
      <c r="K3">
        <v>7</v>
      </c>
      <c r="L3">
        <v>9</v>
      </c>
      <c r="M3">
        <v>2</v>
      </c>
      <c r="N3">
        <v>1</v>
      </c>
    </row>
    <row r="4" spans="1:28">
      <c r="A4" t="s">
        <v>10</v>
      </c>
      <c r="B4">
        <v>2</v>
      </c>
      <c r="C4">
        <v>0</v>
      </c>
      <c r="D4">
        <v>3</v>
      </c>
      <c r="E4">
        <v>9</v>
      </c>
      <c r="F4">
        <v>6</v>
      </c>
      <c r="G4">
        <v>2</v>
      </c>
      <c r="H4">
        <v>8</v>
      </c>
      <c r="I4">
        <v>7</v>
      </c>
      <c r="J4">
        <v>4</v>
      </c>
      <c r="K4">
        <v>5</v>
      </c>
      <c r="L4">
        <v>10</v>
      </c>
      <c r="M4">
        <v>11</v>
      </c>
      <c r="N4">
        <v>1</v>
      </c>
      <c r="P4">
        <v>0.45390000000000003</v>
      </c>
    </row>
    <row r="5" spans="1:28">
      <c r="A5" t="s">
        <v>35</v>
      </c>
      <c r="B5">
        <v>1</v>
      </c>
      <c r="C5">
        <v>0</v>
      </c>
      <c r="D5">
        <v>11</v>
      </c>
      <c r="E5">
        <v>5</v>
      </c>
      <c r="F5">
        <v>6</v>
      </c>
      <c r="G5">
        <v>10</v>
      </c>
      <c r="H5">
        <v>2</v>
      </c>
      <c r="I5">
        <v>7</v>
      </c>
      <c r="J5">
        <v>9</v>
      </c>
      <c r="K5">
        <v>8</v>
      </c>
      <c r="L5">
        <v>3</v>
      </c>
      <c r="M5">
        <v>4</v>
      </c>
      <c r="N5">
        <v>1</v>
      </c>
      <c r="P5">
        <v>0.3528</v>
      </c>
    </row>
    <row r="6" spans="1:28">
      <c r="A6" t="s">
        <v>50</v>
      </c>
      <c r="B6">
        <v>3</v>
      </c>
      <c r="C6">
        <v>0</v>
      </c>
      <c r="D6">
        <v>10</v>
      </c>
      <c r="E6">
        <v>7</v>
      </c>
      <c r="F6">
        <v>9</v>
      </c>
      <c r="G6">
        <v>6</v>
      </c>
      <c r="H6">
        <v>3</v>
      </c>
      <c r="I6">
        <v>2</v>
      </c>
      <c r="J6">
        <v>4</v>
      </c>
      <c r="K6">
        <v>11</v>
      </c>
      <c r="L6">
        <v>5</v>
      </c>
      <c r="M6">
        <v>8</v>
      </c>
      <c r="N6">
        <v>1</v>
      </c>
      <c r="P6">
        <v>1.1054999999999999</v>
      </c>
      <c r="Q6" s="29" t="s">
        <v>235</v>
      </c>
    </row>
    <row r="7" spans="1:28">
      <c r="A7" t="s">
        <v>52</v>
      </c>
      <c r="B7">
        <v>2</v>
      </c>
      <c r="C7">
        <v>0</v>
      </c>
      <c r="D7">
        <v>5</v>
      </c>
      <c r="E7">
        <v>7</v>
      </c>
      <c r="F7">
        <v>4</v>
      </c>
      <c r="G7">
        <v>9</v>
      </c>
      <c r="H7">
        <v>2</v>
      </c>
      <c r="I7">
        <v>10</v>
      </c>
      <c r="J7">
        <v>3</v>
      </c>
      <c r="K7">
        <v>6</v>
      </c>
      <c r="L7">
        <v>8</v>
      </c>
      <c r="M7">
        <v>11</v>
      </c>
      <c r="N7">
        <v>1</v>
      </c>
      <c r="P7">
        <v>1.298</v>
      </c>
      <c r="Q7" s="29" t="s">
        <v>236</v>
      </c>
    </row>
    <row r="8" spans="1:28">
      <c r="A8" t="s">
        <v>51</v>
      </c>
      <c r="B8">
        <v>0</v>
      </c>
      <c r="C8">
        <v>0</v>
      </c>
      <c r="D8">
        <v>2</v>
      </c>
      <c r="E8">
        <v>8</v>
      </c>
      <c r="F8">
        <v>6</v>
      </c>
      <c r="G8">
        <v>4</v>
      </c>
      <c r="H8">
        <v>5</v>
      </c>
      <c r="I8">
        <v>10</v>
      </c>
      <c r="J8">
        <v>9</v>
      </c>
      <c r="K8">
        <v>11</v>
      </c>
      <c r="L8">
        <v>3</v>
      </c>
      <c r="M8">
        <v>7</v>
      </c>
      <c r="N8">
        <v>1</v>
      </c>
      <c r="P8">
        <v>0.48209999999999997</v>
      </c>
      <c r="Q8" s="29" t="s">
        <v>237</v>
      </c>
    </row>
    <row r="9" spans="1:28">
      <c r="A9" t="s">
        <v>11</v>
      </c>
      <c r="B9">
        <v>0</v>
      </c>
      <c r="C9">
        <v>0</v>
      </c>
      <c r="D9">
        <v>3</v>
      </c>
      <c r="E9">
        <v>10</v>
      </c>
      <c r="F9">
        <v>2</v>
      </c>
      <c r="G9">
        <v>6</v>
      </c>
      <c r="H9">
        <v>8</v>
      </c>
      <c r="I9">
        <v>7</v>
      </c>
      <c r="J9">
        <v>5</v>
      </c>
      <c r="K9">
        <v>9</v>
      </c>
      <c r="L9">
        <v>11</v>
      </c>
      <c r="M9">
        <v>4</v>
      </c>
      <c r="N9">
        <v>1</v>
      </c>
      <c r="P9">
        <v>0.23780000000000001</v>
      </c>
      <c r="Q9" s="29" t="s">
        <v>238</v>
      </c>
    </row>
    <row r="10" spans="1:28">
      <c r="A10" t="s">
        <v>24</v>
      </c>
      <c r="B10">
        <v>1</v>
      </c>
      <c r="C10">
        <v>0</v>
      </c>
      <c r="D10">
        <v>2</v>
      </c>
      <c r="E10">
        <v>10</v>
      </c>
      <c r="F10">
        <v>4</v>
      </c>
      <c r="G10">
        <v>11</v>
      </c>
      <c r="H10">
        <v>8</v>
      </c>
      <c r="I10">
        <v>5</v>
      </c>
      <c r="J10">
        <v>9</v>
      </c>
      <c r="K10">
        <v>6</v>
      </c>
      <c r="L10">
        <v>7</v>
      </c>
      <c r="M10">
        <v>3</v>
      </c>
      <c r="N10">
        <v>1</v>
      </c>
      <c r="P10">
        <v>1.6156999999999999</v>
      </c>
      <c r="Q10" s="29" t="s">
        <v>239</v>
      </c>
    </row>
    <row r="13" spans="1:28">
      <c r="A13" t="s">
        <v>152</v>
      </c>
      <c r="B13" t="s">
        <v>116</v>
      </c>
      <c r="C13" t="s">
        <v>151</v>
      </c>
      <c r="D13" t="s">
        <v>118</v>
      </c>
      <c r="E13" t="s">
        <v>111</v>
      </c>
      <c r="F13" t="s">
        <v>119</v>
      </c>
      <c r="H13" t="s">
        <v>152</v>
      </c>
      <c r="I13" t="s">
        <v>116</v>
      </c>
      <c r="J13" t="s">
        <v>151</v>
      </c>
      <c r="K13" t="s">
        <v>118</v>
      </c>
      <c r="L13" t="s">
        <v>111</v>
      </c>
      <c r="M13" t="s">
        <v>119</v>
      </c>
      <c r="P13" t="s">
        <v>116</v>
      </c>
      <c r="Q13" t="s">
        <v>151</v>
      </c>
      <c r="R13" t="s">
        <v>118</v>
      </c>
      <c r="S13" t="s">
        <v>111</v>
      </c>
      <c r="T13" t="s">
        <v>119</v>
      </c>
      <c r="V13" t="s">
        <v>152</v>
      </c>
      <c r="W13" t="s">
        <v>116</v>
      </c>
      <c r="X13" t="s">
        <v>151</v>
      </c>
      <c r="Y13" t="s">
        <v>118</v>
      </c>
      <c r="Z13" t="s">
        <v>111</v>
      </c>
      <c r="AA13" t="s">
        <v>119</v>
      </c>
    </row>
    <row r="14" spans="1:28">
      <c r="A14">
        <v>0</v>
      </c>
      <c r="B14">
        <v>4</v>
      </c>
      <c r="C14" t="s">
        <v>46</v>
      </c>
      <c r="D14">
        <f>VLOOKUP(B14,[1]Uniepark!$A:$D,3,FALSE)</f>
        <v>-33.927951134337697</v>
      </c>
      <c r="E14">
        <f>VLOOKUP(B14,[1]Uniepark!$A:$D,4,FALSE)</f>
        <v>18.882125687391401</v>
      </c>
      <c r="F14">
        <f>VLOOKUP(B14,'col requests'!A$18:C$31,3,FALSE)</f>
        <v>0.98251314985617799</v>
      </c>
      <c r="H14">
        <v>0</v>
      </c>
      <c r="I14">
        <v>13</v>
      </c>
      <c r="J14" t="s">
        <v>42</v>
      </c>
      <c r="K14">
        <f>VLOOKUP($I14,[1]Simonswyk!$A:$D,3,FALSE)</f>
        <v>-33.9297060406154</v>
      </c>
      <c r="L14">
        <f>VLOOKUP($I14,[1]Simonswyk!$A:$D,4,FALSE)</f>
        <v>18.879035830394901</v>
      </c>
      <c r="M14">
        <f>VLOOKUP(I14,'col requests'!A$17:C$30,3,FALSE)</f>
        <v>1.0518704029877699</v>
      </c>
      <c r="N14">
        <f>I14+2</f>
        <v>15</v>
      </c>
      <c r="O14">
        <v>0</v>
      </c>
      <c r="P14">
        <v>9</v>
      </c>
      <c r="Q14" t="s">
        <v>10</v>
      </c>
      <c r="R14">
        <f>VLOOKUP($P14,[1]Brandwacht!$A:$D,3,FALSE)</f>
        <v>-33.953875349747598</v>
      </c>
      <c r="S14">
        <f>VLOOKUP($P14,[1]Brandwacht!$A:$D,4,FALSE)</f>
        <v>18.874070274754501</v>
      </c>
      <c r="T14">
        <f>VLOOKUP(P14,'col requests'!E$23:G$32,3,FALSE)</f>
        <v>1.01088936215575</v>
      </c>
      <c r="U14">
        <f>VLOOKUP(P14,'col requests'!H$23:I$32,2,FALSE)</f>
        <v>15</v>
      </c>
      <c r="V14">
        <v>0</v>
      </c>
      <c r="W14">
        <v>58</v>
      </c>
      <c r="X14" t="s">
        <v>35</v>
      </c>
      <c r="Y14">
        <f>VLOOKUP($W14,[1]Paradyskloof!$A:$D,3,FALSE)</f>
        <v>-33.961480203914803</v>
      </c>
      <c r="Z14">
        <f>VLOOKUP($W14,[1]Paradyskloof!$A:$D,4,FALSE)</f>
        <v>18.850487449792499</v>
      </c>
      <c r="AA14">
        <f>VLOOKUP(W14,'col requests'!E$33:G$42,3,FALSE)</f>
        <v>0.92558391397042905</v>
      </c>
      <c r="AB14" t="e">
        <f>VLOOKUP(W14,'col requests'!H$33:I$42,2,FALSE)</f>
        <v>#N/A</v>
      </c>
    </row>
    <row r="15" spans="1:28">
      <c r="A15">
        <v>0</v>
      </c>
      <c r="B15">
        <v>11</v>
      </c>
      <c r="C15" t="s">
        <v>46</v>
      </c>
      <c r="D15">
        <f>VLOOKUP(B15,[1]Uniepark!$A:$D,3,FALSE)</f>
        <v>-33.9292154791396</v>
      </c>
      <c r="E15">
        <f>VLOOKUP(B15,[1]Uniepark!$A:$D,4,FALSE)</f>
        <v>18.8836994662305</v>
      </c>
      <c r="F15">
        <f>VLOOKUP(B15,'col requests'!A$18:C$31,3,FALSE)</f>
        <v>0.99401018040642897</v>
      </c>
      <c r="H15">
        <v>0</v>
      </c>
      <c r="I15">
        <v>5</v>
      </c>
      <c r="J15" t="s">
        <v>42</v>
      </c>
      <c r="K15">
        <f>VLOOKUP($I15,[1]Simonswyk!$A:$D,3,FALSE)</f>
        <v>-33.929935212592902</v>
      </c>
      <c r="L15">
        <f>VLOOKUP($I15,[1]Simonswyk!$A:$D,4,FALSE)</f>
        <v>18.879150092320199</v>
      </c>
      <c r="M15">
        <f>VLOOKUP(I15,'col requests'!A$17:C$30,3,FALSE)</f>
        <v>1.0930693273785601</v>
      </c>
      <c r="N15">
        <f t="shared" ref="N15:N23" si="0">I15+2</f>
        <v>7</v>
      </c>
      <c r="O15">
        <v>0</v>
      </c>
      <c r="P15">
        <v>15</v>
      </c>
      <c r="Q15" t="s">
        <v>10</v>
      </c>
      <c r="R15">
        <f>VLOOKUP($P15,[1]Brandwacht!$A:$D,3,FALSE)</f>
        <v>-33.955454853810501</v>
      </c>
      <c r="S15">
        <f>VLOOKUP($P15,[1]Brandwacht!$A:$D,4,FALSE)</f>
        <v>18.874536449673599</v>
      </c>
      <c r="T15">
        <f>VLOOKUP(P15,'col requests'!E$23:G$32,3,FALSE)</f>
        <v>0.98110423464166896</v>
      </c>
      <c r="U15" t="e">
        <f>VLOOKUP(P15,'col requests'!H$23:I$32,2,FALSE)</f>
        <v>#N/A</v>
      </c>
      <c r="V15">
        <v>0</v>
      </c>
      <c r="W15">
        <v>52</v>
      </c>
      <c r="X15" t="s">
        <v>35</v>
      </c>
      <c r="Y15">
        <f>VLOOKUP($W15,[1]Paradyskloof!$A:$D,3,FALSE)</f>
        <v>-33.962206046228196</v>
      </c>
      <c r="Z15">
        <f>VLOOKUP($W15,[1]Paradyskloof!$A:$D,4,FALSE)</f>
        <v>18.8497636053925</v>
      </c>
      <c r="AA15">
        <f>VLOOKUP(W15,'col requests'!E$33:G$42,3,FALSE)</f>
        <v>0.92082538783224099</v>
      </c>
      <c r="AB15" t="e">
        <f>VLOOKUP(W15,'col requests'!H$33:I$42,2,FALSE)</f>
        <v>#N/A</v>
      </c>
    </row>
    <row r="16" spans="1:28">
      <c r="A16">
        <v>0</v>
      </c>
      <c r="B16">
        <v>8</v>
      </c>
      <c r="C16" t="s">
        <v>46</v>
      </c>
      <c r="D16">
        <f>VLOOKUP(B16,[1]Uniepark!$A:$D,3,FALSE)</f>
        <v>-33.930482768375803</v>
      </c>
      <c r="E16">
        <f>VLOOKUP(B16,[1]Uniepark!$A:$D,4,FALSE)</f>
        <v>18.8864136027582</v>
      </c>
      <c r="F16">
        <f>VLOOKUP(B16,'col requests'!A$18:C$31,3,FALSE)</f>
        <v>0.94921825203251398</v>
      </c>
      <c r="H16">
        <v>0</v>
      </c>
      <c r="I16">
        <v>12</v>
      </c>
      <c r="J16" t="s">
        <v>42</v>
      </c>
      <c r="K16">
        <f>VLOOKUP($I16,[1]Simonswyk!$A:$D,3,FALSE)</f>
        <v>-33.929378056421299</v>
      </c>
      <c r="L16">
        <f>VLOOKUP($I16,[1]Simonswyk!$A:$D,4,FALSE)</f>
        <v>18.881672111093899</v>
      </c>
      <c r="M16">
        <f>VLOOKUP(I16,'col requests'!A$17:C$30,3,FALSE)</f>
        <v>1.0460698874954</v>
      </c>
      <c r="N16">
        <f t="shared" si="0"/>
        <v>14</v>
      </c>
      <c r="O16">
        <v>0</v>
      </c>
      <c r="P16">
        <v>12</v>
      </c>
      <c r="Q16" t="s">
        <v>10</v>
      </c>
      <c r="R16">
        <f>VLOOKUP($P16,[1]Brandwacht!$A:$D,3,FALSE)</f>
        <v>-33.957616829866303</v>
      </c>
      <c r="S16">
        <f>VLOOKUP($P16,[1]Brandwacht!$A:$D,4,FALSE)</f>
        <v>18.874460937439199</v>
      </c>
      <c r="T16">
        <f>VLOOKUP(P16,'col requests'!E$23:G$32,3,FALSE)</f>
        <v>0.98794147905957996</v>
      </c>
      <c r="U16" t="e">
        <f>VLOOKUP(P16,'col requests'!H$23:I$32,2,FALSE)</f>
        <v>#N/A</v>
      </c>
      <c r="V16">
        <v>0</v>
      </c>
      <c r="W16">
        <v>53</v>
      </c>
      <c r="X16" t="s">
        <v>35</v>
      </c>
      <c r="Y16">
        <f>VLOOKUP($W16,[1]Paradyskloof!$A:$D,3,FALSE)</f>
        <v>-33.961297529971802</v>
      </c>
      <c r="Z16">
        <f>VLOOKUP($W16,[1]Paradyskloof!$A:$D,4,FALSE)</f>
        <v>18.851053614481899</v>
      </c>
      <c r="AA16">
        <f>VLOOKUP(W16,'col requests'!E$33:G$42,3,FALSE)</f>
        <v>0.98794147905957996</v>
      </c>
      <c r="AB16" t="e">
        <f>VLOOKUP(W16,'col requests'!H$33:I$42,2,FALSE)</f>
        <v>#N/A</v>
      </c>
    </row>
    <row r="17" spans="1:28">
      <c r="A17">
        <v>0</v>
      </c>
      <c r="B17">
        <v>7</v>
      </c>
      <c r="C17" t="s">
        <v>46</v>
      </c>
      <c r="D17">
        <f>VLOOKUP(B17,[1]Uniepark!$A:$D,3,FALSE)</f>
        <v>-33.9305061101417</v>
      </c>
      <c r="E17">
        <f>VLOOKUP(B17,[1]Uniepark!$A:$D,4,FALSE)</f>
        <v>18.891216355450101</v>
      </c>
      <c r="F17">
        <f>VLOOKUP(B17,'col requests'!A$18:C$31,3,FALSE)</f>
        <v>1.03666458485701</v>
      </c>
      <c r="H17">
        <v>0</v>
      </c>
      <c r="I17">
        <v>7</v>
      </c>
      <c r="J17" t="s">
        <v>42</v>
      </c>
      <c r="K17">
        <f>VLOOKUP($I17,[1]Simonswyk!$A:$D,3,FALSE)</f>
        <v>-33.927899593903099</v>
      </c>
      <c r="L17">
        <f>VLOOKUP($I17,[1]Simonswyk!$A:$D,4,FALSE)</f>
        <v>18.881793225654999</v>
      </c>
      <c r="M17">
        <f>VLOOKUP(I17,'col requests'!A$17:C$30,3,FALSE)</f>
        <v>1.03666458485701</v>
      </c>
      <c r="N17">
        <f t="shared" si="0"/>
        <v>9</v>
      </c>
      <c r="O17">
        <v>0</v>
      </c>
      <c r="P17">
        <v>8</v>
      </c>
      <c r="Q17" t="s">
        <v>10</v>
      </c>
      <c r="R17">
        <f>VLOOKUP($P17,[1]Brandwacht!$A:$D,3,FALSE)</f>
        <v>-33.955468784637802</v>
      </c>
      <c r="S17">
        <f>VLOOKUP($P17,[1]Brandwacht!$A:$D,4,FALSE)</f>
        <v>18.865177073114602</v>
      </c>
      <c r="T17">
        <f>VLOOKUP(P17,'col requests'!E$23:G$32,3,FALSE)</f>
        <v>1.0471538057754499</v>
      </c>
      <c r="U17">
        <f>VLOOKUP(P17,'col requests'!H$23:I$32,2,FALSE)</f>
        <v>14</v>
      </c>
      <c r="V17">
        <v>0</v>
      </c>
      <c r="W17">
        <v>57</v>
      </c>
      <c r="X17" t="s">
        <v>35</v>
      </c>
      <c r="Y17">
        <f>VLOOKUP($W17,[1]Paradyskloof!$A:$D,3,FALSE)</f>
        <v>-33.960009583122797</v>
      </c>
      <c r="Z17">
        <f>VLOOKUP($W17,[1]Paradyskloof!$A:$D,4,FALSE)</f>
        <v>18.853047453205999</v>
      </c>
      <c r="AA17">
        <f>VLOOKUP(W17,'col requests'!E$33:G$42,3,FALSE)</f>
        <v>1.14502144114379</v>
      </c>
      <c r="AB17" t="e">
        <f>VLOOKUP(W17,'col requests'!H$33:I$42,2,FALSE)</f>
        <v>#N/A</v>
      </c>
    </row>
    <row r="18" spans="1:28">
      <c r="A18">
        <v>0</v>
      </c>
      <c r="B18">
        <v>9</v>
      </c>
      <c r="C18" t="s">
        <v>46</v>
      </c>
      <c r="D18">
        <f>VLOOKUP(B18,[1]Uniepark!$A:$D,3,FALSE)</f>
        <v>-33.929094173734001</v>
      </c>
      <c r="E18">
        <f>VLOOKUP(B18,[1]Uniepark!$A:$D,4,FALSE)</f>
        <v>18.890870329291001</v>
      </c>
      <c r="F18">
        <f>VLOOKUP(B18,'col requests'!A$18:C$31,3,FALSE)</f>
        <v>1.03977184960788</v>
      </c>
      <c r="H18">
        <v>0</v>
      </c>
      <c r="I18">
        <v>6</v>
      </c>
      <c r="J18" t="s">
        <v>42</v>
      </c>
      <c r="K18">
        <f>VLOOKUP($I18,[1]Simonswyk!$A:$D,3,FALSE)</f>
        <v>-33.928585481596897</v>
      </c>
      <c r="L18">
        <f>VLOOKUP($I18,[1]Simonswyk!$A:$D,4,FALSE)</f>
        <v>18.877707432179498</v>
      </c>
      <c r="M18">
        <f>VLOOKUP(I18,'col requests'!A$17:C$30,3,FALSE)</f>
        <v>0.99751683696509597</v>
      </c>
      <c r="N18">
        <f t="shared" si="0"/>
        <v>8</v>
      </c>
      <c r="O18">
        <v>0</v>
      </c>
      <c r="P18">
        <v>14</v>
      </c>
      <c r="Q18" t="s">
        <v>10</v>
      </c>
      <c r="R18">
        <f>VLOOKUP($P18,[1]Brandwacht!$A:$D,3,FALSE)</f>
        <v>-33.957746367359199</v>
      </c>
      <c r="S18">
        <f>VLOOKUP($P18,[1]Brandwacht!$A:$D,4,FALSE)</f>
        <v>18.872520786610899</v>
      </c>
      <c r="T18">
        <f>VLOOKUP(P18,'col requests'!E$23:G$32,3,FALSE)</f>
        <v>1.0945572187232799</v>
      </c>
      <c r="U18" t="e">
        <f>VLOOKUP(P18,'col requests'!H$23:I$32,2,FALSE)</f>
        <v>#N/A</v>
      </c>
      <c r="V18">
        <v>0</v>
      </c>
      <c r="W18">
        <v>49</v>
      </c>
      <c r="X18" t="s">
        <v>35</v>
      </c>
      <c r="Y18">
        <f>VLOOKUP($W18,[1]Paradyskloof!$A:$D,3,FALSE)</f>
        <v>-33.961346925436501</v>
      </c>
      <c r="Z18">
        <f>VLOOKUP($W18,[1]Paradyskloof!$A:$D,4,FALSE)</f>
        <v>18.854739113268501</v>
      </c>
      <c r="AA18">
        <f>VLOOKUP(W18,'col requests'!E$33:G$42,3,FALSE)</f>
        <v>1.0471538057754499</v>
      </c>
      <c r="AB18" t="e">
        <f>VLOOKUP(W18,'col requests'!H$33:I$42,2,FALSE)</f>
        <v>#N/A</v>
      </c>
    </row>
    <row r="19" spans="1:28">
      <c r="A19">
        <v>0</v>
      </c>
      <c r="B19">
        <v>12</v>
      </c>
      <c r="C19" t="s">
        <v>46</v>
      </c>
      <c r="D19">
        <f>VLOOKUP(B19,[1]Uniepark!$A:$D,3,FALSE)</f>
        <v>-33.932354676737397</v>
      </c>
      <c r="E19">
        <f>VLOOKUP(B19,[1]Uniepark!$A:$D,4,FALSE)</f>
        <v>18.891066105438</v>
      </c>
      <c r="F19">
        <f>VLOOKUP(B19,'col requests'!A$18:C$31,3,FALSE)</f>
        <v>1.0460698874954</v>
      </c>
      <c r="H19">
        <v>0</v>
      </c>
      <c r="I19">
        <v>8</v>
      </c>
      <c r="J19" t="s">
        <v>42</v>
      </c>
      <c r="K19">
        <f>VLOOKUP($I19,[1]Simonswyk!$A:$D,3,FALSE)</f>
        <v>-33.927880925424503</v>
      </c>
      <c r="L19">
        <f>VLOOKUP($I19,[1]Simonswyk!$A:$D,4,FALSE)</f>
        <v>18.877921789796002</v>
      </c>
      <c r="M19">
        <f>VLOOKUP(I19,'col requests'!A$17:C$30,3,FALSE)</f>
        <v>0.94921825203251398</v>
      </c>
      <c r="N19">
        <f t="shared" si="0"/>
        <v>10</v>
      </c>
      <c r="O19">
        <v>0</v>
      </c>
      <c r="P19">
        <v>13</v>
      </c>
      <c r="Q19" t="s">
        <v>10</v>
      </c>
      <c r="R19">
        <f>VLOOKUP($P19,[1]Brandwacht!$A:$D,3,FALSE)</f>
        <v>-33.958087413191798</v>
      </c>
      <c r="S19">
        <f>VLOOKUP($P19,[1]Brandwacht!$A:$D,4,FALSE)</f>
        <v>18.867934863967999</v>
      </c>
      <c r="T19">
        <f>VLOOKUP(P19,'col requests'!E$23:G$32,3,FALSE)</f>
        <v>0.93091985954719803</v>
      </c>
      <c r="U19" t="e">
        <f>VLOOKUP(P19,'col requests'!H$23:I$32,2,FALSE)</f>
        <v>#N/A</v>
      </c>
      <c r="V19">
        <v>0</v>
      </c>
      <c r="W19">
        <v>54</v>
      </c>
      <c r="X19" t="s">
        <v>35</v>
      </c>
      <c r="Y19">
        <f>VLOOKUP($W19,[1]Paradyskloof!$A:$D,3,FALSE)</f>
        <v>-33.963532582758098</v>
      </c>
      <c r="Z19">
        <f>VLOOKUP($W19,[1]Paradyskloof!$A:$D,4,FALSE)</f>
        <v>18.854814290832099</v>
      </c>
      <c r="AA19">
        <f>VLOOKUP(W19,'col requests'!E$33:G$42,3,FALSE)</f>
        <v>0.93091985954719803</v>
      </c>
      <c r="AB19" t="e">
        <f>VLOOKUP(W19,'col requests'!H$33:I$42,2,FALSE)</f>
        <v>#N/A</v>
      </c>
    </row>
    <row r="20" spans="1:28">
      <c r="A20">
        <v>0</v>
      </c>
      <c r="B20">
        <v>10</v>
      </c>
      <c r="C20" t="s">
        <v>46</v>
      </c>
      <c r="D20">
        <f>VLOOKUP(B20,[1]Uniepark!$A:$D,3,FALSE)</f>
        <v>-33.930209287480302</v>
      </c>
      <c r="E20">
        <f>VLOOKUP(B20,[1]Uniepark!$A:$D,4,FALSE)</f>
        <v>18.887019397299699</v>
      </c>
      <c r="F20">
        <f>VLOOKUP(B20,'col requests'!A$18:C$31,3,FALSE)</f>
        <v>0.98997341495254698</v>
      </c>
      <c r="H20">
        <v>0</v>
      </c>
      <c r="I20">
        <v>10</v>
      </c>
      <c r="J20" t="s">
        <v>42</v>
      </c>
      <c r="K20">
        <f>VLOOKUP($I20,[1]Simonswyk!$A:$D,3,FALSE)</f>
        <v>-33.927662198517801</v>
      </c>
      <c r="L20">
        <f>VLOOKUP($I20,[1]Simonswyk!$A:$D,4,FALSE)</f>
        <v>18.8784101128185</v>
      </c>
      <c r="M20">
        <f>VLOOKUP(I20,'col requests'!A$17:C$30,3,FALSE)</f>
        <v>0.98997341495254698</v>
      </c>
      <c r="N20">
        <f t="shared" si="0"/>
        <v>12</v>
      </c>
      <c r="O20">
        <v>0</v>
      </c>
      <c r="P20">
        <v>10</v>
      </c>
      <c r="Q20" t="s">
        <v>10</v>
      </c>
      <c r="R20">
        <f>VLOOKUP($P20,[1]Brandwacht!$A:$D,3,FALSE)</f>
        <v>-33.955154960871297</v>
      </c>
      <c r="S20">
        <f>VLOOKUP($P20,[1]Brandwacht!$A:$D,4,FALSE)</f>
        <v>18.866385909458899</v>
      </c>
      <c r="T20">
        <f>VLOOKUP(P20,'col requests'!E$23:G$32,3,FALSE)</f>
        <v>1.0940934882206701</v>
      </c>
      <c r="U20">
        <f>VLOOKUP(P20,'col requests'!H$23:I$32,2,FALSE)</f>
        <v>16</v>
      </c>
      <c r="V20">
        <v>0</v>
      </c>
      <c r="W20">
        <v>56</v>
      </c>
      <c r="X20" t="s">
        <v>35</v>
      </c>
      <c r="Y20">
        <f>VLOOKUP($W20,[1]Paradyskloof!$A:$D,3,FALSE)</f>
        <v>-33.967438345075998</v>
      </c>
      <c r="Z20">
        <f>VLOOKUP($W20,[1]Paradyskloof!$A:$D,4,FALSE)</f>
        <v>18.849994601966401</v>
      </c>
      <c r="AA20">
        <f>VLOOKUP(W20,'col requests'!E$33:G$42,3,FALSE)</f>
        <v>0.98110423464166896</v>
      </c>
      <c r="AB20" t="e">
        <f>VLOOKUP(W20,'col requests'!H$33:I$42,2,FALSE)</f>
        <v>#N/A</v>
      </c>
    </row>
    <row r="21" spans="1:28">
      <c r="A21">
        <v>0</v>
      </c>
      <c r="B21">
        <v>6</v>
      </c>
      <c r="C21" t="s">
        <v>46</v>
      </c>
      <c r="D21">
        <f>VLOOKUP(B21,[1]Uniepark!$A:$D,3,FALSE)</f>
        <v>-33.931363696359497</v>
      </c>
      <c r="E21">
        <f>VLOOKUP(B21,[1]Uniepark!$A:$D,4,FALSE)</f>
        <v>18.886147679039698</v>
      </c>
      <c r="F21">
        <f>VLOOKUP(B21,'col requests'!A$18:C$31,3,FALSE)</f>
        <v>0.99751683696509597</v>
      </c>
      <c r="H21">
        <v>0</v>
      </c>
      <c r="I21">
        <v>9</v>
      </c>
      <c r="J21" t="s">
        <v>42</v>
      </c>
      <c r="K21">
        <f>VLOOKUP($I21,[1]Simonswyk!$A:$D,3,FALSE)</f>
        <v>-33.926770343238601</v>
      </c>
      <c r="L21">
        <f>VLOOKUP($I21,[1]Simonswyk!$A:$D,4,FALSE)</f>
        <v>18.881514298513299</v>
      </c>
      <c r="M21">
        <f>VLOOKUP(I21,'col requests'!A$17:C$30,3,FALSE)</f>
        <v>1.03977184960788</v>
      </c>
      <c r="N21">
        <f t="shared" si="0"/>
        <v>11</v>
      </c>
      <c r="O21">
        <v>0</v>
      </c>
      <c r="P21">
        <v>11</v>
      </c>
      <c r="Q21" t="s">
        <v>10</v>
      </c>
      <c r="R21">
        <f>VLOOKUP($P21,[1]Brandwacht!$A:$D,3,FALSE)</f>
        <v>-33.954014549669402</v>
      </c>
      <c r="S21">
        <f>VLOOKUP($P21,[1]Brandwacht!$A:$D,4,FALSE)</f>
        <v>18.859761133132299</v>
      </c>
      <c r="T21">
        <f>VLOOKUP(P21,'col requests'!E$23:G$32,3,FALSE)</f>
        <v>0.92082538783224099</v>
      </c>
      <c r="U21">
        <f>VLOOKUP(P21,'col requests'!H$23:I$32,2,FALSE)</f>
        <v>17</v>
      </c>
      <c r="V21">
        <v>0</v>
      </c>
      <c r="W21">
        <v>55</v>
      </c>
      <c r="X21" t="s">
        <v>35</v>
      </c>
      <c r="Y21">
        <f>VLOOKUP($W21,[1]Paradyskloof!$A:$D,3,FALSE)</f>
        <v>-33.967353029796598</v>
      </c>
      <c r="Z21">
        <f>VLOOKUP($W21,[1]Paradyskloof!$A:$D,4,FALSE)</f>
        <v>18.859291535412201</v>
      </c>
      <c r="AA21">
        <f>VLOOKUP(W21,'col requests'!E$33:G$42,3,FALSE)</f>
        <v>1.0945572187232799</v>
      </c>
      <c r="AB21" t="e">
        <f>VLOOKUP(W21,'col requests'!H$33:I$42,2,FALSE)</f>
        <v>#N/A</v>
      </c>
    </row>
    <row r="22" spans="1:28">
      <c r="A22">
        <v>0</v>
      </c>
      <c r="B22">
        <v>13</v>
      </c>
      <c r="C22" t="s">
        <v>46</v>
      </c>
      <c r="D22">
        <f>VLOOKUP(B22,[1]Uniepark!$A:$D,3,FALSE)</f>
        <v>-33.932764765338099</v>
      </c>
      <c r="E22">
        <f>VLOOKUP(B22,[1]Uniepark!$A:$D,4,FALSE)</f>
        <v>18.887795638178702</v>
      </c>
      <c r="F22">
        <f>VLOOKUP(B22,'col requests'!A$18:C$31,3,FALSE)</f>
        <v>1.0518704029877699</v>
      </c>
      <c r="H22">
        <v>0</v>
      </c>
      <c r="I22">
        <v>11</v>
      </c>
      <c r="J22" t="s">
        <v>42</v>
      </c>
      <c r="K22">
        <f>VLOOKUP($I22,[1]Simonswyk!$A:$D,3,FALSE)</f>
        <v>-33.926867361920898</v>
      </c>
      <c r="L22">
        <f>VLOOKUP($I22,[1]Simonswyk!$A:$D,4,FALSE)</f>
        <v>18.8757339599922</v>
      </c>
      <c r="M22">
        <f>VLOOKUP(I22,'col requests'!A$17:C$30,3,FALSE)</f>
        <v>0.99401018040642897</v>
      </c>
      <c r="N22">
        <f t="shared" si="0"/>
        <v>13</v>
      </c>
      <c r="O22">
        <v>0</v>
      </c>
      <c r="P22">
        <v>16</v>
      </c>
      <c r="Q22" t="s">
        <v>10</v>
      </c>
      <c r="R22">
        <f>VLOOKUP($P22,[1]Brandwacht!$A:$D,3,FALSE)</f>
        <v>-33.953064745346502</v>
      </c>
      <c r="S22">
        <f>VLOOKUP($P22,[1]Brandwacht!$A:$D,4,FALSE)</f>
        <v>18.858232283807801</v>
      </c>
      <c r="T22">
        <f>VLOOKUP(P22,'col requests'!E$23:G$32,3,FALSE)</f>
        <v>1.14502144114379</v>
      </c>
      <c r="U22" t="e">
        <f>VLOOKUP(P22,'col requests'!H$23:I$32,2,FALSE)</f>
        <v>#N/A</v>
      </c>
      <c r="V22">
        <v>0</v>
      </c>
      <c r="W22">
        <v>50</v>
      </c>
      <c r="X22" t="s">
        <v>35</v>
      </c>
      <c r="Y22">
        <f>VLOOKUP($W22,[1]Paradyskloof!$A:$D,3,FALSE)</f>
        <v>-33.963058002284598</v>
      </c>
      <c r="Z22">
        <f>VLOOKUP($W22,[1]Paradyskloof!$A:$D,4,FALSE)</f>
        <v>18.8564477353959</v>
      </c>
      <c r="AA22">
        <f>VLOOKUP(W22,'col requests'!E$33:G$42,3,FALSE)</f>
        <v>1.01088936215575</v>
      </c>
      <c r="AB22" t="e">
        <f>VLOOKUP(W22,'col requests'!H$33:I$42,2,FALSE)</f>
        <v>#N/A</v>
      </c>
    </row>
    <row r="23" spans="1:28">
      <c r="A23">
        <v>0</v>
      </c>
      <c r="B23">
        <v>5</v>
      </c>
      <c r="C23" t="s">
        <v>46</v>
      </c>
      <c r="D23">
        <f>VLOOKUP(B23,[1]Uniepark!$A:$D,3,FALSE)</f>
        <v>-33.933051306022797</v>
      </c>
      <c r="E23">
        <f>VLOOKUP(B23,[1]Uniepark!$A:$D,4,FALSE)</f>
        <v>18.887937387077301</v>
      </c>
      <c r="F23">
        <f>VLOOKUP(B23,'col requests'!A$18:C$31,3,FALSE)</f>
        <v>1.0930693273785601</v>
      </c>
      <c r="H23">
        <v>0</v>
      </c>
      <c r="I23">
        <v>4</v>
      </c>
      <c r="J23" t="s">
        <v>42</v>
      </c>
      <c r="K23">
        <f>VLOOKUP($I23,[1]Simonswyk!$A:$D,3,FALSE)</f>
        <v>-33.925856153342401</v>
      </c>
      <c r="L23">
        <f>VLOOKUP($I23,[1]Simonswyk!$A:$D,4,FALSE)</f>
        <v>18.874465357542199</v>
      </c>
      <c r="M23">
        <f>VLOOKUP(I23,'col requests'!A$17:C$30,3,FALSE)</f>
        <v>0.98251314985617799</v>
      </c>
      <c r="N23">
        <f t="shared" si="0"/>
        <v>6</v>
      </c>
      <c r="O23">
        <v>0</v>
      </c>
      <c r="P23">
        <v>17</v>
      </c>
      <c r="Q23" t="s">
        <v>10</v>
      </c>
      <c r="R23">
        <f>VLOOKUP($P23,[1]Brandwacht!$A:$D,3,FALSE)</f>
        <v>-33.958568897861902</v>
      </c>
      <c r="S23">
        <f>VLOOKUP($P23,[1]Brandwacht!$A:$D,4,FALSE)</f>
        <v>18.867550565838201</v>
      </c>
      <c r="T23">
        <f>VLOOKUP(P23,'col requests'!E$23:G$32,3,FALSE)</f>
        <v>0.92558391397042905</v>
      </c>
      <c r="U23" t="e">
        <f>VLOOKUP(P23,'col requests'!H$23:I$32,2,FALSE)</f>
        <v>#N/A</v>
      </c>
      <c r="V23">
        <v>0</v>
      </c>
      <c r="W23">
        <v>51</v>
      </c>
      <c r="X23" t="s">
        <v>35</v>
      </c>
      <c r="Y23">
        <f>VLOOKUP($W23,[1]Paradyskloof!$A:$D,3,FALSE)</f>
        <v>-33.960203666939798</v>
      </c>
      <c r="Z23">
        <f>VLOOKUP($W23,[1]Paradyskloof!$A:$D,4,FALSE)</f>
        <v>18.856498032062099</v>
      </c>
      <c r="AA23">
        <f>VLOOKUP(W23,'col requests'!E$33:G$42,3,FALSE)</f>
        <v>1.0940934882206701</v>
      </c>
      <c r="AB23" t="e">
        <f>VLOOKUP(W23,'col requests'!H$33:I$42,2,FALSE)</f>
        <v>#N/A</v>
      </c>
    </row>
    <row r="26" spans="1:28">
      <c r="A26" t="s">
        <v>152</v>
      </c>
      <c r="B26" t="s">
        <v>116</v>
      </c>
      <c r="C26" t="s">
        <v>151</v>
      </c>
      <c r="D26" t="s">
        <v>118</v>
      </c>
      <c r="E26" t="s">
        <v>111</v>
      </c>
      <c r="F26" t="s">
        <v>119</v>
      </c>
      <c r="H26" t="s">
        <v>152</v>
      </c>
      <c r="I26" t="s">
        <v>116</v>
      </c>
      <c r="J26" t="s">
        <v>151</v>
      </c>
      <c r="K26" t="s">
        <v>118</v>
      </c>
      <c r="L26" t="s">
        <v>111</v>
      </c>
      <c r="M26" t="s">
        <v>119</v>
      </c>
      <c r="O26" t="s">
        <v>152</v>
      </c>
      <c r="P26" t="s">
        <v>116</v>
      </c>
      <c r="Q26" t="s">
        <v>151</v>
      </c>
      <c r="R26" t="s">
        <v>118</v>
      </c>
      <c r="S26" t="s">
        <v>111</v>
      </c>
      <c r="T26" t="s">
        <v>119</v>
      </c>
    </row>
    <row r="27" spans="1:28">
      <c r="A27">
        <v>0</v>
      </c>
      <c r="B27">
        <v>70</v>
      </c>
      <c r="C27" t="s">
        <v>50</v>
      </c>
      <c r="D27">
        <f>VLOOKUP($B27,[1]Welgevonden!$A:$D,3,FALSE)</f>
        <v>-33.903040064911202</v>
      </c>
      <c r="E27">
        <f>VLOOKUP($B27,[1]Welgevonden!$A:$D,4,FALSE)</f>
        <v>18.852105632158398</v>
      </c>
      <c r="F27">
        <f>VLOOKUP(B27,'col requests'!E$43:G$52,3,FALSE)</f>
        <v>1.14502144114379</v>
      </c>
      <c r="G27" t="e">
        <f>VLOOKUP(B27,'col requests'!H$43:I$52,2,FALSE)</f>
        <v>#N/A</v>
      </c>
      <c r="H27">
        <v>0</v>
      </c>
      <c r="I27">
        <v>67</v>
      </c>
      <c r="J27" t="s">
        <v>52</v>
      </c>
      <c r="K27">
        <f>VLOOKUP($I27,'[1]Die Boord'!$A:$D,3,FALSE)</f>
        <v>-33.950466840883799</v>
      </c>
      <c r="L27">
        <f>VLOOKUP($I27,'[1]Die Boord'!$A:$D,4,FALSE)</f>
        <v>18.853719363856101</v>
      </c>
      <c r="M27">
        <f>VLOOKUP(I27,'col requests'!E$53:G$62,3,FALSE)</f>
        <v>0.92082538783224099</v>
      </c>
      <c r="N27" t="e">
        <f>VLOOKUP(I27,'col requests'!H$53:I$62,2,FALSE)</f>
        <v>#N/A</v>
      </c>
      <c r="O27">
        <v>0</v>
      </c>
      <c r="P27">
        <v>97</v>
      </c>
      <c r="Q27" t="s">
        <v>51</v>
      </c>
      <c r="R27">
        <f>VLOOKUP($P27,'[1]Idas Valley'!$A:$D,3,FALSE)</f>
        <v>-33.925601305169401</v>
      </c>
      <c r="S27">
        <f>VLOOKUP($P27,'[1]Idas Valley'!$A:$D,4,FALSE)</f>
        <v>18.883646579144699</v>
      </c>
      <c r="T27">
        <f>VLOOKUP(P27,'col requests'!E$63:G$72,3,FALSE)</f>
        <v>1.0471538057754499</v>
      </c>
      <c r="U27" t="e">
        <f>VLOOKUP(P27,'col requests'!H$63:I$72,2,FALSE)</f>
        <v>#N/A</v>
      </c>
    </row>
    <row r="28" spans="1:28">
      <c r="A28">
        <v>0</v>
      </c>
      <c r="B28">
        <v>67</v>
      </c>
      <c r="C28" t="s">
        <v>50</v>
      </c>
      <c r="D28">
        <f>VLOOKUP($B28,[1]Welgevonden!$A:$D,3,FALSE)</f>
        <v>-33.901706767820002</v>
      </c>
      <c r="E28">
        <f>VLOOKUP($B28,[1]Welgevonden!$A:$D,4,FALSE)</f>
        <v>18.857217931427101</v>
      </c>
      <c r="F28">
        <f>VLOOKUP(B28,'col requests'!E$43:G$52,3,FALSE)</f>
        <v>0.93091985954719803</v>
      </c>
      <c r="G28" t="e">
        <f>VLOOKUP(B28,'col requests'!H$43:I$52,2,FALSE)</f>
        <v>#N/A</v>
      </c>
      <c r="H28">
        <v>0</v>
      </c>
      <c r="I28">
        <v>69</v>
      </c>
      <c r="J28" t="s">
        <v>52</v>
      </c>
      <c r="K28">
        <f>VLOOKUP($I28,'[1]Die Boord'!$A:$D,3,FALSE)</f>
        <v>-33.944119222208997</v>
      </c>
      <c r="L28">
        <f>VLOOKUP($I28,'[1]Die Boord'!$A:$D,4,FALSE)</f>
        <v>18.851219781860799</v>
      </c>
      <c r="M28">
        <f>VLOOKUP(I28,'col requests'!E$53:G$62,3,FALSE)</f>
        <v>0.93091985954719803</v>
      </c>
      <c r="N28" t="e">
        <f>VLOOKUP(I28,'col requests'!H$53:I$62,2,FALSE)</f>
        <v>#N/A</v>
      </c>
      <c r="O28">
        <v>0</v>
      </c>
      <c r="P28">
        <v>103</v>
      </c>
      <c r="Q28" t="s">
        <v>51</v>
      </c>
      <c r="R28">
        <f>VLOOKUP($P28,'[1]Idas Valley'!$A:$D,3,FALSE)</f>
        <v>-33.919140305735603</v>
      </c>
      <c r="S28">
        <f>VLOOKUP($P28,'[1]Idas Valley'!$A:$D,4,FALSE)</f>
        <v>18.8831008684548</v>
      </c>
      <c r="T28">
        <f>VLOOKUP(P28,'col requests'!E$63:G$72,3,FALSE)</f>
        <v>1.0945572187232799</v>
      </c>
      <c r="U28" t="e">
        <f>VLOOKUP(P28,'col requests'!H$63:I$72,2,FALSE)</f>
        <v>#N/A</v>
      </c>
    </row>
    <row r="29" spans="1:28">
      <c r="A29">
        <v>0</v>
      </c>
      <c r="B29">
        <v>69</v>
      </c>
      <c r="C29" t="s">
        <v>50</v>
      </c>
      <c r="D29">
        <f>VLOOKUP($B29,[1]Welgevonden!$A:$D,3,FALSE)</f>
        <v>-33.898522380797097</v>
      </c>
      <c r="E29">
        <f>VLOOKUP($B29,[1]Welgevonden!$A:$D,4,FALSE)</f>
        <v>18.8549813418255</v>
      </c>
      <c r="F29">
        <f>VLOOKUP(B29,'col requests'!E$43:G$52,3,FALSE)</f>
        <v>0.98110423464166896</v>
      </c>
      <c r="G29" t="e">
        <f>VLOOKUP(B29,'col requests'!H$43:I$52,2,FALSE)</f>
        <v>#N/A</v>
      </c>
      <c r="H29">
        <v>0</v>
      </c>
      <c r="I29">
        <v>66</v>
      </c>
      <c r="J29" t="s">
        <v>52</v>
      </c>
      <c r="K29">
        <f>VLOOKUP($I29,'[1]Die Boord'!$A:$D,3,FALSE)</f>
        <v>-33.953254610863297</v>
      </c>
      <c r="L29">
        <f>VLOOKUP($I29,'[1]Die Boord'!$A:$D,4,FALSE)</f>
        <v>18.844481968848701</v>
      </c>
      <c r="M29">
        <f>VLOOKUP(I29,'col requests'!E$53:G$62,3,FALSE)</f>
        <v>1.0940934882206701</v>
      </c>
      <c r="N29" t="e">
        <f>VLOOKUP(I29,'col requests'!H$53:I$62,2,FALSE)</f>
        <v>#N/A</v>
      </c>
      <c r="O29">
        <v>0</v>
      </c>
      <c r="P29">
        <v>101</v>
      </c>
      <c r="Q29" t="s">
        <v>51</v>
      </c>
      <c r="R29">
        <f>VLOOKUP($P29,'[1]Idas Valley'!$A:$D,3,FALSE)</f>
        <v>-33.924602633173301</v>
      </c>
      <c r="S29">
        <f>VLOOKUP($P29,'[1]Idas Valley'!$A:$D,4,FALSE)</f>
        <v>18.884915542174099</v>
      </c>
      <c r="T29">
        <f>VLOOKUP(P29,'col requests'!E$63:G$72,3,FALSE)</f>
        <v>0.98794147905957996</v>
      </c>
      <c r="U29" t="e">
        <f>VLOOKUP(P29,'col requests'!H$63:I$72,2,FALSE)</f>
        <v>#N/A</v>
      </c>
    </row>
    <row r="30" spans="1:28">
      <c r="A30">
        <v>0</v>
      </c>
      <c r="B30">
        <v>66</v>
      </c>
      <c r="C30" t="s">
        <v>50</v>
      </c>
      <c r="D30">
        <f>VLOOKUP($B30,[1]Welgevonden!$A:$D,3,FALSE)</f>
        <v>-33.903105298355598</v>
      </c>
      <c r="E30">
        <f>VLOOKUP($B30,[1]Welgevonden!$A:$D,4,FALSE)</f>
        <v>18.848952444774799</v>
      </c>
      <c r="F30">
        <f>VLOOKUP(B30,'col requests'!E$43:G$52,3,FALSE)</f>
        <v>0.98794147905957996</v>
      </c>
      <c r="G30" t="e">
        <f>VLOOKUP(B30,'col requests'!H$43:I$52,2,FALSE)</f>
        <v>#N/A</v>
      </c>
      <c r="H30">
        <v>0</v>
      </c>
      <c r="I30">
        <v>71</v>
      </c>
      <c r="J30" t="s">
        <v>52</v>
      </c>
      <c r="K30">
        <f>VLOOKUP($I30,'[1]Die Boord'!$A:$D,3,FALSE)</f>
        <v>-33.948447922403901</v>
      </c>
      <c r="L30">
        <f>VLOOKUP($I30,'[1]Die Boord'!$A:$D,4,FALSE)</f>
        <v>18.848026791622701</v>
      </c>
      <c r="M30">
        <f>VLOOKUP(I30,'col requests'!E$53:G$62,3,FALSE)</f>
        <v>0.98110423464166896</v>
      </c>
      <c r="N30" t="e">
        <f>VLOOKUP(I30,'col requests'!H$53:I$62,2,FALSE)</f>
        <v>#N/A</v>
      </c>
      <c r="O30">
        <v>0</v>
      </c>
      <c r="P30">
        <v>99</v>
      </c>
      <c r="Q30" t="s">
        <v>51</v>
      </c>
      <c r="R30">
        <f>VLOOKUP($P30,'[1]Idas Valley'!$A:$D,3,FALSE)</f>
        <v>-33.9233514571592</v>
      </c>
      <c r="S30">
        <f>VLOOKUP($P30,'[1]Idas Valley'!$A:$D,4,FALSE)</f>
        <v>18.8822343017973</v>
      </c>
      <c r="T30">
        <f>VLOOKUP(P30,'col requests'!E$63:G$72,3,FALSE)</f>
        <v>1.0940934882206701</v>
      </c>
      <c r="U30" t="e">
        <f>VLOOKUP(P30,'col requests'!H$63:I$72,2,FALSE)</f>
        <v>#N/A</v>
      </c>
    </row>
    <row r="31" spans="1:28">
      <c r="A31">
        <v>0</v>
      </c>
      <c r="B31">
        <v>63</v>
      </c>
      <c r="C31" t="s">
        <v>50</v>
      </c>
      <c r="D31">
        <f>VLOOKUP($B31,[1]Welgevonden!$A:$D,3,FALSE)</f>
        <v>-33.899029335788498</v>
      </c>
      <c r="E31">
        <f>VLOOKUP($B31,[1]Welgevonden!$A:$D,4,FALSE)</f>
        <v>18.8561634553941</v>
      </c>
      <c r="F31">
        <f>VLOOKUP(B31,'col requests'!E$43:G$52,3,FALSE)</f>
        <v>1.01088936215575</v>
      </c>
      <c r="G31" t="e">
        <f>VLOOKUP(B31,'col requests'!H$43:I$52,2,FALSE)</f>
        <v>#N/A</v>
      </c>
      <c r="H31">
        <v>0</v>
      </c>
      <c r="I31">
        <v>64</v>
      </c>
      <c r="J31" t="s">
        <v>52</v>
      </c>
      <c r="K31">
        <f>VLOOKUP($I31,'[1]Die Boord'!$A:$D,3,FALSE)</f>
        <v>-33.947724628911601</v>
      </c>
      <c r="L31">
        <f>VLOOKUP($I31,'[1]Die Boord'!$A:$D,4,FALSE)</f>
        <v>18.851712499719</v>
      </c>
      <c r="M31">
        <f>VLOOKUP(I31,'col requests'!E$53:G$62,3,FALSE)</f>
        <v>1.0471538057754499</v>
      </c>
      <c r="N31" t="e">
        <f>VLOOKUP(I31,'col requests'!H$53:I$62,2,FALSE)</f>
        <v>#N/A</v>
      </c>
      <c r="O31">
        <v>0</v>
      </c>
      <c r="P31">
        <v>100</v>
      </c>
      <c r="Q31" t="s">
        <v>51</v>
      </c>
      <c r="R31">
        <f>VLOOKUP($P31,'[1]Idas Valley'!$A:$D,3,FALSE)</f>
        <v>-33.920017549557301</v>
      </c>
      <c r="S31">
        <f>VLOOKUP($P31,'[1]Idas Valley'!$A:$D,4,FALSE)</f>
        <v>18.871864668125198</v>
      </c>
      <c r="T31">
        <f>VLOOKUP(P31,'col requests'!E$63:G$72,3,FALSE)</f>
        <v>0.92082538783224099</v>
      </c>
      <c r="U31" t="e">
        <f>VLOOKUP(P31,'col requests'!H$63:I$72,2,FALSE)</f>
        <v>#N/A</v>
      </c>
    </row>
    <row r="32" spans="1:28">
      <c r="A32">
        <v>0</v>
      </c>
      <c r="B32">
        <v>62</v>
      </c>
      <c r="C32" t="s">
        <v>50</v>
      </c>
      <c r="D32">
        <f>VLOOKUP($B32,[1]Welgevonden!$A:$D,3,FALSE)</f>
        <v>-33.902200971592301</v>
      </c>
      <c r="E32">
        <f>VLOOKUP($B32,[1]Welgevonden!$A:$D,4,FALSE)</f>
        <v>18.856566359635501</v>
      </c>
      <c r="F32">
        <f>VLOOKUP(B32,'col requests'!E$43:G$52,3,FALSE)</f>
        <v>1.0471538057754499</v>
      </c>
      <c r="G32" t="e">
        <f>VLOOKUP(B32,'col requests'!H$43:I$52,2,FALSE)</f>
        <v>#N/A</v>
      </c>
      <c r="H32">
        <v>0</v>
      </c>
      <c r="I32">
        <v>72</v>
      </c>
      <c r="J32" t="s">
        <v>52</v>
      </c>
      <c r="K32">
        <f>VLOOKUP($I32,'[1]Die Boord'!$A:$D,3,FALSE)</f>
        <v>-33.942902411105599</v>
      </c>
      <c r="L32">
        <f>VLOOKUP($I32,'[1]Die Boord'!$A:$D,4,FALSE)</f>
        <v>18.8534219626729</v>
      </c>
      <c r="M32">
        <f>VLOOKUP(I32,'col requests'!E$53:G$62,3,FALSE)</f>
        <v>1.14502144114379</v>
      </c>
      <c r="N32" t="e">
        <f>VLOOKUP(I32,'col requests'!H$53:I$62,2,FALSE)</f>
        <v>#N/A</v>
      </c>
      <c r="O32">
        <v>0</v>
      </c>
      <c r="P32">
        <v>105</v>
      </c>
      <c r="Q32" t="s">
        <v>51</v>
      </c>
      <c r="R32">
        <f>VLOOKUP($P32,'[1]Idas Valley'!$A:$D,3,FALSE)</f>
        <v>-33.918456016802999</v>
      </c>
      <c r="S32">
        <f>VLOOKUP($P32,'[1]Idas Valley'!$A:$D,4,FALSE)</f>
        <v>18.885497048947201</v>
      </c>
      <c r="T32">
        <f>VLOOKUP(P32,'col requests'!E$63:G$72,3,FALSE)</f>
        <v>1.14502144114379</v>
      </c>
      <c r="U32" t="e">
        <f>VLOOKUP(P32,'col requests'!H$63:I$72,2,FALSE)</f>
        <v>#N/A</v>
      </c>
    </row>
    <row r="33" spans="1:21">
      <c r="A33">
        <v>0</v>
      </c>
      <c r="B33">
        <v>64</v>
      </c>
      <c r="C33" t="s">
        <v>50</v>
      </c>
      <c r="D33">
        <f>VLOOKUP($B33,[1]Welgevonden!$A:$D,3,FALSE)</f>
        <v>-33.900331092205903</v>
      </c>
      <c r="E33">
        <f>VLOOKUP($B33,[1]Welgevonden!$A:$D,4,FALSE)</f>
        <v>18.8554222185962</v>
      </c>
      <c r="F33">
        <f>VLOOKUP(B33,'col requests'!E$43:G$52,3,FALSE)</f>
        <v>1.0940934882206701</v>
      </c>
      <c r="G33" t="e">
        <f>VLOOKUP(B33,'col requests'!H$43:I$52,2,FALSE)</f>
        <v>#N/A</v>
      </c>
      <c r="H33">
        <v>0</v>
      </c>
      <c r="I33">
        <v>65</v>
      </c>
      <c r="J33" t="s">
        <v>52</v>
      </c>
      <c r="K33">
        <f>VLOOKUP($I33,'[1]Die Boord'!$A:$D,3,FALSE)</f>
        <v>-33.949521509704503</v>
      </c>
      <c r="L33">
        <f>VLOOKUP($I33,'[1]Die Boord'!$A:$D,4,FALSE)</f>
        <v>18.853673342650101</v>
      </c>
      <c r="M33">
        <f>VLOOKUP(I33,'col requests'!E$53:G$62,3,FALSE)</f>
        <v>1.01088936215575</v>
      </c>
      <c r="N33" t="e">
        <f>VLOOKUP(I33,'col requests'!H$53:I$62,2,FALSE)</f>
        <v>#N/A</v>
      </c>
      <c r="O33">
        <v>0</v>
      </c>
      <c r="P33">
        <v>104</v>
      </c>
      <c r="Q33" t="s">
        <v>51</v>
      </c>
      <c r="R33">
        <f>VLOOKUP($P33,'[1]Idas Valley'!$A:$D,3,FALSE)</f>
        <v>-33.926144492389199</v>
      </c>
      <c r="S33">
        <f>VLOOKUP($P33,'[1]Idas Valley'!$A:$D,4,FALSE)</f>
        <v>18.893637161898599</v>
      </c>
      <c r="T33">
        <f>VLOOKUP(P33,'col requests'!E$63:G$72,3,FALSE)</f>
        <v>0.98110423464166896</v>
      </c>
      <c r="U33" t="e">
        <f>VLOOKUP(P33,'col requests'!H$63:I$72,2,FALSE)</f>
        <v>#N/A</v>
      </c>
    </row>
    <row r="34" spans="1:21">
      <c r="A34">
        <v>0</v>
      </c>
      <c r="B34">
        <v>71</v>
      </c>
      <c r="C34" t="s">
        <v>50</v>
      </c>
      <c r="D34">
        <f>VLOOKUP($B34,[1]Welgevonden!$A:$D,3,FALSE)</f>
        <v>-33.900693944249902</v>
      </c>
      <c r="E34">
        <f>VLOOKUP($B34,[1]Welgevonden!$A:$D,4,FALSE)</f>
        <v>18.852124300617199</v>
      </c>
      <c r="F34">
        <f>VLOOKUP(B34,'col requests'!E$43:G$52,3,FALSE)</f>
        <v>0.92558391397042905</v>
      </c>
      <c r="G34" t="e">
        <f>VLOOKUP(B34,'col requests'!H$43:I$52,2,FALSE)</f>
        <v>#N/A</v>
      </c>
      <c r="H34">
        <v>0</v>
      </c>
      <c r="I34">
        <v>68</v>
      </c>
      <c r="J34" t="s">
        <v>52</v>
      </c>
      <c r="K34">
        <f>VLOOKUP($I34,'[1]Die Boord'!$A:$D,3,FALSE)</f>
        <v>-33.951852188803898</v>
      </c>
      <c r="L34">
        <f>VLOOKUP($I34,'[1]Die Boord'!$A:$D,4,FALSE)</f>
        <v>18.846144055928399</v>
      </c>
      <c r="M34">
        <f>VLOOKUP(I34,'col requests'!E$53:G$62,3,FALSE)</f>
        <v>0.98794147905957996</v>
      </c>
      <c r="N34" t="e">
        <f>VLOOKUP(I34,'col requests'!H$53:I$62,2,FALSE)</f>
        <v>#N/A</v>
      </c>
      <c r="O34">
        <v>0</v>
      </c>
      <c r="P34">
        <v>106</v>
      </c>
      <c r="Q34" t="s">
        <v>51</v>
      </c>
      <c r="R34">
        <f>VLOOKUP($P34,'[1]Idas Valley'!$A:$D,3,FALSE)</f>
        <v>-33.924591661463701</v>
      </c>
      <c r="S34">
        <f>VLOOKUP($P34,'[1]Idas Valley'!$A:$D,4,FALSE)</f>
        <v>18.8821379579115</v>
      </c>
      <c r="T34">
        <f>VLOOKUP(P34,'col requests'!E$63:G$72,3,FALSE)</f>
        <v>0.92558391397042905</v>
      </c>
      <c r="U34" t="e">
        <f>VLOOKUP(P34,'col requests'!H$63:I$72,2,FALSE)</f>
        <v>#N/A</v>
      </c>
    </row>
    <row r="35" spans="1:21">
      <c r="A35">
        <v>0</v>
      </c>
      <c r="B35">
        <v>65</v>
      </c>
      <c r="C35" t="s">
        <v>50</v>
      </c>
      <c r="D35">
        <f>VLOOKUP($B35,[1]Welgevonden!$A:$D,3,FALSE)</f>
        <v>-33.901232526928403</v>
      </c>
      <c r="E35">
        <f>VLOOKUP($B35,[1]Welgevonden!$A:$D,4,FALSE)</f>
        <v>18.8571767523216</v>
      </c>
      <c r="F35">
        <f>VLOOKUP(B35,'col requests'!E$43:G$52,3,FALSE)</f>
        <v>0.92082538783224099</v>
      </c>
      <c r="G35" t="e">
        <f>VLOOKUP(B35,'col requests'!H$43:I$52,2,FALSE)</f>
        <v>#N/A</v>
      </c>
      <c r="H35">
        <v>0</v>
      </c>
      <c r="I35">
        <v>70</v>
      </c>
      <c r="J35" t="s">
        <v>52</v>
      </c>
      <c r="K35">
        <f>VLOOKUP($I35,'[1]Die Boord'!$A:$D,3,FALSE)</f>
        <v>-33.9531245773507</v>
      </c>
      <c r="L35">
        <f>VLOOKUP($I35,'[1]Die Boord'!$A:$D,4,FALSE)</f>
        <v>18.848005928008099</v>
      </c>
      <c r="M35">
        <f>VLOOKUP(I35,'col requests'!E$53:G$62,3,FALSE)</f>
        <v>1.0945572187232799</v>
      </c>
      <c r="N35" t="e">
        <f>VLOOKUP(I35,'col requests'!H$53:I$62,2,FALSE)</f>
        <v>#N/A</v>
      </c>
      <c r="O35">
        <v>0</v>
      </c>
      <c r="P35">
        <v>98</v>
      </c>
      <c r="Q35" t="s">
        <v>51</v>
      </c>
      <c r="R35">
        <f>VLOOKUP($P35,'[1]Idas Valley'!$A:$D,3,FALSE)</f>
        <v>-33.9254851836547</v>
      </c>
      <c r="S35">
        <f>VLOOKUP($P35,'[1]Idas Valley'!$A:$D,4,FALSE)</f>
        <v>18.8842683992216</v>
      </c>
      <c r="T35">
        <f>VLOOKUP(P35,'col requests'!E$63:G$72,3,FALSE)</f>
        <v>1.01088936215575</v>
      </c>
      <c r="U35" t="e">
        <f>VLOOKUP(P35,'col requests'!H$63:I$72,2,FALSE)</f>
        <v>#N/A</v>
      </c>
    </row>
    <row r="36" spans="1:21">
      <c r="A36">
        <v>0</v>
      </c>
      <c r="B36">
        <v>68</v>
      </c>
      <c r="C36" t="s">
        <v>50</v>
      </c>
      <c r="D36">
        <f>VLOOKUP($B36,[1]Welgevonden!$A:$D,3,FALSE)</f>
        <v>-33.902401750326703</v>
      </c>
      <c r="E36">
        <f>VLOOKUP($B36,[1]Welgevonden!$A:$D,4,FALSE)</f>
        <v>18.850439656111</v>
      </c>
      <c r="F36">
        <f>VLOOKUP(B36,'col requests'!E$43:G$52,3,FALSE)</f>
        <v>1.0945572187232799</v>
      </c>
      <c r="G36" t="e">
        <f>VLOOKUP(B36,'col requests'!H$43:I$52,2,FALSE)</f>
        <v>#N/A</v>
      </c>
      <c r="H36">
        <v>0</v>
      </c>
      <c r="I36">
        <v>73</v>
      </c>
      <c r="J36" t="s">
        <v>52</v>
      </c>
      <c r="K36">
        <f>VLOOKUP($I36,'[1]Die Boord'!$A:$D,3,FALSE)</f>
        <v>-33.952521135284201</v>
      </c>
      <c r="L36">
        <f>VLOOKUP($I36,'[1]Die Boord'!$A:$D,4,FALSE)</f>
        <v>18.853810707013398</v>
      </c>
      <c r="M36">
        <f>VLOOKUP(I36,'col requests'!E$53:G$62,3,FALSE)</f>
        <v>0.92558391397042905</v>
      </c>
      <c r="N36" t="e">
        <f>VLOOKUP(I36,'col requests'!H$53:I$62,2,FALSE)</f>
        <v>#N/A</v>
      </c>
      <c r="O36">
        <v>0</v>
      </c>
      <c r="P36">
        <v>102</v>
      </c>
      <c r="Q36" t="s">
        <v>51</v>
      </c>
      <c r="R36">
        <f>VLOOKUP($P36,'[1]Idas Valley'!$A:$D,3,FALSE)</f>
        <v>-33.922057066595201</v>
      </c>
      <c r="S36">
        <f>VLOOKUP($P36,'[1]Idas Valley'!$A:$D,4,FALSE)</f>
        <v>18.8926268547931</v>
      </c>
      <c r="T36">
        <f>VLOOKUP(P36,'col requests'!E$63:G$72,3,FALSE)</f>
        <v>0.93091985954719803</v>
      </c>
      <c r="U36" t="e">
        <f>VLOOKUP(P36,'col requests'!H$63:I$72,2,FALSE)</f>
        <v>#N/A</v>
      </c>
    </row>
    <row r="38" spans="1:21">
      <c r="A38" t="s">
        <v>152</v>
      </c>
      <c r="B38" t="s">
        <v>116</v>
      </c>
      <c r="C38" t="s">
        <v>151</v>
      </c>
      <c r="D38" t="s">
        <v>118</v>
      </c>
      <c r="E38" t="s">
        <v>111</v>
      </c>
      <c r="F38" t="s">
        <v>119</v>
      </c>
      <c r="H38" t="s">
        <v>152</v>
      </c>
      <c r="I38" t="s">
        <v>116</v>
      </c>
      <c r="J38" t="s">
        <v>151</v>
      </c>
      <c r="K38" t="s">
        <v>118</v>
      </c>
      <c r="L38" t="s">
        <v>111</v>
      </c>
      <c r="M38" t="s">
        <v>119</v>
      </c>
    </row>
    <row r="39" spans="1:21">
      <c r="A39">
        <v>0</v>
      </c>
      <c r="B39">
        <v>158</v>
      </c>
      <c r="C39" t="s">
        <v>11</v>
      </c>
      <c r="D39">
        <f>VLOOKUP($B39,[1]Cloetesville!$A:$D,3,FALSE)</f>
        <v>-33.9018719825335</v>
      </c>
      <c r="E39">
        <f>VLOOKUP($B39,[1]Cloetesville!$A:$D,4,FALSE)</f>
        <v>18.853964539984901</v>
      </c>
      <c r="F39">
        <f>VLOOKUP(B39,'col requests'!E$73:G$82,3,FALSE)</f>
        <v>1.51602218763744</v>
      </c>
      <c r="H39">
        <v>0</v>
      </c>
      <c r="I39">
        <v>205</v>
      </c>
      <c r="J39" t="s">
        <v>105</v>
      </c>
      <c r="K39">
        <f>VLOOKUP(I39,[1]Kayamandi2!$A:$D,3,FALSE)</f>
        <v>-33.914869211692903</v>
      </c>
      <c r="L39">
        <f>VLOOKUP(I39,[1]Kayamandi2!$A:$D,4,FALSE)</f>
        <v>18.846731859191699</v>
      </c>
      <c r="M39">
        <f>VLOOKUP(I39,'col requests'!E$83:G$92,3,FALSE)</f>
        <v>1.57033144998237</v>
      </c>
      <c r="N39" t="e">
        <f>VLOOKUP(I39,'col requests'!H$83:I$92,2,FALSE)</f>
        <v>#N/A</v>
      </c>
    </row>
    <row r="40" spans="1:21">
      <c r="A40">
        <v>0</v>
      </c>
      <c r="B40">
        <v>165</v>
      </c>
      <c r="C40" t="s">
        <v>11</v>
      </c>
      <c r="D40">
        <f>VLOOKUP($B40,[1]Cloetesville!$A:$D,3,FALSE)</f>
        <v>-33.908089419619699</v>
      </c>
      <c r="E40">
        <f>VLOOKUP($B40,[1]Cloetesville!$A:$D,4,FALSE)</f>
        <v>18.850992574234901</v>
      </c>
      <c r="F40">
        <f>VLOOKUP(B40,'col requests'!E$73:G$82,3,FALSE)</f>
        <v>1.71690948461347</v>
      </c>
      <c r="H40">
        <v>0</v>
      </c>
      <c r="I40">
        <v>213</v>
      </c>
      <c r="J40" t="s">
        <v>105</v>
      </c>
      <c r="K40">
        <f>VLOOKUP(I40,[1]Kayamandi2!$A:$D,3,FALSE)</f>
        <v>-33.918536762257901</v>
      </c>
      <c r="L40">
        <f>VLOOKUP(I40,[1]Kayamandi2!$A:$D,4,FALSE)</f>
        <v>18.845461957531398</v>
      </c>
      <c r="M40">
        <f>VLOOKUP(I40,'col requests'!E$83:G$92,3,FALSE)</f>
        <v>1.71690948461347</v>
      </c>
      <c r="N40" t="e">
        <f>VLOOKUP(I40,'col requests'!H$83:I$92,2,FALSE)</f>
        <v>#N/A</v>
      </c>
    </row>
    <row r="41" spans="1:21">
      <c r="A41">
        <v>0</v>
      </c>
      <c r="B41">
        <v>157</v>
      </c>
      <c r="C41" t="s">
        <v>11</v>
      </c>
      <c r="D41">
        <f>VLOOKUP($B41,[1]Cloetesville!$A:$D,3,FALSE)</f>
        <v>-33.912657272976197</v>
      </c>
      <c r="E41">
        <f>VLOOKUP($B41,[1]Cloetesville!$A:$D,4,FALSE)</f>
        <v>18.8559801077717</v>
      </c>
      <c r="F41">
        <f>VLOOKUP(B41,'col requests'!E$73:G$82,3,FALSE)</f>
        <v>1.57033144998237</v>
      </c>
      <c r="H41">
        <v>0</v>
      </c>
      <c r="I41">
        <v>207</v>
      </c>
      <c r="J41" t="s">
        <v>105</v>
      </c>
      <c r="K41">
        <f>VLOOKUP(I41,[1]Kayamandi2!$A:$D,3,FALSE)</f>
        <v>-33.915073275879003</v>
      </c>
      <c r="L41">
        <f>VLOOKUP(I41,[1]Kayamandi2!$A:$D,4,FALSE)</f>
        <v>18.846373496424398</v>
      </c>
      <c r="M41">
        <f>VLOOKUP(I41,'col requests'!E$83:G$92,3,FALSE)</f>
        <v>1.64063724217248</v>
      </c>
      <c r="N41" t="e">
        <f>VLOOKUP(I41,'col requests'!H$83:I$92,2,FALSE)</f>
        <v>#N/A</v>
      </c>
    </row>
    <row r="42" spans="1:21">
      <c r="A42">
        <v>0</v>
      </c>
      <c r="B42">
        <v>161</v>
      </c>
      <c r="C42" t="s">
        <v>11</v>
      </c>
      <c r="D42">
        <f>VLOOKUP($B42,[1]Cloetesville!$A:$D,3,FALSE)</f>
        <v>-33.9096247712991</v>
      </c>
      <c r="E42">
        <f>VLOOKUP($B42,[1]Cloetesville!$A:$D,4,FALSE)</f>
        <v>18.8590472398927</v>
      </c>
      <c r="F42">
        <f>VLOOKUP(B42,'col requests'!E$73:G$82,3,FALSE)</f>
        <v>1.48164297959518</v>
      </c>
      <c r="H42">
        <v>0</v>
      </c>
      <c r="I42">
        <v>214</v>
      </c>
      <c r="J42" t="s">
        <v>105</v>
      </c>
      <c r="K42">
        <f>VLOOKUP(I42,[1]Kayamandi2!$A:$D,3,FALSE)</f>
        <v>-33.918262439900801</v>
      </c>
      <c r="L42">
        <f>VLOOKUP(I42,[1]Kayamandi2!$A:$D,4,FALSE)</f>
        <v>18.847224069434802</v>
      </c>
      <c r="M42">
        <f>VLOOKUP(I42,'col requests'!E$83:G$92,3,FALSE)</f>
        <v>1.38824349832085</v>
      </c>
      <c r="N42" t="e">
        <f>VLOOKUP(I42,'col requests'!H$83:I$92,2,FALSE)</f>
        <v>#N/A</v>
      </c>
    </row>
    <row r="43" spans="1:21">
      <c r="A43">
        <v>0</v>
      </c>
      <c r="B43">
        <v>163</v>
      </c>
      <c r="C43" t="s">
        <v>11</v>
      </c>
      <c r="D43">
        <f>VLOOKUP($B43,[1]Cloetesville!$A:$D,3,FALSE)</f>
        <v>-33.9196505086462</v>
      </c>
      <c r="E43">
        <f>VLOOKUP($B43,[1]Cloetesville!$A:$D,4,FALSE)</f>
        <v>18.8536640687005</v>
      </c>
      <c r="F43">
        <f>VLOOKUP(B43,'col requests'!E$73:G$82,3,FALSE)</f>
        <v>1.6413258139304101</v>
      </c>
      <c r="H43">
        <v>0</v>
      </c>
      <c r="I43">
        <v>211</v>
      </c>
      <c r="J43" t="s">
        <v>105</v>
      </c>
      <c r="K43">
        <f>VLOOKUP(I43,[1]Kayamandi2!$A:$D,3,FALSE)</f>
        <v>-33.918405186348998</v>
      </c>
      <c r="L43">
        <f>VLOOKUP(I43,[1]Kayamandi2!$A:$D,4,FALSE)</f>
        <v>18.847373423047799</v>
      </c>
      <c r="M43">
        <f>VLOOKUP(I43,'col requests'!E$83:G$92,3,FALSE)</f>
        <v>1.6413258139304101</v>
      </c>
      <c r="N43" t="e">
        <f>VLOOKUP(I43,'col requests'!H$83:I$92,2,FALSE)</f>
        <v>#N/A</v>
      </c>
    </row>
    <row r="44" spans="1:21">
      <c r="A44">
        <v>0</v>
      </c>
      <c r="B44">
        <v>162</v>
      </c>
      <c r="C44" t="s">
        <v>11</v>
      </c>
      <c r="D44">
        <f>VLOOKUP($B44,[1]Cloetesville!$A:$D,3,FALSE)</f>
        <v>-33.907594140789797</v>
      </c>
      <c r="E44">
        <f>VLOOKUP($B44,[1]Cloetesville!$A:$D,4,FALSE)</f>
        <v>18.858841063067999</v>
      </c>
      <c r="F44">
        <f>VLOOKUP(B44,'col requests'!E$73:G$82,3,FALSE)</f>
        <v>1.39625970227536</v>
      </c>
      <c r="H44">
        <v>0</v>
      </c>
      <c r="I44">
        <v>208</v>
      </c>
      <c r="J44" t="s">
        <v>105</v>
      </c>
      <c r="K44">
        <f>VLOOKUP(I44,[1]Kayamandi2!$A:$D,3,FALSE)</f>
        <v>-33.913793843561102</v>
      </c>
      <c r="L44">
        <f>VLOOKUP(I44,[1]Kayamandi2!$A:$D,4,FALSE)</f>
        <v>18.845154990433699</v>
      </c>
      <c r="M44">
        <f>VLOOKUP(I44,'col requests'!E$83:G$92,3,FALSE)</f>
        <v>1.38111286028867</v>
      </c>
      <c r="N44" t="e">
        <f>VLOOKUP(I44,'col requests'!H$83:I$92,2,FALSE)</f>
        <v>#N/A</v>
      </c>
    </row>
    <row r="45" spans="1:21">
      <c r="A45">
        <v>0</v>
      </c>
      <c r="B45">
        <v>160</v>
      </c>
      <c r="C45" t="s">
        <v>11</v>
      </c>
      <c r="D45">
        <f>VLOOKUP($B45,[1]Cloetesville!$A:$D,3,FALSE)</f>
        <v>-33.910967879493597</v>
      </c>
      <c r="E45">
        <f>VLOOKUP($B45,[1]Cloetesville!$A:$D,4,FALSE)</f>
        <v>18.856746242519801</v>
      </c>
      <c r="F45">
        <f>VLOOKUP(B45,'col requests'!E$73:G$82,3,FALSE)</f>
        <v>1.38111286028867</v>
      </c>
      <c r="H45">
        <v>0</v>
      </c>
      <c r="I45">
        <v>212</v>
      </c>
      <c r="J45" t="s">
        <v>105</v>
      </c>
      <c r="K45">
        <f>VLOOKUP(I45,[1]Kayamandi2!$A:$D,3,FALSE)</f>
        <v>-33.912734972031998</v>
      </c>
      <c r="L45">
        <f>VLOOKUP(I45,[1]Kayamandi2!$A:$D,4,FALSE)</f>
        <v>18.845150206730398</v>
      </c>
      <c r="M45">
        <f>VLOOKUP(I45,'col requests'!E$83:G$92,3,FALSE)</f>
        <v>1.4713938565179701</v>
      </c>
      <c r="N45" t="e">
        <f>VLOOKUP(I45,'col requests'!H$83:I$92,2,FALSE)</f>
        <v>#N/A</v>
      </c>
    </row>
    <row r="46" spans="1:21">
      <c r="A46">
        <v>0</v>
      </c>
      <c r="B46">
        <v>164</v>
      </c>
      <c r="C46" t="s">
        <v>11</v>
      </c>
      <c r="D46">
        <f>VLOOKUP($B46,[1]Cloetesville!$A:$D,3,FALSE)</f>
        <v>-33.899770420833903</v>
      </c>
      <c r="E46">
        <f>VLOOKUP($B46,[1]Cloetesville!$A:$D,4,FALSE)</f>
        <v>18.858217067161998</v>
      </c>
      <c r="F46">
        <f>VLOOKUP(B46,'col requests'!E$73:G$82,3,FALSE)</f>
        <v>1.4713938565179701</v>
      </c>
      <c r="H46">
        <v>0</v>
      </c>
      <c r="I46">
        <v>209</v>
      </c>
      <c r="J46" t="s">
        <v>105</v>
      </c>
      <c r="K46">
        <f>VLOOKUP(I46,[1]Kayamandi2!$A:$D,3,FALSE)</f>
        <v>-33.917533494370602</v>
      </c>
      <c r="L46">
        <f>VLOOKUP(I46,[1]Kayamandi2!$A:$D,4,FALSE)</f>
        <v>18.846003814997999</v>
      </c>
      <c r="M46">
        <f>VLOOKUP(I46,'col requests'!E$83:G$92,3,FALSE)</f>
        <v>1.48164297959518</v>
      </c>
      <c r="N46" t="e">
        <f>VLOOKUP(I46,'col requests'!H$83:I$92,2,FALSE)</f>
        <v>#N/A</v>
      </c>
    </row>
    <row r="47" spans="1:21">
      <c r="A47">
        <v>0</v>
      </c>
      <c r="B47">
        <v>166</v>
      </c>
      <c r="C47" t="s">
        <v>11</v>
      </c>
      <c r="D47">
        <f>VLOOKUP($B47,[1]Cloetesville!$A:$D,3,FALSE)</f>
        <v>-33.903800852686203</v>
      </c>
      <c r="E47">
        <f>VLOOKUP($B47,[1]Cloetesville!$A:$D,4,FALSE)</f>
        <v>18.856958619683901</v>
      </c>
      <c r="F47">
        <f>VLOOKUP(B47,'col requests'!E$73:G$82,3,FALSE)</f>
        <v>1.38824349832085</v>
      </c>
      <c r="H47">
        <v>0</v>
      </c>
      <c r="I47">
        <v>210</v>
      </c>
      <c r="J47" t="s">
        <v>105</v>
      </c>
      <c r="K47">
        <f>VLOOKUP(I47,[1]Kayamandi2!$A:$D,3,FALSE)</f>
        <v>-33.916567585807002</v>
      </c>
      <c r="L47">
        <f>VLOOKUP(I47,[1]Kayamandi2!$A:$D,4,FALSE)</f>
        <v>18.8452452688873</v>
      </c>
      <c r="M47">
        <f>VLOOKUP(I47,'col requests'!E$83:G$92,3,FALSE)</f>
        <v>1.39625970227536</v>
      </c>
      <c r="N47" t="e">
        <f>VLOOKUP(I47,'col requests'!H$83:I$92,2,FALSE)</f>
        <v>#N/A</v>
      </c>
    </row>
    <row r="48" spans="1:21">
      <c r="A48">
        <v>0</v>
      </c>
      <c r="B48">
        <v>159</v>
      </c>
      <c r="C48" t="s">
        <v>11</v>
      </c>
      <c r="D48">
        <f>VLOOKUP($B48,[1]Cloetesville!$A:$D,3,FALSE)</f>
        <v>-33.916248339322699</v>
      </c>
      <c r="E48">
        <f>VLOOKUP($B48,[1]Cloetesville!$A:$D,4,FALSE)</f>
        <v>18.8439155137788</v>
      </c>
      <c r="F48">
        <f>VLOOKUP(B48,'col requests'!E$73:G$82,3,FALSE)</f>
        <v>1.64063724217248</v>
      </c>
      <c r="H48">
        <v>0</v>
      </c>
      <c r="I48">
        <v>206</v>
      </c>
      <c r="J48" t="s">
        <v>105</v>
      </c>
      <c r="K48">
        <f>VLOOKUP(I48,[1]Kayamandi2!$A:$D,3,FALSE)</f>
        <v>-33.918312407674101</v>
      </c>
      <c r="L48">
        <f>VLOOKUP(I48,[1]Kayamandi2!$A:$D,4,FALSE)</f>
        <v>18.847017005399</v>
      </c>
      <c r="M48">
        <f>VLOOKUP(I48,'col requests'!E$83:G$92,3,FALSE)</f>
        <v>1.51602218763744</v>
      </c>
      <c r="N48" t="e">
        <f>VLOOKUP(I48,'col requests'!H$83:I$92,2,FALSE)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Views>
    <sheetView tabSelected="1" workbookViewId="0">
      <selection activeCell="N15" sqref="N15"/>
    </sheetView>
  </sheetViews>
  <sheetFormatPr defaultRowHeight="13.8"/>
  <cols>
    <col min="1" max="1" width="11.8984375" bestFit="1" customWidth="1"/>
    <col min="2" max="2" width="9.59765625" customWidth="1"/>
    <col min="3" max="3" width="11.59765625" bestFit="1" customWidth="1"/>
    <col min="11" max="11" width="11.59765625" bestFit="1" customWidth="1"/>
    <col min="19" max="19" width="14" customWidth="1"/>
    <col min="24" max="24" width="11.296875" bestFit="1" customWidth="1"/>
  </cols>
  <sheetData>
    <row r="1" spans="1:27">
      <c r="A1" t="s">
        <v>156</v>
      </c>
      <c r="B1" t="s">
        <v>170</v>
      </c>
      <c r="C1" t="s">
        <v>171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</row>
    <row r="2" spans="1:27">
      <c r="A2" t="s">
        <v>46</v>
      </c>
      <c r="B2">
        <v>0</v>
      </c>
      <c r="C2">
        <v>0</v>
      </c>
      <c r="D2">
        <v>6</v>
      </c>
      <c r="E2">
        <v>5</v>
      </c>
      <c r="F2">
        <v>3</v>
      </c>
      <c r="G2">
        <v>13</v>
      </c>
      <c r="H2">
        <v>10</v>
      </c>
      <c r="I2">
        <v>9</v>
      </c>
      <c r="J2">
        <v>11</v>
      </c>
      <c r="K2">
        <v>14</v>
      </c>
      <c r="L2">
        <v>12</v>
      </c>
      <c r="M2">
        <v>2</v>
      </c>
      <c r="N2">
        <v>15</v>
      </c>
      <c r="O2">
        <v>8</v>
      </c>
      <c r="P2">
        <v>7</v>
      </c>
      <c r="Q2">
        <v>4</v>
      </c>
      <c r="R2">
        <v>1</v>
      </c>
      <c r="S2">
        <v>2.3513999999999999</v>
      </c>
    </row>
    <row r="3" spans="1:27">
      <c r="A3" t="s">
        <v>42</v>
      </c>
      <c r="B3">
        <v>2</v>
      </c>
      <c r="C3">
        <v>0</v>
      </c>
      <c r="D3">
        <v>5</v>
      </c>
      <c r="E3">
        <v>13</v>
      </c>
      <c r="F3">
        <v>3</v>
      </c>
      <c r="G3">
        <v>6</v>
      </c>
      <c r="H3">
        <v>11</v>
      </c>
      <c r="I3">
        <v>12</v>
      </c>
      <c r="J3">
        <v>10</v>
      </c>
      <c r="K3">
        <v>8</v>
      </c>
      <c r="L3">
        <v>2</v>
      </c>
      <c r="M3">
        <v>9</v>
      </c>
      <c r="N3">
        <v>14</v>
      </c>
      <c r="O3">
        <v>7</v>
      </c>
      <c r="P3">
        <v>15</v>
      </c>
      <c r="Q3">
        <v>4</v>
      </c>
      <c r="R3">
        <v>1</v>
      </c>
      <c r="S3">
        <v>2.6482999999999999</v>
      </c>
    </row>
    <row r="4" spans="1:27">
      <c r="A4" t="s">
        <v>10</v>
      </c>
      <c r="B4">
        <v>2</v>
      </c>
      <c r="C4">
        <v>0</v>
      </c>
      <c r="D4">
        <v>11</v>
      </c>
      <c r="E4">
        <v>9</v>
      </c>
      <c r="F4">
        <v>14</v>
      </c>
      <c r="G4">
        <v>12</v>
      </c>
      <c r="H4">
        <v>15</v>
      </c>
      <c r="I4">
        <v>7</v>
      </c>
      <c r="J4">
        <v>10</v>
      </c>
      <c r="K4">
        <v>13</v>
      </c>
      <c r="L4">
        <v>6</v>
      </c>
      <c r="M4">
        <v>8</v>
      </c>
      <c r="N4">
        <v>2</v>
      </c>
      <c r="O4">
        <v>4</v>
      </c>
      <c r="P4">
        <v>3</v>
      </c>
      <c r="Q4">
        <v>5</v>
      </c>
      <c r="R4">
        <v>1</v>
      </c>
      <c r="S4">
        <v>2.5390999999999999</v>
      </c>
    </row>
    <row r="5" spans="1:27">
      <c r="A5" t="s">
        <v>35</v>
      </c>
      <c r="B5">
        <v>1</v>
      </c>
      <c r="C5">
        <v>0</v>
      </c>
      <c r="D5">
        <v>3</v>
      </c>
      <c r="E5">
        <v>5</v>
      </c>
      <c r="F5">
        <v>8</v>
      </c>
      <c r="G5">
        <v>10</v>
      </c>
      <c r="H5">
        <v>12</v>
      </c>
      <c r="I5">
        <v>2</v>
      </c>
      <c r="J5">
        <v>4</v>
      </c>
      <c r="K5">
        <v>15</v>
      </c>
      <c r="L5">
        <v>7</v>
      </c>
      <c r="M5">
        <v>14</v>
      </c>
      <c r="N5">
        <v>9</v>
      </c>
      <c r="O5">
        <v>11</v>
      </c>
      <c r="P5">
        <v>13</v>
      </c>
      <c r="Q5">
        <v>6</v>
      </c>
      <c r="R5">
        <v>1</v>
      </c>
      <c r="S5">
        <v>2.6095999999999999</v>
      </c>
    </row>
    <row r="6" spans="1:27">
      <c r="A6" t="s">
        <v>21</v>
      </c>
      <c r="B6">
        <v>1</v>
      </c>
      <c r="C6">
        <v>0</v>
      </c>
      <c r="D6">
        <v>11</v>
      </c>
      <c r="E6">
        <v>12</v>
      </c>
      <c r="F6">
        <v>10</v>
      </c>
      <c r="G6">
        <v>2</v>
      </c>
      <c r="H6">
        <v>9</v>
      </c>
      <c r="I6">
        <v>7</v>
      </c>
      <c r="J6">
        <v>4</v>
      </c>
      <c r="K6">
        <v>8</v>
      </c>
      <c r="L6">
        <v>5</v>
      </c>
      <c r="M6">
        <v>3</v>
      </c>
      <c r="N6">
        <v>6</v>
      </c>
      <c r="O6">
        <v>1</v>
      </c>
      <c r="S6">
        <v>123.9552</v>
      </c>
    </row>
    <row r="7" spans="1:27">
      <c r="A7" t="s">
        <v>50</v>
      </c>
      <c r="B7">
        <v>0</v>
      </c>
      <c r="C7">
        <v>0</v>
      </c>
      <c r="D7">
        <v>11</v>
      </c>
      <c r="E7">
        <v>9</v>
      </c>
      <c r="F7">
        <v>7</v>
      </c>
      <c r="G7">
        <v>15</v>
      </c>
      <c r="H7">
        <v>14</v>
      </c>
      <c r="I7">
        <v>4</v>
      </c>
      <c r="J7">
        <v>13</v>
      </c>
      <c r="K7">
        <v>10</v>
      </c>
      <c r="L7">
        <v>8</v>
      </c>
      <c r="M7">
        <v>12</v>
      </c>
      <c r="N7">
        <v>2</v>
      </c>
      <c r="O7">
        <v>3</v>
      </c>
      <c r="P7">
        <v>6</v>
      </c>
      <c r="Q7">
        <v>5</v>
      </c>
      <c r="R7">
        <v>1</v>
      </c>
      <c r="S7">
        <v>6.2742000000000004</v>
      </c>
    </row>
    <row r="8" spans="1:27">
      <c r="A8" t="s">
        <v>52</v>
      </c>
      <c r="B8">
        <v>2</v>
      </c>
      <c r="C8">
        <v>0</v>
      </c>
      <c r="D8">
        <v>14</v>
      </c>
      <c r="E8">
        <v>15</v>
      </c>
      <c r="F8">
        <v>7</v>
      </c>
      <c r="G8">
        <v>4</v>
      </c>
      <c r="H8">
        <v>8</v>
      </c>
      <c r="I8">
        <v>3</v>
      </c>
      <c r="J8">
        <v>5</v>
      </c>
      <c r="K8">
        <v>13</v>
      </c>
      <c r="L8">
        <v>10</v>
      </c>
      <c r="M8">
        <v>12</v>
      </c>
      <c r="N8">
        <v>2</v>
      </c>
      <c r="O8">
        <v>9</v>
      </c>
      <c r="P8">
        <v>11</v>
      </c>
      <c r="Q8">
        <v>6</v>
      </c>
      <c r="R8">
        <v>1</v>
      </c>
      <c r="S8">
        <v>1.2263999999999999</v>
      </c>
    </row>
    <row r="9" spans="1:27">
      <c r="A9" t="s">
        <v>51</v>
      </c>
      <c r="B9">
        <v>2</v>
      </c>
      <c r="C9">
        <v>0</v>
      </c>
      <c r="D9">
        <v>13</v>
      </c>
      <c r="E9">
        <v>10</v>
      </c>
      <c r="F9">
        <v>8</v>
      </c>
      <c r="G9">
        <v>2</v>
      </c>
      <c r="H9">
        <v>12</v>
      </c>
      <c r="I9">
        <v>11</v>
      </c>
      <c r="J9">
        <v>9</v>
      </c>
      <c r="K9">
        <v>14</v>
      </c>
      <c r="L9">
        <v>15</v>
      </c>
      <c r="M9">
        <v>7</v>
      </c>
      <c r="N9">
        <v>4</v>
      </c>
      <c r="O9">
        <v>5</v>
      </c>
      <c r="P9">
        <v>3</v>
      </c>
      <c r="Q9">
        <v>6</v>
      </c>
      <c r="R9">
        <v>1</v>
      </c>
      <c r="S9">
        <v>2.2037</v>
      </c>
    </row>
    <row r="10" spans="1:27">
      <c r="A10" t="s">
        <v>11</v>
      </c>
      <c r="B10">
        <v>0</v>
      </c>
      <c r="C10">
        <v>0</v>
      </c>
      <c r="D10">
        <v>4</v>
      </c>
      <c r="E10">
        <v>5</v>
      </c>
      <c r="F10">
        <v>6</v>
      </c>
      <c r="G10">
        <v>3</v>
      </c>
      <c r="H10">
        <v>13</v>
      </c>
      <c r="I10">
        <v>12</v>
      </c>
      <c r="J10">
        <v>10</v>
      </c>
      <c r="K10">
        <v>8</v>
      </c>
      <c r="L10">
        <v>2</v>
      </c>
      <c r="M10">
        <v>11</v>
      </c>
      <c r="N10">
        <v>9</v>
      </c>
      <c r="O10">
        <v>14</v>
      </c>
      <c r="P10">
        <v>1</v>
      </c>
      <c r="S10">
        <v>11.028499999999999</v>
      </c>
    </row>
    <row r="11" spans="1:27">
      <c r="A11" t="s">
        <v>11</v>
      </c>
      <c r="B11">
        <v>3</v>
      </c>
      <c r="C11">
        <v>0</v>
      </c>
      <c r="D11">
        <v>15</v>
      </c>
      <c r="E11">
        <v>7</v>
      </c>
      <c r="F11">
        <v>1</v>
      </c>
    </row>
    <row r="12" spans="1:27">
      <c r="A12" t="s">
        <v>105</v>
      </c>
      <c r="B12">
        <v>0</v>
      </c>
      <c r="C12">
        <v>0</v>
      </c>
      <c r="D12">
        <v>14</v>
      </c>
      <c r="E12">
        <v>7</v>
      </c>
      <c r="F12">
        <v>4</v>
      </c>
      <c r="G12">
        <v>15</v>
      </c>
      <c r="H12">
        <v>8</v>
      </c>
      <c r="I12">
        <v>5</v>
      </c>
      <c r="J12">
        <v>3</v>
      </c>
      <c r="K12">
        <v>6</v>
      </c>
      <c r="L12">
        <v>13</v>
      </c>
      <c r="M12">
        <v>10</v>
      </c>
      <c r="N12">
        <v>2</v>
      </c>
      <c r="O12">
        <v>12</v>
      </c>
      <c r="P12">
        <v>11</v>
      </c>
      <c r="Q12">
        <v>1</v>
      </c>
      <c r="S12">
        <v>2429.9897999999998</v>
      </c>
    </row>
    <row r="13" spans="1:27">
      <c r="A13" t="s">
        <v>105</v>
      </c>
      <c r="B13">
        <v>2</v>
      </c>
      <c r="C13">
        <v>0</v>
      </c>
      <c r="D13">
        <v>9</v>
      </c>
      <c r="E13">
        <v>1</v>
      </c>
    </row>
    <row r="16" spans="1:27">
      <c r="A16" t="s">
        <v>152</v>
      </c>
      <c r="B16" t="s">
        <v>116</v>
      </c>
      <c r="C16" t="s">
        <v>151</v>
      </c>
      <c r="D16" t="s">
        <v>118</v>
      </c>
      <c r="E16" t="s">
        <v>111</v>
      </c>
      <c r="F16" t="s">
        <v>119</v>
      </c>
      <c r="H16" t="s">
        <v>152</v>
      </c>
      <c r="I16" t="s">
        <v>116</v>
      </c>
      <c r="J16" t="s">
        <v>151</v>
      </c>
      <c r="K16" t="s">
        <v>118</v>
      </c>
      <c r="L16" t="s">
        <v>111</v>
      </c>
      <c r="M16" t="s">
        <v>119</v>
      </c>
      <c r="P16" t="s">
        <v>116</v>
      </c>
      <c r="Q16" t="s">
        <v>151</v>
      </c>
      <c r="R16" t="s">
        <v>118</v>
      </c>
      <c r="S16" t="s">
        <v>111</v>
      </c>
      <c r="T16" t="s">
        <v>119</v>
      </c>
      <c r="V16" t="s">
        <v>152</v>
      </c>
      <c r="W16" t="s">
        <v>116</v>
      </c>
      <c r="X16" t="s">
        <v>151</v>
      </c>
      <c r="Y16" t="s">
        <v>118</v>
      </c>
      <c r="Z16" t="s">
        <v>111</v>
      </c>
      <c r="AA16" t="s">
        <v>119</v>
      </c>
    </row>
    <row r="17" spans="1:27">
      <c r="A17">
        <v>0</v>
      </c>
      <c r="B17">
        <v>4</v>
      </c>
      <c r="C17" t="s">
        <v>46</v>
      </c>
      <c r="D17">
        <f>VLOOKUP(B17,[1]Uniepark!$A:$D,3,FALSE)</f>
        <v>-33.927951134337697</v>
      </c>
      <c r="E17">
        <f>VLOOKUP(B17,[1]Uniepark!$A:$D,4,FALSE)</f>
        <v>18.882125687391401</v>
      </c>
      <c r="F17">
        <f>VLOOKUP(B17,'col requests'!A$18:C$31,3,FALSE)</f>
        <v>0.98251314985617799</v>
      </c>
      <c r="H17">
        <v>0</v>
      </c>
      <c r="I17">
        <v>3</v>
      </c>
      <c r="J17" t="s">
        <v>42</v>
      </c>
      <c r="K17">
        <f>VLOOKUP($I17,[1]Simonswyk!$A:$D,3,FALSE)</f>
        <v>-33.928480222759298</v>
      </c>
      <c r="L17">
        <f>VLOOKUP($I17,[1]Simonswyk!$A:$D,4,FALSE)</f>
        <v>18.8758328690087</v>
      </c>
      <c r="M17">
        <f>VLOOKUP(I17,'col requests'!A$17:C$30,3,FALSE)</f>
        <v>0.97665571550819397</v>
      </c>
      <c r="O17">
        <v>0</v>
      </c>
      <c r="P17">
        <v>9</v>
      </c>
      <c r="Q17" t="s">
        <v>10</v>
      </c>
      <c r="R17">
        <f>VLOOKUP($P17,[1]Brandwacht!$A:$D,3,FALSE)</f>
        <v>-33.953875349747598</v>
      </c>
      <c r="S17">
        <f>VLOOKUP($P17,[1]Brandwacht!$A:$D,4,FALSE)</f>
        <v>18.874070274754501</v>
      </c>
      <c r="T17">
        <f>VLOOKUP(P17,'col requests'!A$31:C$44,3,0)</f>
        <v>1.03977184960788</v>
      </c>
      <c r="V17">
        <v>0</v>
      </c>
      <c r="W17">
        <v>1</v>
      </c>
      <c r="X17" t="s">
        <v>35</v>
      </c>
      <c r="Y17">
        <f>VLOOKUP($W17,[1]Paradyskloof!$A:$D,3,FALSE)</f>
        <v>-33.962913743990697</v>
      </c>
      <c r="Z17">
        <f>VLOOKUP($W17,[1]Paradyskloof!$A:$D,4,FALSE)</f>
        <v>18.8513523559178</v>
      </c>
      <c r="AA17">
        <f>VLOOKUP(W17,'col requests'!A$45:C$58,3,FALSE)</f>
        <v>1.0368313596232099</v>
      </c>
    </row>
    <row r="18" spans="1:27">
      <c r="A18">
        <v>0</v>
      </c>
      <c r="B18">
        <v>3</v>
      </c>
      <c r="C18" t="s">
        <v>46</v>
      </c>
      <c r="D18">
        <f>VLOOKUP(B18,[1]Uniepark!$A:$D,3,FALSE)</f>
        <v>-33.931232088037603</v>
      </c>
      <c r="E18">
        <f>VLOOKUP(B18,[1]Uniepark!$A:$D,4,FALSE)</f>
        <v>18.883822168908001</v>
      </c>
      <c r="F18">
        <f>VLOOKUP(B18,'col requests'!A$18:C$31,3,FALSE)</f>
        <v>0.97665571550819397</v>
      </c>
      <c r="H18">
        <v>0</v>
      </c>
      <c r="I18">
        <v>11</v>
      </c>
      <c r="J18" t="s">
        <v>42</v>
      </c>
      <c r="K18">
        <f>VLOOKUP($I18,[1]Simonswyk!$A:$D,3,FALSE)</f>
        <v>-33.926867361920898</v>
      </c>
      <c r="L18">
        <f>VLOOKUP($I18,[1]Simonswyk!$A:$D,4,FALSE)</f>
        <v>18.8757339599922</v>
      </c>
      <c r="M18">
        <f>VLOOKUP(I18,'col requests'!A$17:C$30,3,FALSE)</f>
        <v>0.99401018040642897</v>
      </c>
      <c r="O18">
        <v>0</v>
      </c>
      <c r="P18">
        <v>7</v>
      </c>
      <c r="Q18" t="s">
        <v>10</v>
      </c>
      <c r="R18">
        <f>VLOOKUP($P18,[1]Brandwacht!$A:$D,3,FALSE)</f>
        <v>-33.955495569692999</v>
      </c>
      <c r="S18">
        <f>VLOOKUP($P18,[1]Brandwacht!$A:$D,4,FALSE)</f>
        <v>18.874760754725202</v>
      </c>
      <c r="T18">
        <f>VLOOKUP(P18,'col requests'!A$31:C$44,3,0)</f>
        <v>1.03666458485701</v>
      </c>
      <c r="V18">
        <v>0</v>
      </c>
      <c r="W18">
        <v>3</v>
      </c>
      <c r="X18" t="s">
        <v>35</v>
      </c>
      <c r="Y18">
        <f>VLOOKUP($W18,[1]Paradyskloof!$A:$D,3,FALSE)</f>
        <v>-33.964836024387097</v>
      </c>
      <c r="Z18">
        <f>VLOOKUP($W18,[1]Paradyskloof!$A:$D,4,FALSE)</f>
        <v>18.851689727393001</v>
      </c>
      <c r="AA18">
        <f>VLOOKUP(W18,'col requests'!A$45:C$58,3,FALSE)</f>
        <v>0.97665571550819397</v>
      </c>
    </row>
    <row r="19" spans="1:27">
      <c r="A19">
        <v>0</v>
      </c>
      <c r="B19">
        <v>1</v>
      </c>
      <c r="C19" t="s">
        <v>46</v>
      </c>
      <c r="D19">
        <f>VLOOKUP(B19,[1]Uniepark!$A:$D,3,FALSE)</f>
        <v>-33.929716461482101</v>
      </c>
      <c r="E19">
        <f>VLOOKUP(B19,[1]Uniepark!$A:$D,4,FALSE)</f>
        <v>18.883510883195299</v>
      </c>
      <c r="F19">
        <f>VLOOKUP(B19,'col requests'!A$18:C$31,3,FALSE)</f>
        <v>1.0368313596232099</v>
      </c>
      <c r="H19">
        <v>0</v>
      </c>
      <c r="I19">
        <v>1</v>
      </c>
      <c r="J19" t="s">
        <v>42</v>
      </c>
      <c r="K19">
        <f>VLOOKUP($I19,[1]Simonswyk!$A:$D,3,FALSE)</f>
        <v>-33.927268041894997</v>
      </c>
      <c r="L19">
        <f>VLOOKUP($I19,[1]Simonswyk!$A:$D,4,FALSE)</f>
        <v>18.875581945684601</v>
      </c>
      <c r="M19">
        <f>VLOOKUP(I19,'col requests'!A$17:C$30,3,FALSE)</f>
        <v>1.0368313596232099</v>
      </c>
      <c r="O19">
        <v>0</v>
      </c>
      <c r="P19">
        <v>12</v>
      </c>
      <c r="Q19" t="s">
        <v>10</v>
      </c>
      <c r="R19">
        <f>VLOOKUP($P19,[1]Brandwacht!$A:$D,3,FALSE)</f>
        <v>-33.957616829866303</v>
      </c>
      <c r="S19">
        <f>VLOOKUP($P19,[1]Brandwacht!$A:$D,4,FALSE)</f>
        <v>18.874460937439199</v>
      </c>
      <c r="T19">
        <f>VLOOKUP(P19,'col requests'!A$31:C$44,3,0)</f>
        <v>1.0460698874954</v>
      </c>
      <c r="V19">
        <v>0</v>
      </c>
      <c r="W19">
        <v>6</v>
      </c>
      <c r="X19" t="s">
        <v>35</v>
      </c>
      <c r="Y19">
        <f>VLOOKUP($W19,[1]Paradyskloof!$A:$D,3,FALSE)</f>
        <v>-33.965002944197501</v>
      </c>
      <c r="Z19">
        <f>VLOOKUP($W19,[1]Paradyskloof!$A:$D,4,FALSE)</f>
        <v>18.854210115421299</v>
      </c>
      <c r="AA19">
        <f>VLOOKUP(W19,'col requests'!A$45:C$58,3,FALSE)</f>
        <v>0.99751683696509597</v>
      </c>
    </row>
    <row r="20" spans="1:27">
      <c r="A20">
        <v>0</v>
      </c>
      <c r="B20">
        <v>11</v>
      </c>
      <c r="C20" t="s">
        <v>46</v>
      </c>
      <c r="D20">
        <f>VLOOKUP(B20,[1]Uniepark!$A:$D,3,FALSE)</f>
        <v>-33.9292154791396</v>
      </c>
      <c r="E20">
        <f>VLOOKUP(B20,[1]Uniepark!$A:$D,4,FALSE)</f>
        <v>18.8836994662305</v>
      </c>
      <c r="F20">
        <f>VLOOKUP(B20,'col requests'!A$18:C$31,3,FALSE)</f>
        <v>0.99401018040642897</v>
      </c>
      <c r="H20">
        <v>0</v>
      </c>
      <c r="I20">
        <v>4</v>
      </c>
      <c r="J20" t="s">
        <v>42</v>
      </c>
      <c r="K20">
        <f>VLOOKUP($I20,[1]Simonswyk!$A:$D,3,FALSE)</f>
        <v>-33.925856153342401</v>
      </c>
      <c r="L20">
        <f>VLOOKUP($I20,[1]Simonswyk!$A:$D,4,FALSE)</f>
        <v>18.874465357542199</v>
      </c>
      <c r="M20">
        <f>VLOOKUP(I20,'col requests'!A$17:C$30,3,FALSE)</f>
        <v>0.98251314985617799</v>
      </c>
      <c r="O20">
        <v>0</v>
      </c>
      <c r="P20">
        <v>10</v>
      </c>
      <c r="Q20" t="s">
        <v>10</v>
      </c>
      <c r="R20">
        <f>VLOOKUP($P20,[1]Brandwacht!$A:$D,3,FALSE)</f>
        <v>-33.955154960871297</v>
      </c>
      <c r="S20">
        <f>VLOOKUP($P20,[1]Brandwacht!$A:$D,4,FALSE)</f>
        <v>18.866385909458899</v>
      </c>
      <c r="T20">
        <f>VLOOKUP(P20,'col requests'!A$31:C$44,3,0)</f>
        <v>0.98997341495254698</v>
      </c>
      <c r="V20">
        <v>0</v>
      </c>
      <c r="W20">
        <v>8</v>
      </c>
      <c r="X20" t="s">
        <v>35</v>
      </c>
      <c r="Y20">
        <f>VLOOKUP($W20,[1]Paradyskloof!$A:$D,3,FALSE)</f>
        <v>-33.963885656705003</v>
      </c>
      <c r="Z20">
        <f>VLOOKUP($W20,[1]Paradyskloof!$A:$D,4,FALSE)</f>
        <v>18.854498323564201</v>
      </c>
      <c r="AA20">
        <f>VLOOKUP(W20,'col requests'!A$45:C$58,3,FALSE)</f>
        <v>0.94921825203251398</v>
      </c>
    </row>
    <row r="21" spans="1:27">
      <c r="A21">
        <v>0</v>
      </c>
      <c r="B21">
        <v>8</v>
      </c>
      <c r="C21" t="s">
        <v>46</v>
      </c>
      <c r="D21">
        <f>VLOOKUP(B21,[1]Uniepark!$A:$D,3,FALSE)</f>
        <v>-33.930482768375803</v>
      </c>
      <c r="E21">
        <f>VLOOKUP(B21,[1]Uniepark!$A:$D,4,FALSE)</f>
        <v>18.8864136027582</v>
      </c>
      <c r="F21">
        <f>VLOOKUP(B21,'col requests'!A$18:C$31,3,FALSE)</f>
        <v>0.94921825203251398</v>
      </c>
      <c r="H21">
        <v>0</v>
      </c>
      <c r="I21">
        <v>9</v>
      </c>
      <c r="J21" t="s">
        <v>42</v>
      </c>
      <c r="K21">
        <f>VLOOKUP($I21,[1]Simonswyk!$A:$D,3,FALSE)</f>
        <v>-33.926770343238601</v>
      </c>
      <c r="L21">
        <f>VLOOKUP($I21,[1]Simonswyk!$A:$D,4,FALSE)</f>
        <v>18.881514298513299</v>
      </c>
      <c r="M21">
        <f>VLOOKUP(I21,'col requests'!A$17:C$30,3,FALSE)</f>
        <v>1.03977184960788</v>
      </c>
      <c r="O21">
        <v>0</v>
      </c>
      <c r="P21">
        <v>13</v>
      </c>
      <c r="Q21" t="s">
        <v>10</v>
      </c>
      <c r="R21">
        <f>VLOOKUP($P21,[1]Brandwacht!$A:$D,3,FALSE)</f>
        <v>-33.958087413191798</v>
      </c>
      <c r="S21">
        <f>VLOOKUP($P21,[1]Brandwacht!$A:$D,4,FALSE)</f>
        <v>18.867934863967999</v>
      </c>
      <c r="T21">
        <f>VLOOKUP(P21,'col requests'!A$31:C$44,3,0)</f>
        <v>1.0518704029877699</v>
      </c>
      <c r="V21">
        <v>0</v>
      </c>
      <c r="W21">
        <v>10</v>
      </c>
      <c r="X21" t="s">
        <v>35</v>
      </c>
      <c r="Y21">
        <f>VLOOKUP($W21,[1]Paradyskloof!$A:$D,3,FALSE)</f>
        <v>-33.963538798857698</v>
      </c>
      <c r="Z21">
        <f>VLOOKUP($W21,[1]Paradyskloof!$A:$D,4,FALSE)</f>
        <v>18.855154883726598</v>
      </c>
      <c r="AA21">
        <f>VLOOKUP(W21,'col requests'!A$45:C$58,3,FALSE)</f>
        <v>0.98997341495254698</v>
      </c>
    </row>
    <row r="22" spans="1:27">
      <c r="A22">
        <v>0</v>
      </c>
      <c r="B22">
        <v>7</v>
      </c>
      <c r="C22" t="s">
        <v>46</v>
      </c>
      <c r="D22">
        <f>VLOOKUP(B22,[1]Uniepark!$A:$D,3,FALSE)</f>
        <v>-33.9305061101417</v>
      </c>
      <c r="E22">
        <f>VLOOKUP(B22,[1]Uniepark!$A:$D,4,FALSE)</f>
        <v>18.891216355450101</v>
      </c>
      <c r="F22">
        <f>VLOOKUP(B22,'col requests'!A$18:C$31,3,FALSE)</f>
        <v>1.03666458485701</v>
      </c>
      <c r="H22">
        <v>0</v>
      </c>
      <c r="I22">
        <v>10</v>
      </c>
      <c r="J22" t="s">
        <v>42</v>
      </c>
      <c r="K22">
        <f>VLOOKUP($I22,[1]Simonswyk!$A:$D,3,FALSE)</f>
        <v>-33.927662198517801</v>
      </c>
      <c r="L22">
        <f>VLOOKUP($I22,[1]Simonswyk!$A:$D,4,FALSE)</f>
        <v>18.8784101128185</v>
      </c>
      <c r="M22">
        <f>VLOOKUP(I22,'col requests'!A$17:C$30,3,FALSE)</f>
        <v>0.98997341495254698</v>
      </c>
      <c r="O22">
        <v>0</v>
      </c>
      <c r="P22">
        <v>5</v>
      </c>
      <c r="Q22" t="s">
        <v>10</v>
      </c>
      <c r="R22">
        <f>VLOOKUP($P22,[1]Brandwacht!$A:$D,3,FALSE)</f>
        <v>-33.958416223278398</v>
      </c>
      <c r="S22">
        <f>VLOOKUP($P22,[1]Brandwacht!$A:$D,4,FALSE)</f>
        <v>18.8682177176563</v>
      </c>
      <c r="T22">
        <f>VLOOKUP(P22,'col requests'!A$31:C$44,3,0)</f>
        <v>1.0930693273785601</v>
      </c>
      <c r="V22">
        <v>0</v>
      </c>
      <c r="W22">
        <v>0</v>
      </c>
      <c r="X22" t="s">
        <v>35</v>
      </c>
      <c r="Y22">
        <f>VLOOKUP($W22,[1]Paradyskloof!$A:$D,3,FALSE)</f>
        <v>-33.964103482266701</v>
      </c>
      <c r="Z22">
        <f>VLOOKUP($W22,[1]Paradyskloof!$A:$D,4,FALSE)</f>
        <v>18.855042954120002</v>
      </c>
      <c r="AA22">
        <f>VLOOKUP(W22,'col requests'!A$45:C$58,3,FALSE)</f>
        <v>1.1289384054824101</v>
      </c>
    </row>
    <row r="23" spans="1:27">
      <c r="A23">
        <v>0</v>
      </c>
      <c r="B23">
        <v>9</v>
      </c>
      <c r="C23" t="s">
        <v>46</v>
      </c>
      <c r="D23">
        <f>VLOOKUP(B23,[1]Uniepark!$A:$D,3,FALSE)</f>
        <v>-33.929094173734001</v>
      </c>
      <c r="E23">
        <f>VLOOKUP(B23,[1]Uniepark!$A:$D,4,FALSE)</f>
        <v>18.890870329291001</v>
      </c>
      <c r="F23">
        <f>VLOOKUP(B23,'col requests'!A$18:C$31,3,FALSE)</f>
        <v>1.03977184960788</v>
      </c>
      <c r="H23">
        <v>0</v>
      </c>
      <c r="I23">
        <v>8</v>
      </c>
      <c r="J23" t="s">
        <v>42</v>
      </c>
      <c r="K23">
        <f>VLOOKUP($I23,[1]Simonswyk!$A:$D,3,FALSE)</f>
        <v>-33.927880925424503</v>
      </c>
      <c r="L23">
        <f>VLOOKUP($I23,[1]Simonswyk!$A:$D,4,FALSE)</f>
        <v>18.877921789796002</v>
      </c>
      <c r="M23">
        <f>VLOOKUP(I23,'col requests'!A$17:C$30,3,FALSE)</f>
        <v>0.94921825203251398</v>
      </c>
      <c r="O23">
        <v>0</v>
      </c>
      <c r="P23">
        <v>8</v>
      </c>
      <c r="Q23" t="s">
        <v>10</v>
      </c>
      <c r="R23">
        <f>VLOOKUP($P23,[1]Brandwacht!$A:$D,3,FALSE)</f>
        <v>-33.955468784637802</v>
      </c>
      <c r="S23">
        <f>VLOOKUP($P23,[1]Brandwacht!$A:$D,4,FALSE)</f>
        <v>18.865177073114602</v>
      </c>
      <c r="T23">
        <f>VLOOKUP(P23,'col requests'!A$31:C$44,3,0)</f>
        <v>0.94921825203251398</v>
      </c>
      <c r="V23">
        <v>0</v>
      </c>
      <c r="W23">
        <v>2</v>
      </c>
      <c r="X23" t="s">
        <v>35</v>
      </c>
      <c r="Y23">
        <f>VLOOKUP($W23,[1]Paradyskloof!$A:$D,3,FALSE)</f>
        <v>-33.966654339288198</v>
      </c>
      <c r="Z23">
        <f>VLOOKUP($W23,[1]Paradyskloof!$A:$D,4,FALSE)</f>
        <v>18.855000312296401</v>
      </c>
      <c r="AA23">
        <f>VLOOKUP(W23,'col requests'!A$45:C$58,3,FALSE)</f>
        <v>1.1148797950234099</v>
      </c>
    </row>
    <row r="24" spans="1:27">
      <c r="A24">
        <v>0</v>
      </c>
      <c r="B24">
        <v>12</v>
      </c>
      <c r="C24" t="s">
        <v>46</v>
      </c>
      <c r="D24">
        <f>VLOOKUP(B24,[1]Uniepark!$A:$D,3,FALSE)</f>
        <v>-33.932354676737397</v>
      </c>
      <c r="E24">
        <f>VLOOKUP(B24,[1]Uniepark!$A:$D,4,FALSE)</f>
        <v>18.891066105438</v>
      </c>
      <c r="F24">
        <f>VLOOKUP(B24,'col requests'!A$18:C$31,3,FALSE)</f>
        <v>1.0460698874954</v>
      </c>
      <c r="H24">
        <v>0</v>
      </c>
      <c r="I24">
        <v>6</v>
      </c>
      <c r="J24" t="s">
        <v>42</v>
      </c>
      <c r="K24">
        <f>VLOOKUP($I24,[1]Simonswyk!$A:$D,3,FALSE)</f>
        <v>-33.928585481596897</v>
      </c>
      <c r="L24">
        <f>VLOOKUP($I24,[1]Simonswyk!$A:$D,4,FALSE)</f>
        <v>18.877707432179498</v>
      </c>
      <c r="M24">
        <f>VLOOKUP(I24,'col requests'!A$17:C$30,3,FALSE)</f>
        <v>0.99751683696509597</v>
      </c>
      <c r="O24">
        <v>0</v>
      </c>
      <c r="P24">
        <v>11</v>
      </c>
      <c r="Q24" t="s">
        <v>10</v>
      </c>
      <c r="R24">
        <f>VLOOKUP($P24,[1]Brandwacht!$A:$D,3,FALSE)</f>
        <v>-33.954014549669402</v>
      </c>
      <c r="S24">
        <f>VLOOKUP($P24,[1]Brandwacht!$A:$D,4,FALSE)</f>
        <v>18.859761133132299</v>
      </c>
      <c r="T24">
        <f>VLOOKUP(P24,'col requests'!A$31:C$44,3,0)</f>
        <v>0.99401018040642897</v>
      </c>
      <c r="V24">
        <v>0</v>
      </c>
      <c r="W24">
        <v>13</v>
      </c>
      <c r="X24" t="s">
        <v>35</v>
      </c>
      <c r="Y24">
        <f>VLOOKUP($W24,[1]Paradyskloof!$A:$D,3,FALSE)</f>
        <v>-33.966779930369903</v>
      </c>
      <c r="Z24">
        <f>VLOOKUP($W24,[1]Paradyskloof!$A:$D,4,FALSE)</f>
        <v>18.855996173640602</v>
      </c>
      <c r="AA24">
        <f>VLOOKUP(W24,'col requests'!A$45:C$58,3,FALSE)</f>
        <v>1.0518704029877699</v>
      </c>
    </row>
    <row r="25" spans="1:27">
      <c r="A25">
        <v>0</v>
      </c>
      <c r="B25">
        <v>10</v>
      </c>
      <c r="C25" t="s">
        <v>46</v>
      </c>
      <c r="D25">
        <f>VLOOKUP(B25,[1]Uniepark!$A:$D,3,FALSE)</f>
        <v>-33.930209287480302</v>
      </c>
      <c r="E25">
        <f>VLOOKUP(B25,[1]Uniepark!$A:$D,4,FALSE)</f>
        <v>18.887019397299699</v>
      </c>
      <c r="F25">
        <f>VLOOKUP(B25,'col requests'!A$18:C$31,3,FALSE)</f>
        <v>0.98997341495254698</v>
      </c>
      <c r="H25">
        <v>0</v>
      </c>
      <c r="I25">
        <v>0</v>
      </c>
      <c r="J25" t="s">
        <v>42</v>
      </c>
      <c r="K25">
        <f>VLOOKUP($I25,[1]Simonswyk!$A:$D,3,FALSE)</f>
        <v>-33.928018285186504</v>
      </c>
      <c r="L25">
        <f>VLOOKUP($I25,[1]Simonswyk!$A:$D,4,FALSE)</f>
        <v>18.878326864082201</v>
      </c>
      <c r="M25">
        <f>VLOOKUP(I25,'col requests'!A$17:C$30,3,FALSE)</f>
        <v>1.1289384054824101</v>
      </c>
      <c r="O25">
        <v>0</v>
      </c>
      <c r="P25">
        <v>4</v>
      </c>
      <c r="Q25" t="s">
        <v>10</v>
      </c>
      <c r="R25">
        <f>VLOOKUP($P25,[1]Brandwacht!$A:$D,3,FALSE)</f>
        <v>-33.952563693487399</v>
      </c>
      <c r="S25">
        <f>VLOOKUP($P25,[1]Brandwacht!$A:$D,4,FALSE)</f>
        <v>18.856620726726501</v>
      </c>
      <c r="T25">
        <f>VLOOKUP(P25,'col requests'!A$31:C$44,3,0)</f>
        <v>0.98251314985617799</v>
      </c>
      <c r="V25">
        <v>0</v>
      </c>
      <c r="W25">
        <v>5</v>
      </c>
      <c r="X25" t="s">
        <v>35</v>
      </c>
      <c r="Y25">
        <f>VLOOKUP($W25,[1]Paradyskloof!$A:$D,3,FALSE)</f>
        <v>-33.967143352044602</v>
      </c>
      <c r="Z25">
        <f>VLOOKUP($W25,[1]Paradyskloof!$A:$D,4,FALSE)</f>
        <v>18.8561498011059</v>
      </c>
      <c r="AA25">
        <f>VLOOKUP(W25,'col requests'!A$45:C$58,3,FALSE)</f>
        <v>1.0930693273785601</v>
      </c>
    </row>
    <row r="26" spans="1:27">
      <c r="A26">
        <v>0</v>
      </c>
      <c r="B26">
        <v>0</v>
      </c>
      <c r="C26" t="s">
        <v>46</v>
      </c>
      <c r="D26">
        <f>VLOOKUP(B26,[1]Uniepark!$A:$D,3,FALSE)</f>
        <v>-33.930654513458599</v>
      </c>
      <c r="E26">
        <f>VLOOKUP(B26,[1]Uniepark!$A:$D,4,FALSE)</f>
        <v>18.886916122156499</v>
      </c>
      <c r="F26">
        <f>VLOOKUP(B26,'col requests'!A$18:C$31,3,FALSE)</f>
        <v>1.1289384054824101</v>
      </c>
      <c r="H26">
        <v>0</v>
      </c>
      <c r="I26">
        <v>7</v>
      </c>
      <c r="J26" t="s">
        <v>42</v>
      </c>
      <c r="K26">
        <f>VLOOKUP($I26,[1]Simonswyk!$A:$D,3,FALSE)</f>
        <v>-33.927899593903099</v>
      </c>
      <c r="L26">
        <f>VLOOKUP($I26,[1]Simonswyk!$A:$D,4,FALSE)</f>
        <v>18.881793225654999</v>
      </c>
      <c r="M26">
        <f>VLOOKUP(I26,'col requests'!A$17:C$30,3,FALSE)</f>
        <v>1.03666458485701</v>
      </c>
      <c r="O26">
        <v>0</v>
      </c>
      <c r="P26">
        <v>6</v>
      </c>
      <c r="Q26" t="s">
        <v>10</v>
      </c>
      <c r="R26">
        <f>VLOOKUP($P26,[1]Brandwacht!$A:$D,3,FALSE)</f>
        <v>-33.956479663797701</v>
      </c>
      <c r="S26">
        <f>VLOOKUP($P26,[1]Brandwacht!$A:$D,4,FALSE)</f>
        <v>18.864646434038601</v>
      </c>
      <c r="T26">
        <f>VLOOKUP(P26,'col requests'!A$31:C$44,3,0)</f>
        <v>0.99751683696509597</v>
      </c>
      <c r="V26">
        <v>0</v>
      </c>
      <c r="W26">
        <v>12</v>
      </c>
      <c r="X26" t="s">
        <v>35</v>
      </c>
      <c r="Y26">
        <f>VLOOKUP($W26,[1]Paradyskloof!$A:$D,3,FALSE)</f>
        <v>-33.966259811957499</v>
      </c>
      <c r="Z26">
        <f>VLOOKUP($W26,[1]Paradyskloof!$A:$D,4,FALSE)</f>
        <v>18.859540706263601</v>
      </c>
      <c r="AA26">
        <f>VLOOKUP(W26,'col requests'!A$45:C$58,3,FALSE)</f>
        <v>1.0460698874954</v>
      </c>
    </row>
    <row r="27" spans="1:27">
      <c r="A27">
        <v>0</v>
      </c>
      <c r="B27">
        <v>13</v>
      </c>
      <c r="C27" t="s">
        <v>46</v>
      </c>
      <c r="D27">
        <f>VLOOKUP(B27,[1]Uniepark!$A:$D,3,FALSE)</f>
        <v>-33.932764765338099</v>
      </c>
      <c r="E27">
        <f>VLOOKUP(B27,[1]Uniepark!$A:$D,4,FALSE)</f>
        <v>18.887795638178702</v>
      </c>
      <c r="F27">
        <f>VLOOKUP(B27,'col requests'!A$18:C$31,3,FALSE)</f>
        <v>1.0518704029877699</v>
      </c>
      <c r="H27">
        <v>0</v>
      </c>
      <c r="I27">
        <v>12</v>
      </c>
      <c r="J27" t="s">
        <v>42</v>
      </c>
      <c r="K27">
        <f>VLOOKUP($I27,[1]Simonswyk!$A:$D,3,FALSE)</f>
        <v>-33.929378056421299</v>
      </c>
      <c r="L27">
        <f>VLOOKUP($I27,[1]Simonswyk!$A:$D,4,FALSE)</f>
        <v>18.881672111093899</v>
      </c>
      <c r="M27">
        <f>VLOOKUP(I27,'col requests'!A$17:C$30,3,FALSE)</f>
        <v>1.0460698874954</v>
      </c>
      <c r="O27">
        <v>0</v>
      </c>
      <c r="P27">
        <v>0</v>
      </c>
      <c r="Q27" t="s">
        <v>10</v>
      </c>
      <c r="R27">
        <f>VLOOKUP($P27,[1]Brandwacht!$A:$D,3,FALSE)</f>
        <v>-33.955665864907999</v>
      </c>
      <c r="S27">
        <f>VLOOKUP($P27,[1]Brandwacht!$A:$D,4,FALSE)</f>
        <v>18.8661798284563</v>
      </c>
      <c r="T27">
        <f>VLOOKUP(P27,'col requests'!A$31:C$44,3,0)</f>
        <v>1.1289384054824101</v>
      </c>
      <c r="V27">
        <v>0</v>
      </c>
      <c r="W27">
        <v>7</v>
      </c>
      <c r="X27" t="s">
        <v>35</v>
      </c>
      <c r="Y27">
        <f>VLOOKUP($W27,[1]Paradyskloof!$A:$D,3,FALSE)</f>
        <v>-33.963915261239599</v>
      </c>
      <c r="Z27">
        <f>VLOOKUP($W27,[1]Paradyskloof!$A:$D,4,FALSE)</f>
        <v>18.859703547236201</v>
      </c>
      <c r="AA27">
        <f>VLOOKUP(W27,'col requests'!A$45:C$58,3,FALSE)</f>
        <v>1.03666458485701</v>
      </c>
    </row>
    <row r="28" spans="1:27">
      <c r="A28">
        <v>0</v>
      </c>
      <c r="B28">
        <v>6</v>
      </c>
      <c r="C28" t="s">
        <v>46</v>
      </c>
      <c r="D28">
        <f>VLOOKUP(B28,[1]Uniepark!$A:$D,3,FALSE)</f>
        <v>-33.931363696359497</v>
      </c>
      <c r="E28">
        <f>VLOOKUP(B28,[1]Uniepark!$A:$D,4,FALSE)</f>
        <v>18.886147679039698</v>
      </c>
      <c r="F28">
        <f>VLOOKUP(B28,'col requests'!A$18:C$31,3,FALSE)</f>
        <v>0.99751683696509597</v>
      </c>
      <c r="H28">
        <v>0</v>
      </c>
      <c r="I28">
        <v>5</v>
      </c>
      <c r="J28" t="s">
        <v>42</v>
      </c>
      <c r="K28">
        <f>VLOOKUP($I28,[1]Simonswyk!$A:$D,3,FALSE)</f>
        <v>-33.929935212592902</v>
      </c>
      <c r="L28">
        <f>VLOOKUP($I28,[1]Simonswyk!$A:$D,4,FALSE)</f>
        <v>18.879150092320199</v>
      </c>
      <c r="M28">
        <f>VLOOKUP(I28,'col requests'!A$17:C$30,3,FALSE)</f>
        <v>1.0930693273785601</v>
      </c>
      <c r="O28">
        <v>0</v>
      </c>
      <c r="P28">
        <v>2</v>
      </c>
      <c r="Q28" t="s">
        <v>10</v>
      </c>
      <c r="R28">
        <f>VLOOKUP($P28,[1]Brandwacht!$A:$D,3,FALSE)</f>
        <v>-33.9579737831655</v>
      </c>
      <c r="S28">
        <f>VLOOKUP($P28,[1]Brandwacht!$A:$D,4,FALSE)</f>
        <v>18.866101317774302</v>
      </c>
      <c r="T28">
        <f>VLOOKUP(P28,'col requests'!A$31:C$44,3,0)</f>
        <v>1.1148797950234099</v>
      </c>
      <c r="V28">
        <v>0</v>
      </c>
      <c r="W28">
        <v>9</v>
      </c>
      <c r="X28" t="s">
        <v>35</v>
      </c>
      <c r="Y28">
        <f>VLOOKUP($W28,[1]Paradyskloof!$A:$D,3,FALSE)</f>
        <v>-33.962124491826302</v>
      </c>
      <c r="Z28">
        <f>VLOOKUP($W28,[1]Paradyskloof!$A:$D,4,FALSE)</f>
        <v>18.859328524062999</v>
      </c>
      <c r="AA28">
        <f>VLOOKUP(W28,'col requests'!A$45:C$58,3,FALSE)</f>
        <v>1.03977184960788</v>
      </c>
    </row>
    <row r="29" spans="1:27">
      <c r="A29">
        <v>0</v>
      </c>
      <c r="B29">
        <v>5</v>
      </c>
      <c r="C29" t="s">
        <v>46</v>
      </c>
      <c r="D29">
        <f>VLOOKUP(B29,[1]Uniepark!$A:$D,3,FALSE)</f>
        <v>-33.933051306022797</v>
      </c>
      <c r="E29">
        <f>VLOOKUP(B29,[1]Uniepark!$A:$D,4,FALSE)</f>
        <v>18.887937387077301</v>
      </c>
      <c r="F29">
        <f>VLOOKUP(B29,'col requests'!A$18:C$31,3,FALSE)</f>
        <v>1.0930693273785601</v>
      </c>
      <c r="H29">
        <v>0</v>
      </c>
      <c r="I29">
        <v>13</v>
      </c>
      <c r="J29" t="s">
        <v>42</v>
      </c>
      <c r="K29">
        <f>VLOOKUP($I29,[1]Simonswyk!$A:$D,3,FALSE)</f>
        <v>-33.9297060406154</v>
      </c>
      <c r="L29">
        <f>VLOOKUP($I29,[1]Simonswyk!$A:$D,4,FALSE)</f>
        <v>18.879035830394901</v>
      </c>
      <c r="M29">
        <f>VLOOKUP(I29,'col requests'!A$17:C$30,3,FALSE)</f>
        <v>1.0518704029877699</v>
      </c>
      <c r="O29">
        <v>0</v>
      </c>
      <c r="P29">
        <v>1</v>
      </c>
      <c r="Q29" t="s">
        <v>10</v>
      </c>
      <c r="R29">
        <f>VLOOKUP($P29,[1]Brandwacht!$A:$D,3,FALSE)</f>
        <v>-33.954589435039097</v>
      </c>
      <c r="S29">
        <f>VLOOKUP($P29,[1]Brandwacht!$A:$D,4,FALSE)</f>
        <v>18.8593848239857</v>
      </c>
      <c r="T29">
        <f>VLOOKUP(P29,'col requests'!A$31:C$44,3,0)</f>
        <v>1.0368313596232099</v>
      </c>
      <c r="V29">
        <v>0</v>
      </c>
      <c r="W29">
        <v>11</v>
      </c>
      <c r="X29" t="s">
        <v>35</v>
      </c>
      <c r="Y29">
        <f>VLOOKUP($W29,[1]Paradyskloof!$A:$D,3,FALSE)</f>
        <v>-33.962278344371498</v>
      </c>
      <c r="Z29">
        <f>VLOOKUP($W29,[1]Paradyskloof!$A:$D,4,FALSE)</f>
        <v>18.851556742223401</v>
      </c>
      <c r="AA29">
        <f>VLOOKUP(W29,'col requests'!A$45:C$58,3,FALSE)</f>
        <v>0.99401018040642897</v>
      </c>
    </row>
    <row r="30" spans="1:27">
      <c r="A30">
        <v>0</v>
      </c>
      <c r="B30">
        <v>2</v>
      </c>
      <c r="C30" t="s">
        <v>46</v>
      </c>
      <c r="D30">
        <f>VLOOKUP(B30,[1]Uniepark!$A:$D,3,FALSE)</f>
        <v>-33.9326657427507</v>
      </c>
      <c r="E30">
        <f>VLOOKUP(B30,[1]Uniepark!$A:$D,4,FALSE)</f>
        <v>18.886876777424</v>
      </c>
      <c r="F30">
        <f>VLOOKUP(B30,'col requests'!A$18:C$31,3,FALSE)</f>
        <v>1.1148797950234099</v>
      </c>
      <c r="H30">
        <v>0</v>
      </c>
      <c r="I30">
        <v>2</v>
      </c>
      <c r="J30" t="s">
        <v>42</v>
      </c>
      <c r="K30">
        <f>VLOOKUP($I30,[1]Simonswyk!$A:$D,3,FALSE)</f>
        <v>-33.929626843477301</v>
      </c>
      <c r="L30">
        <f>VLOOKUP($I30,[1]Simonswyk!$A:$D,4,FALSE)</f>
        <v>18.8782951488101</v>
      </c>
      <c r="M30">
        <f>VLOOKUP(I30,'col requests'!A$17:C$30,3,FALSE)</f>
        <v>1.1148797950234099</v>
      </c>
      <c r="O30">
        <v>0</v>
      </c>
      <c r="P30">
        <v>3</v>
      </c>
      <c r="Q30" t="s">
        <v>10</v>
      </c>
      <c r="R30">
        <f>VLOOKUP($P30,[1]Brandwacht!$A:$D,3,FALSE)</f>
        <v>-33.956328641112101</v>
      </c>
      <c r="S30">
        <f>VLOOKUP($P30,[1]Brandwacht!$A:$D,4,FALSE)</f>
        <v>18.860005980924601</v>
      </c>
      <c r="T30">
        <f>VLOOKUP(P30,'col requests'!A$31:C$44,3,0)</f>
        <v>0.97665571550819397</v>
      </c>
      <c r="V30">
        <v>0</v>
      </c>
      <c r="W30">
        <v>4</v>
      </c>
      <c r="X30" t="s">
        <v>35</v>
      </c>
      <c r="Y30">
        <f>VLOOKUP($W30,[1]Paradyskloof!$A:$D,3,FALSE)</f>
        <v>-33.960674766486001</v>
      </c>
      <c r="Z30">
        <f>VLOOKUP($W30,[1]Paradyskloof!$A:$D,4,FALSE)</f>
        <v>18.8498510806178</v>
      </c>
      <c r="AA30">
        <f>VLOOKUP(W30,'col requests'!A$45:C$58,3,FALSE)</f>
        <v>0.98251314985617799</v>
      </c>
    </row>
    <row r="32" spans="1:27">
      <c r="A32" t="s">
        <v>152</v>
      </c>
      <c r="B32" t="s">
        <v>116</v>
      </c>
      <c r="C32" t="s">
        <v>151</v>
      </c>
      <c r="D32" t="s">
        <v>118</v>
      </c>
      <c r="E32" t="s">
        <v>111</v>
      </c>
      <c r="F32" t="s">
        <v>119</v>
      </c>
      <c r="H32" t="s">
        <v>152</v>
      </c>
      <c r="I32" t="s">
        <v>116</v>
      </c>
      <c r="J32" t="s">
        <v>151</v>
      </c>
      <c r="K32" t="s">
        <v>118</v>
      </c>
      <c r="L32" t="s">
        <v>111</v>
      </c>
      <c r="M32" t="s">
        <v>119</v>
      </c>
      <c r="O32" t="s">
        <v>152</v>
      </c>
      <c r="P32" t="s">
        <v>116</v>
      </c>
      <c r="Q32" t="s">
        <v>151</v>
      </c>
      <c r="R32" t="s">
        <v>118</v>
      </c>
      <c r="S32" t="s">
        <v>111</v>
      </c>
      <c r="T32" t="s">
        <v>119</v>
      </c>
      <c r="V32" t="s">
        <v>152</v>
      </c>
      <c r="W32" t="s">
        <v>116</v>
      </c>
      <c r="X32" t="s">
        <v>151</v>
      </c>
      <c r="Y32" t="s">
        <v>118</v>
      </c>
      <c r="Z32" t="s">
        <v>111</v>
      </c>
      <c r="AA32" t="s">
        <v>119</v>
      </c>
    </row>
    <row r="33" spans="1:27">
      <c r="A33">
        <v>0</v>
      </c>
      <c r="B33">
        <v>9</v>
      </c>
      <c r="C33" t="s">
        <v>21</v>
      </c>
      <c r="D33">
        <f>VLOOKUP($B33,[1]Jamestown!$A:$D,3,FALSE)</f>
        <v>-33.977125962645701</v>
      </c>
      <c r="E33">
        <f>VLOOKUP($B33,[1]Jamestown!$A:$D,4,FALSE)</f>
        <v>18.854160234837799</v>
      </c>
      <c r="F33">
        <f>VLOOKUP(B33,'col requests'!A$59:C$72,3,FALSE)</f>
        <v>1.03977184960788</v>
      </c>
      <c r="H33">
        <v>0</v>
      </c>
      <c r="I33">
        <v>9</v>
      </c>
      <c r="J33" t="s">
        <v>50</v>
      </c>
      <c r="K33">
        <f>VLOOKUP($I33,[1]Welgevonden!$A:$D,3,FALSE)</f>
        <v>-33.899024087776901</v>
      </c>
      <c r="L33">
        <f>VLOOKUP($I33,[1]Welgevonden!$A:$D,4,FALSE)</f>
        <v>18.8581866117954</v>
      </c>
      <c r="M33">
        <f>VLOOKUP(I33,'col requests'!A$73:C$86,3,FALSE)</f>
        <v>1.03977184960788</v>
      </c>
      <c r="O33">
        <v>0</v>
      </c>
      <c r="P33">
        <v>12</v>
      </c>
      <c r="Q33" t="s">
        <v>52</v>
      </c>
      <c r="R33">
        <f>VLOOKUP($P33,'[1]Die Boord'!$A:$D,3,FALSE)</f>
        <v>-33.951323267891503</v>
      </c>
      <c r="S33">
        <f>VLOOKUP($P33,'[1]Die Boord'!$A:$D,4,FALSE)</f>
        <v>18.8550931604297</v>
      </c>
      <c r="T33">
        <f>VLOOKUP(P33,'col requests'!A$87:C$100,3,FALSE)</f>
        <v>1.0460698874954</v>
      </c>
      <c r="V33">
        <v>0</v>
      </c>
      <c r="W33">
        <v>11</v>
      </c>
      <c r="X33" t="s">
        <v>51</v>
      </c>
      <c r="Y33">
        <f>VLOOKUP($W33,'[1]Idas Valley'!$A:$D,3,FALSE)</f>
        <v>-33.920206167219199</v>
      </c>
      <c r="Z33">
        <f>VLOOKUP($W33,'[1]Idas Valley'!$A:$D,4,FALSE)</f>
        <v>18.875697210253598</v>
      </c>
      <c r="AA33">
        <f>VLOOKUP(W33,'col requests'!A$129:C$142,3,FALSE)</f>
        <v>0.99401018040642897</v>
      </c>
    </row>
    <row r="34" spans="1:27">
      <c r="A34">
        <v>0</v>
      </c>
      <c r="B34">
        <v>10</v>
      </c>
      <c r="C34" t="s">
        <v>21</v>
      </c>
      <c r="D34">
        <f>VLOOKUP($B34,[1]Jamestown!$A:$D,3,FALSE)</f>
        <v>-33.978522085729601</v>
      </c>
      <c r="E34">
        <f>VLOOKUP($B34,[1]Jamestown!$A:$D,4,FALSE)</f>
        <v>18.8480129053798</v>
      </c>
      <c r="F34">
        <f>VLOOKUP(B34,'col requests'!A$59:C$72,3,FALSE)</f>
        <v>0.98997341495254698</v>
      </c>
      <c r="H34">
        <v>0</v>
      </c>
      <c r="I34">
        <v>7</v>
      </c>
      <c r="J34" t="s">
        <v>50</v>
      </c>
      <c r="K34">
        <f>VLOOKUP($I34,[1]Welgevonden!$A:$D,3,FALSE)</f>
        <v>-33.900371854947203</v>
      </c>
      <c r="L34">
        <f>VLOOKUP($I34,[1]Welgevonden!$A:$D,4,FALSE)</f>
        <v>18.858647163362001</v>
      </c>
      <c r="M34">
        <f>VLOOKUP(I34,'col requests'!A$73:C$86,3,FALSE)</f>
        <v>1.03666458485701</v>
      </c>
      <c r="O34">
        <v>0</v>
      </c>
      <c r="P34">
        <v>13</v>
      </c>
      <c r="Q34" t="s">
        <v>52</v>
      </c>
      <c r="R34">
        <f>VLOOKUP($P34,'[1]Die Boord'!$A:$D,3,FALSE)</f>
        <v>-33.952103569347798</v>
      </c>
      <c r="S34">
        <f>VLOOKUP($P34,'[1]Die Boord'!$A:$D,4,FALSE)</f>
        <v>18.850228413822698</v>
      </c>
      <c r="T34">
        <f>VLOOKUP(P34,'col requests'!A$87:C$100,3,FALSE)</f>
        <v>1.0518704029877699</v>
      </c>
      <c r="V34">
        <v>0</v>
      </c>
      <c r="W34">
        <v>8</v>
      </c>
      <c r="X34" t="s">
        <v>51</v>
      </c>
      <c r="Y34">
        <f>VLOOKUP($W34,'[1]Idas Valley'!$A:$D,3,FALSE)</f>
        <v>-33.9218756672322</v>
      </c>
      <c r="Z34">
        <f>VLOOKUP($W34,'[1]Idas Valley'!$A:$D,4,FALSE)</f>
        <v>18.882516252412199</v>
      </c>
      <c r="AA34">
        <f>VLOOKUP(W34,'col requests'!A$129:C$142,3,FALSE)</f>
        <v>0.94921825203251398</v>
      </c>
    </row>
    <row r="35" spans="1:27">
      <c r="A35">
        <v>0</v>
      </c>
      <c r="B35">
        <v>8</v>
      </c>
      <c r="C35" t="s">
        <v>21</v>
      </c>
      <c r="D35">
        <f>VLOOKUP($B35,[1]Jamestown!$A:$D,3,FALSE)</f>
        <v>-33.978864483975897</v>
      </c>
      <c r="E35">
        <f>VLOOKUP($B35,[1]Jamestown!$A:$D,4,FALSE)</f>
        <v>18.847045861911202</v>
      </c>
      <c r="F35">
        <f>VLOOKUP(B35,'col requests'!A$59:C$72,3,FALSE)</f>
        <v>0.94921825203251398</v>
      </c>
      <c r="H35">
        <v>0</v>
      </c>
      <c r="I35">
        <v>5</v>
      </c>
      <c r="J35" t="s">
        <v>50</v>
      </c>
      <c r="K35">
        <f>VLOOKUP($I35,[1]Welgevonden!$A:$D,3,FALSE)</f>
        <v>-33.902801377574498</v>
      </c>
      <c r="L35">
        <f>VLOOKUP($I35,[1]Welgevonden!$A:$D,4,FALSE)</f>
        <v>18.854282944123302</v>
      </c>
      <c r="M35">
        <f>VLOOKUP(I35,'col requests'!A$73:C$86,3,FALSE)</f>
        <v>1.0930693273785601</v>
      </c>
      <c r="O35">
        <v>0</v>
      </c>
      <c r="P35">
        <v>5</v>
      </c>
      <c r="Q35" t="s">
        <v>52</v>
      </c>
      <c r="R35">
        <f>VLOOKUP($P35,'[1]Die Boord'!$A:$D,3,FALSE)</f>
        <v>-33.9526487883888</v>
      </c>
      <c r="S35">
        <f>VLOOKUP($P35,'[1]Die Boord'!$A:$D,4,FALSE)</f>
        <v>18.850439262126201</v>
      </c>
      <c r="T35">
        <f>VLOOKUP(P35,'col requests'!A$87:C$100,3,FALSE)</f>
        <v>1.0930693273785601</v>
      </c>
      <c r="V35">
        <v>0</v>
      </c>
      <c r="W35">
        <v>6</v>
      </c>
      <c r="X35" t="s">
        <v>51</v>
      </c>
      <c r="Y35">
        <f>VLOOKUP($W35,'[1]Idas Valley'!$A:$D,3,FALSE)</f>
        <v>-33.9230361831099</v>
      </c>
      <c r="Z35">
        <f>VLOOKUP($W35,'[1]Idas Valley'!$A:$D,4,FALSE)</f>
        <v>18.881848141199399</v>
      </c>
      <c r="AA35">
        <f>VLOOKUP(W35,'col requests'!A$129:C$142,3,FALSE)</f>
        <v>0.99751683696509597</v>
      </c>
    </row>
    <row r="36" spans="1:27">
      <c r="A36">
        <v>0</v>
      </c>
      <c r="B36">
        <v>0</v>
      </c>
      <c r="C36" t="s">
        <v>21</v>
      </c>
      <c r="D36">
        <f>VLOOKUP($B36,[1]Jamestown!$A:$D,3,FALSE)</f>
        <v>-33.979079508923299</v>
      </c>
      <c r="E36">
        <f>VLOOKUP($B36,[1]Jamestown!$A:$D,4,FALSE)</f>
        <v>18.847848044943099</v>
      </c>
      <c r="F36">
        <f>VLOOKUP(B36,'col requests'!A$59:C$72,3,FALSE)</f>
        <v>1.1289384054824101</v>
      </c>
      <c r="H36">
        <v>0</v>
      </c>
      <c r="I36">
        <v>13</v>
      </c>
      <c r="J36" t="s">
        <v>50</v>
      </c>
      <c r="K36">
        <f>VLOOKUP($I36,[1]Welgevonden!$A:$D,3,FALSE)</f>
        <v>-33.902527859499799</v>
      </c>
      <c r="L36">
        <f>VLOOKUP($I36,[1]Welgevonden!$A:$D,4,FALSE)</f>
        <v>18.854094280129001</v>
      </c>
      <c r="M36">
        <f>VLOOKUP(I36,'col requests'!A$73:C$86,3,FALSE)</f>
        <v>1.0518704029877699</v>
      </c>
      <c r="O36">
        <v>0</v>
      </c>
      <c r="P36">
        <v>2</v>
      </c>
      <c r="Q36" t="s">
        <v>52</v>
      </c>
      <c r="R36">
        <f>VLOOKUP($P36,'[1]Die Boord'!$A:$D,3,FALSE)</f>
        <v>-33.9519151528226</v>
      </c>
      <c r="S36">
        <f>VLOOKUP($P36,'[1]Die Boord'!$A:$D,4,FALSE)</f>
        <v>18.8488616290838</v>
      </c>
      <c r="T36">
        <f>VLOOKUP(P36,'col requests'!A$87:C$100,3,FALSE)</f>
        <v>1.1148797950234099</v>
      </c>
      <c r="V36">
        <v>0</v>
      </c>
      <c r="W36">
        <v>0</v>
      </c>
      <c r="X36" t="s">
        <v>51</v>
      </c>
      <c r="Y36">
        <f>VLOOKUP($W36,'[1]Idas Valley'!$A:$D,3,FALSE)</f>
        <v>-33.9221019205687</v>
      </c>
      <c r="Z36">
        <f>VLOOKUP($W36,'[1]Idas Valley'!$A:$D,4,FALSE)</f>
        <v>18.883778790581399</v>
      </c>
      <c r="AA36">
        <f>VLOOKUP(W36,'col requests'!A$129:C$142,3,FALSE)</f>
        <v>1.1289384054824101</v>
      </c>
    </row>
    <row r="37" spans="1:27">
      <c r="A37">
        <v>0</v>
      </c>
      <c r="B37">
        <v>7</v>
      </c>
      <c r="C37" t="s">
        <v>21</v>
      </c>
      <c r="D37">
        <f>VLOOKUP($B37,[1]Jamestown!$A:$D,3,FALSE)</f>
        <v>-33.9788937078808</v>
      </c>
      <c r="E37">
        <f>VLOOKUP($B37,[1]Jamestown!$A:$D,4,FALSE)</f>
        <v>18.854712604187799</v>
      </c>
      <c r="F37">
        <f>VLOOKUP(B37,'col requests'!A$59:C$72,3,FALSE)</f>
        <v>1.03666458485701</v>
      </c>
      <c r="H37">
        <v>0</v>
      </c>
      <c r="I37">
        <v>12</v>
      </c>
      <c r="J37" t="s">
        <v>50</v>
      </c>
      <c r="K37">
        <f>VLOOKUP($I37,[1]Welgevonden!$A:$D,3,FALSE)</f>
        <v>-33.902136408475599</v>
      </c>
      <c r="L37">
        <f>VLOOKUP($I37,[1]Welgevonden!$A:$D,4,FALSE)</f>
        <v>18.858447184612899</v>
      </c>
      <c r="M37">
        <f>VLOOKUP(I37,'col requests'!A$73:C$86,3,FALSE)</f>
        <v>1.0460698874954</v>
      </c>
      <c r="O37">
        <v>0</v>
      </c>
      <c r="P37">
        <v>6</v>
      </c>
      <c r="Q37" t="s">
        <v>52</v>
      </c>
      <c r="R37">
        <f>VLOOKUP($P37,'[1]Die Boord'!$A:$D,3,FALSE)</f>
        <v>-33.949437666997298</v>
      </c>
      <c r="S37">
        <f>VLOOKUP($P37,'[1]Die Boord'!$A:$D,4,FALSE)</f>
        <v>18.847777111609801</v>
      </c>
      <c r="T37">
        <f>VLOOKUP(P37,'col requests'!A$87:C$100,3,FALSE)</f>
        <v>0.99751683696509597</v>
      </c>
      <c r="V37">
        <v>0</v>
      </c>
      <c r="W37">
        <v>10</v>
      </c>
      <c r="X37" t="s">
        <v>51</v>
      </c>
      <c r="Y37">
        <f>VLOOKUP($W37,'[1]Idas Valley'!$A:$D,3,FALSE)</f>
        <v>-33.921515389289702</v>
      </c>
      <c r="Z37">
        <f>VLOOKUP($W37,'[1]Idas Valley'!$A:$D,4,FALSE)</f>
        <v>18.884038260784099</v>
      </c>
      <c r="AA37">
        <f>VLOOKUP(W37,'col requests'!A$129:C$142,3,FALSE)</f>
        <v>0.98997341495254698</v>
      </c>
    </row>
    <row r="38" spans="1:27">
      <c r="A38">
        <v>0</v>
      </c>
      <c r="B38">
        <v>5</v>
      </c>
      <c r="C38" t="s">
        <v>21</v>
      </c>
      <c r="D38">
        <f>VLOOKUP($B38,[1]Jamestown!$A:$D,3,FALSE)</f>
        <v>-33.982080294661202</v>
      </c>
      <c r="E38">
        <f>VLOOKUP($B38,[1]Jamestown!$A:$D,4,FALSE)</f>
        <v>18.849478313134298</v>
      </c>
      <c r="F38">
        <f>VLOOKUP(B38,'col requests'!A$59:C$72,3,FALSE)</f>
        <v>1.0930693273785601</v>
      </c>
      <c r="H38">
        <v>0</v>
      </c>
      <c r="I38">
        <v>2</v>
      </c>
      <c r="J38" t="s">
        <v>50</v>
      </c>
      <c r="K38">
        <f>VLOOKUP($I38,[1]Welgevonden!$A:$D,3,FALSE)</f>
        <v>-33.902433337259502</v>
      </c>
      <c r="L38">
        <f>VLOOKUP($I38,[1]Welgevonden!$A:$D,4,FALSE)</f>
        <v>18.852871301030898</v>
      </c>
      <c r="M38">
        <f>VLOOKUP(I38,'col requests'!A$73:C$86,3,FALSE)</f>
        <v>1.1148797950234099</v>
      </c>
      <c r="O38">
        <v>0</v>
      </c>
      <c r="P38">
        <v>1</v>
      </c>
      <c r="Q38" t="s">
        <v>52</v>
      </c>
      <c r="R38">
        <f>VLOOKUP($P38,'[1]Die Boord'!$A:$D,3,FALSE)</f>
        <v>-33.946303369258402</v>
      </c>
      <c r="S38">
        <f>VLOOKUP($P38,'[1]Die Boord'!$A:$D,4,FALSE)</f>
        <v>18.8438549370027</v>
      </c>
      <c r="T38">
        <f>VLOOKUP(P38,'col requests'!A$87:C$100,3,FALSE)</f>
        <v>1.0368313596232099</v>
      </c>
      <c r="V38">
        <v>0</v>
      </c>
      <c r="W38">
        <v>9</v>
      </c>
      <c r="X38" t="s">
        <v>51</v>
      </c>
      <c r="Y38">
        <f>VLOOKUP($W38,'[1]Idas Valley'!$A:$D,3,FALSE)</f>
        <v>-33.920046362045802</v>
      </c>
      <c r="Z38">
        <f>VLOOKUP($W38,'[1]Idas Valley'!$A:$D,4,FALSE)</f>
        <v>18.893713406942201</v>
      </c>
      <c r="AA38">
        <f>VLOOKUP(W38,'col requests'!A$129:C$142,3,FALSE)</f>
        <v>1.03977184960788</v>
      </c>
    </row>
    <row r="39" spans="1:27">
      <c r="A39">
        <v>0</v>
      </c>
      <c r="B39">
        <v>2</v>
      </c>
      <c r="C39" t="s">
        <v>21</v>
      </c>
      <c r="D39">
        <f>VLOOKUP($B39,[1]Jamestown!$A:$D,3,FALSE)</f>
        <v>-33.981597569211601</v>
      </c>
      <c r="E39">
        <f>VLOOKUP($B39,[1]Jamestown!$A:$D,4,FALSE)</f>
        <v>18.847785238060599</v>
      </c>
      <c r="F39">
        <f>VLOOKUP(B39,'col requests'!A$59:C$72,3,FALSE)</f>
        <v>1.1148797950234099</v>
      </c>
      <c r="H39">
        <v>0</v>
      </c>
      <c r="I39">
        <v>11</v>
      </c>
      <c r="J39" t="s">
        <v>50</v>
      </c>
      <c r="K39">
        <f>VLOOKUP($I39,[1]Welgevonden!$A:$D,3,FALSE)</f>
        <v>-33.8991398801329</v>
      </c>
      <c r="L39">
        <f>VLOOKUP($I39,[1]Welgevonden!$A:$D,4,FALSE)</f>
        <v>18.84864238478</v>
      </c>
      <c r="M39">
        <f>VLOOKUP(I39,'col requests'!A$73:C$86,3,FALSE)</f>
        <v>0.99401018040642897</v>
      </c>
      <c r="O39">
        <v>0</v>
      </c>
      <c r="P39">
        <v>3</v>
      </c>
      <c r="Q39" t="s">
        <v>52</v>
      </c>
      <c r="R39">
        <f>VLOOKUP($P39,'[1]Die Boord'!$A:$D,3,FALSE)</f>
        <v>-33.949187247538802</v>
      </c>
      <c r="S39">
        <f>VLOOKUP($P39,'[1]Die Boord'!$A:$D,4,FALSE)</f>
        <v>18.8443179675102</v>
      </c>
      <c r="T39">
        <f>VLOOKUP(P39,'col requests'!A$87:C$100,3,FALSE)</f>
        <v>0.97665571550819397</v>
      </c>
      <c r="V39">
        <v>0</v>
      </c>
      <c r="W39">
        <v>7</v>
      </c>
      <c r="X39" t="s">
        <v>51</v>
      </c>
      <c r="Y39">
        <f>VLOOKUP($W39,'[1]Idas Valley'!$A:$D,3,FALSE)</f>
        <v>-33.921906417180502</v>
      </c>
      <c r="Z39">
        <f>VLOOKUP($W39,'[1]Idas Valley'!$A:$D,4,FALSE)</f>
        <v>18.8945827688711</v>
      </c>
      <c r="AA39">
        <f>VLOOKUP(W39,'col requests'!A$129:C$142,3,FALSE)</f>
        <v>1.03666458485701</v>
      </c>
    </row>
    <row r="40" spans="1:27">
      <c r="A40">
        <v>0</v>
      </c>
      <c r="B40">
        <v>6</v>
      </c>
      <c r="C40" t="s">
        <v>21</v>
      </c>
      <c r="D40">
        <f>VLOOKUP($B40,[1]Jamestown!$A:$D,3,FALSE)</f>
        <v>-33.979967406343498</v>
      </c>
      <c r="E40">
        <f>VLOOKUP($B40,[1]Jamestown!$A:$D,4,FALSE)</f>
        <v>18.846621361891</v>
      </c>
      <c r="F40">
        <f>VLOOKUP(B40,'col requests'!A$59:C$72,3,FALSE)</f>
        <v>0.99751683696509597</v>
      </c>
      <c r="H40">
        <v>0</v>
      </c>
      <c r="I40">
        <v>8</v>
      </c>
      <c r="J40" t="s">
        <v>50</v>
      </c>
      <c r="K40">
        <f>VLOOKUP($I40,[1]Welgevonden!$A:$D,3,FALSE)</f>
        <v>-33.900349574010598</v>
      </c>
      <c r="L40">
        <f>VLOOKUP($I40,[1]Welgevonden!$A:$D,4,FALSE)</f>
        <v>18.852254827934001</v>
      </c>
      <c r="M40">
        <f>VLOOKUP(I40,'col requests'!A$73:C$86,3,FALSE)</f>
        <v>0.94921825203251398</v>
      </c>
      <c r="O40">
        <v>0</v>
      </c>
      <c r="P40">
        <v>11</v>
      </c>
      <c r="Q40" t="s">
        <v>52</v>
      </c>
      <c r="R40">
        <f>VLOOKUP($P40,'[1]Die Boord'!$A:$D,3,FALSE)</f>
        <v>-33.945350118543999</v>
      </c>
      <c r="S40">
        <f>VLOOKUP($P40,'[1]Die Boord'!$A:$D,4,FALSE)</f>
        <v>18.844135450032802</v>
      </c>
      <c r="T40">
        <f>VLOOKUP(P40,'col requests'!A$87:C$100,3,FALSE)</f>
        <v>0.99401018040642897</v>
      </c>
      <c r="V40">
        <v>0</v>
      </c>
      <c r="W40">
        <v>12</v>
      </c>
      <c r="X40" t="s">
        <v>51</v>
      </c>
      <c r="Y40">
        <f>VLOOKUP($W40,'[1]Idas Valley'!$A:$D,3,FALSE)</f>
        <v>-33.924341679682001</v>
      </c>
      <c r="Z40">
        <f>VLOOKUP($W40,'[1]Idas Valley'!$A:$D,4,FALSE)</f>
        <v>18.894205278219399</v>
      </c>
      <c r="AA40">
        <f>VLOOKUP(W40,'col requests'!A$129:C$142,3,FALSE)</f>
        <v>1.0460698874954</v>
      </c>
    </row>
    <row r="41" spans="1:27">
      <c r="A41">
        <v>0</v>
      </c>
      <c r="B41">
        <v>3</v>
      </c>
      <c r="C41" t="s">
        <v>21</v>
      </c>
      <c r="D41">
        <f>VLOOKUP($B41,[1]Jamestown!$A:$D,3,FALSE)</f>
        <v>-33.979802632644997</v>
      </c>
      <c r="E41">
        <f>VLOOKUP($B41,[1]Jamestown!$A:$D,4,FALSE)</f>
        <v>18.842909097698801</v>
      </c>
      <c r="F41">
        <f>VLOOKUP(B41,'col requests'!A$59:C$72,3,FALSE)</f>
        <v>0.97665571550819397</v>
      </c>
      <c r="H41">
        <v>0</v>
      </c>
      <c r="I41">
        <v>6</v>
      </c>
      <c r="J41" t="s">
        <v>50</v>
      </c>
      <c r="K41">
        <f>VLOOKUP($I41,[1]Welgevonden!$A:$D,3,FALSE)</f>
        <v>-33.901190465859102</v>
      </c>
      <c r="L41">
        <f>VLOOKUP($I41,[1]Welgevonden!$A:$D,4,FALSE)</f>
        <v>18.851900890574399</v>
      </c>
      <c r="M41">
        <f>VLOOKUP(I41,'col requests'!A$73:C$86,3,FALSE)</f>
        <v>0.99751683696509597</v>
      </c>
      <c r="O41">
        <v>0</v>
      </c>
      <c r="P41">
        <v>8</v>
      </c>
      <c r="Q41" t="s">
        <v>52</v>
      </c>
      <c r="R41">
        <f>VLOOKUP($P41,'[1]Die Boord'!$A:$D,3,FALSE)</f>
        <v>-33.9477614697376</v>
      </c>
      <c r="S41">
        <f>VLOOKUP($P41,'[1]Die Boord'!$A:$D,4,FALSE)</f>
        <v>18.848172667169401</v>
      </c>
      <c r="T41">
        <f>VLOOKUP(P41,'col requests'!A$87:C$100,3,FALSE)</f>
        <v>0.94921825203251398</v>
      </c>
      <c r="V41">
        <v>0</v>
      </c>
      <c r="W41">
        <v>13</v>
      </c>
      <c r="X41" t="s">
        <v>51</v>
      </c>
      <c r="Y41">
        <f>VLOOKUP($W41,'[1]Idas Valley'!$A:$D,3,FALSE)</f>
        <v>-33.924881921723497</v>
      </c>
      <c r="Z41">
        <f>VLOOKUP($W41,'[1]Idas Valley'!$A:$D,4,FALSE)</f>
        <v>18.885988501394898</v>
      </c>
      <c r="AA41">
        <f>VLOOKUP(W41,'col requests'!A$129:C$142,3,FALSE)</f>
        <v>1.0518704029877699</v>
      </c>
    </row>
    <row r="42" spans="1:27">
      <c r="A42">
        <v>0</v>
      </c>
      <c r="B42">
        <v>1</v>
      </c>
      <c r="C42" t="s">
        <v>21</v>
      </c>
      <c r="D42">
        <f>VLOOKUP($B42,[1]Jamestown!$A:$D,3,FALSE)</f>
        <v>-33.977905067282201</v>
      </c>
      <c r="E42">
        <f>VLOOKUP($B42,[1]Jamestown!$A:$D,4,FALSE)</f>
        <v>18.842412185305701</v>
      </c>
      <c r="F42">
        <f>VLOOKUP(B42,'col requests'!A$59:C$72,3,FALSE)</f>
        <v>1.0368313596232099</v>
      </c>
      <c r="H42">
        <v>0</v>
      </c>
      <c r="I42">
        <v>10</v>
      </c>
      <c r="J42" t="s">
        <v>50</v>
      </c>
      <c r="K42">
        <f>VLOOKUP($I42,[1]Welgevonden!$A:$D,3,FALSE)</f>
        <v>-33.9000885221879</v>
      </c>
      <c r="L42">
        <f>VLOOKUP($I42,[1]Welgevonden!$A:$D,4,FALSE)</f>
        <v>18.853061124272301</v>
      </c>
      <c r="M42">
        <f>VLOOKUP(I42,'col requests'!A$73:C$86,3,FALSE)</f>
        <v>0.98997341495254698</v>
      </c>
      <c r="O42">
        <v>0</v>
      </c>
      <c r="P42">
        <v>10</v>
      </c>
      <c r="Q42" t="s">
        <v>52</v>
      </c>
      <c r="R42">
        <f>VLOOKUP($P42,'[1]Die Boord'!$A:$D,3,FALSE)</f>
        <v>-33.947241100381603</v>
      </c>
      <c r="S42">
        <f>VLOOKUP($P42,'[1]Die Boord'!$A:$D,4,FALSE)</f>
        <v>18.849073772946198</v>
      </c>
      <c r="T42">
        <f>VLOOKUP(P42,'col requests'!A$87:C$100,3,FALSE)</f>
        <v>0.98997341495254698</v>
      </c>
      <c r="V42">
        <v>0</v>
      </c>
      <c r="W42">
        <v>5</v>
      </c>
      <c r="X42" t="s">
        <v>51</v>
      </c>
      <c r="Y42">
        <f>VLOOKUP($W42,'[1]Idas Valley'!$A:$D,3,FALSE)</f>
        <v>-33.925259404355899</v>
      </c>
      <c r="Z42">
        <f>VLOOKUP($W42,'[1]Idas Valley'!$A:$D,4,FALSE)</f>
        <v>18.8863446337064</v>
      </c>
      <c r="AA42">
        <f>VLOOKUP(W42,'col requests'!A$129:C$142,3,FALSE)</f>
        <v>1.0930693273785601</v>
      </c>
    </row>
    <row r="43" spans="1:27">
      <c r="A43">
        <v>0</v>
      </c>
      <c r="B43">
        <v>4</v>
      </c>
      <c r="C43" t="s">
        <v>21</v>
      </c>
      <c r="D43">
        <f>VLOOKUP($B43,[1]Jamestown!$A:$D,3,FALSE)</f>
        <v>-33.975694876631202</v>
      </c>
      <c r="E43">
        <f>VLOOKUP($B43,[1]Jamestown!$A:$D,4,FALSE)</f>
        <v>18.8402009660504</v>
      </c>
      <c r="F43">
        <f>VLOOKUP(B43,'col requests'!A$59:C$72,3,FALSE)</f>
        <v>0.98251314985617799</v>
      </c>
      <c r="H43">
        <v>0</v>
      </c>
      <c r="I43">
        <v>0</v>
      </c>
      <c r="J43" t="s">
        <v>50</v>
      </c>
      <c r="K43">
        <f>VLOOKUP($I43,[1]Welgevonden!$A:$D,3,FALSE)</f>
        <v>-33.900513513677403</v>
      </c>
      <c r="L43">
        <f>VLOOKUP($I43,[1]Welgevonden!$A:$D,4,FALSE)</f>
        <v>18.852923667818001</v>
      </c>
      <c r="M43">
        <f>VLOOKUP(I43,'col requests'!A$73:C$86,3,FALSE)</f>
        <v>1.1289384054824101</v>
      </c>
      <c r="O43">
        <v>0</v>
      </c>
      <c r="P43">
        <v>0</v>
      </c>
      <c r="Q43" t="s">
        <v>52</v>
      </c>
      <c r="R43">
        <f>VLOOKUP($P43,'[1]Die Boord'!$A:$D,3,FALSE)</f>
        <v>-33.948088259943503</v>
      </c>
      <c r="S43">
        <f>VLOOKUP($P43,'[1]Die Boord'!$A:$D,4,FALSE)</f>
        <v>18.8489201534899</v>
      </c>
      <c r="T43">
        <f>VLOOKUP(P43,'col requests'!A$87:C$100,3,FALSE)</f>
        <v>1.1289384054824101</v>
      </c>
      <c r="V43">
        <v>0</v>
      </c>
      <c r="W43">
        <v>2</v>
      </c>
      <c r="X43" t="s">
        <v>51</v>
      </c>
      <c r="Y43">
        <f>VLOOKUP($W43,'[1]Idas Valley'!$A:$D,3,FALSE)</f>
        <v>-33.924751471462997</v>
      </c>
      <c r="Z43">
        <f>VLOOKUP($W43,'[1]Idas Valley'!$A:$D,4,FALSE)</f>
        <v>18.883679940215199</v>
      </c>
      <c r="AA43">
        <f>VLOOKUP(W43,'col requests'!A$129:C$142,3,FALSE)</f>
        <v>1.1148797950234099</v>
      </c>
    </row>
    <row r="44" spans="1:27">
      <c r="H44">
        <v>0</v>
      </c>
      <c r="I44">
        <v>1</v>
      </c>
      <c r="J44" t="s">
        <v>50</v>
      </c>
      <c r="K44">
        <f>VLOOKUP($I44,[1]Welgevonden!$A:$D,3,FALSE)</f>
        <v>-33.899618093989098</v>
      </c>
      <c r="L44">
        <f>VLOOKUP($I44,[1]Welgevonden!$A:$D,4,FALSE)</f>
        <v>18.848391385802</v>
      </c>
      <c r="M44">
        <f>VLOOKUP(I44,'col requests'!A$73:C$86,3,FALSE)</f>
        <v>1.0368313596232099</v>
      </c>
      <c r="O44">
        <v>0</v>
      </c>
      <c r="P44">
        <v>7</v>
      </c>
      <c r="Q44" t="s">
        <v>52</v>
      </c>
      <c r="R44">
        <f>VLOOKUP($P44,'[1]Die Boord'!$A:$D,3,FALSE)</f>
        <v>-33.947805883588302</v>
      </c>
      <c r="S44">
        <f>VLOOKUP($P44,'[1]Die Boord'!$A:$D,4,FALSE)</f>
        <v>18.855316653948599</v>
      </c>
      <c r="T44">
        <f>VLOOKUP(P44,'col requests'!A$87:C$100,3,FALSE)</f>
        <v>1.03666458485701</v>
      </c>
      <c r="V44">
        <v>0</v>
      </c>
      <c r="W44">
        <v>3</v>
      </c>
      <c r="X44" t="s">
        <v>51</v>
      </c>
      <c r="Y44">
        <f>VLOOKUP($W44,'[1]Idas Valley'!$A:$D,3,FALSE)</f>
        <v>-33.9228628050925</v>
      </c>
      <c r="Z44">
        <f>VLOOKUP($W44,'[1]Idas Valley'!$A:$D,4,FALSE)</f>
        <v>18.876005490519599</v>
      </c>
      <c r="AA44">
        <f>VLOOKUP(W44,'col requests'!A$129:C$142,3,FALSE)</f>
        <v>0.97665571550819397</v>
      </c>
    </row>
    <row r="45" spans="1:27">
      <c r="H45">
        <v>0</v>
      </c>
      <c r="I45">
        <v>4</v>
      </c>
      <c r="J45" t="s">
        <v>50</v>
      </c>
      <c r="K45">
        <f>VLOOKUP($I45,[1]Welgevonden!$A:$D,3,FALSE)</f>
        <v>-33.897932996872001</v>
      </c>
      <c r="L45">
        <f>VLOOKUP($I45,[1]Welgevonden!$A:$D,4,FALSE)</f>
        <v>18.846547727221299</v>
      </c>
      <c r="M45">
        <f>VLOOKUP(I45,'col requests'!A$73:C$86,3,FALSE)</f>
        <v>0.98251314985617799</v>
      </c>
      <c r="O45">
        <v>0</v>
      </c>
      <c r="P45">
        <v>9</v>
      </c>
      <c r="Q45" t="s">
        <v>52</v>
      </c>
      <c r="R45">
        <f>VLOOKUP($P45,'[1]Die Boord'!$A:$D,3,FALSE)</f>
        <v>-33.9451193030947</v>
      </c>
      <c r="S45">
        <f>VLOOKUP($P45,'[1]Die Boord'!$A:$D,4,FALSE)</f>
        <v>18.854801947807299</v>
      </c>
      <c r="T45">
        <f>VLOOKUP(P45,'col requests'!A$87:C$100,3,FALSE)</f>
        <v>1.03977184960788</v>
      </c>
      <c r="V45">
        <v>0</v>
      </c>
      <c r="W45">
        <v>1</v>
      </c>
      <c r="X45" t="s">
        <v>51</v>
      </c>
      <c r="Y45">
        <f>VLOOKUP($W45,'[1]Idas Valley'!$A:$D,3,FALSE)</f>
        <v>-33.920866150752197</v>
      </c>
      <c r="Z45">
        <f>VLOOKUP($W45,'[1]Idas Valley'!$A:$D,4,FALSE)</f>
        <v>18.8752234110713</v>
      </c>
      <c r="AA45">
        <f>VLOOKUP(W45,'col requests'!A$129:C$142,3,FALSE)</f>
        <v>1.0368313596232099</v>
      </c>
    </row>
    <row r="46" spans="1:27">
      <c r="H46">
        <v>0</v>
      </c>
      <c r="I46">
        <v>3</v>
      </c>
      <c r="J46" t="s">
        <v>50</v>
      </c>
      <c r="K46">
        <f>VLOOKUP($I46,[1]Welgevonden!$A:$D,3,FALSE)</f>
        <v>-33.901064838830401</v>
      </c>
      <c r="L46">
        <f>VLOOKUP($I46,[1]Welgevonden!$A:$D,4,FALSE)</f>
        <v>18.848805698763201</v>
      </c>
      <c r="M46">
        <f>VLOOKUP(I46,'col requests'!A$73:C$86,3,FALSE)</f>
        <v>0.97665571550819397</v>
      </c>
      <c r="O46">
        <v>0</v>
      </c>
      <c r="P46">
        <v>4</v>
      </c>
      <c r="Q46" t="s">
        <v>52</v>
      </c>
      <c r="R46">
        <f>VLOOKUP($P46,'[1]Die Boord'!$A:$D,3,FALSE)</f>
        <v>-33.942944369911601</v>
      </c>
      <c r="S46">
        <f>VLOOKUP($P46,'[1]Die Boord'!$A:$D,4,FALSE)</f>
        <v>18.841794489350299</v>
      </c>
      <c r="T46">
        <f>VLOOKUP(P46,'col requests'!A$87:C$100,3,FALSE)</f>
        <v>0.98251314985617799</v>
      </c>
      <c r="V46">
        <v>0</v>
      </c>
      <c r="W46">
        <v>4</v>
      </c>
      <c r="X46" t="s">
        <v>51</v>
      </c>
      <c r="Y46">
        <f>VLOOKUP($W46,'[1]Idas Valley'!$A:$D,3,FALSE)</f>
        <v>-33.918540546141799</v>
      </c>
      <c r="Z46">
        <f>VLOOKUP($W46,'[1]Idas Valley'!$A:$D,4,FALSE)</f>
        <v>18.8717432218886</v>
      </c>
      <c r="AA46">
        <f>VLOOKUP(W46,'col requests'!A$129:C$142,3,FALSE)</f>
        <v>0.98251314985617799</v>
      </c>
    </row>
    <row r="48" spans="1:27">
      <c r="A48" t="s">
        <v>152</v>
      </c>
      <c r="B48" t="s">
        <v>116</v>
      </c>
      <c r="C48" t="s">
        <v>151</v>
      </c>
      <c r="D48" t="s">
        <v>118</v>
      </c>
      <c r="E48" t="s">
        <v>111</v>
      </c>
      <c r="F48" t="s">
        <v>119</v>
      </c>
      <c r="H48" t="s">
        <v>152</v>
      </c>
      <c r="I48" t="s">
        <v>116</v>
      </c>
      <c r="J48" t="s">
        <v>151</v>
      </c>
      <c r="K48" t="s">
        <v>118</v>
      </c>
      <c r="L48" t="s">
        <v>111</v>
      </c>
      <c r="M48" t="s">
        <v>119</v>
      </c>
    </row>
    <row r="49" spans="1:13">
      <c r="A49">
        <v>0</v>
      </c>
      <c r="B49">
        <v>2</v>
      </c>
      <c r="C49" t="s">
        <v>11</v>
      </c>
      <c r="D49">
        <f>VLOOKUP($B49,[1]Cloetesville!$A:$D,3,FALSE)</f>
        <v>-33.915726435300499</v>
      </c>
      <c r="E49">
        <f>VLOOKUP($B49,[1]Cloetesville!$A:$D,4,FALSE)</f>
        <v>18.852047076256198</v>
      </c>
      <c r="F49">
        <f>VLOOKUP(B49,'col requests'!A$101:C$114,3,FALSE)</f>
        <v>1.6717745300723199</v>
      </c>
      <c r="H49">
        <v>0</v>
      </c>
      <c r="I49">
        <v>12</v>
      </c>
      <c r="J49" t="s">
        <v>105</v>
      </c>
      <c r="K49">
        <f>VLOOKUP(I49,[1]Kayamandi1!$A:$D,3,FALSE)</f>
        <v>-33.925327822702798</v>
      </c>
      <c r="L49">
        <f>VLOOKUP(I49,[1]Kayamandi1!$A:$D,4,FALSE)</f>
        <v>18.844739787313099</v>
      </c>
      <c r="M49">
        <f>VLOOKUP(I49,'col requests'!A$115:C$128,3,FALSE)</f>
        <v>1.5686939489679499</v>
      </c>
    </row>
    <row r="50" spans="1:13">
      <c r="A50">
        <v>0</v>
      </c>
      <c r="B50">
        <v>3</v>
      </c>
      <c r="C50" t="s">
        <v>11</v>
      </c>
      <c r="D50">
        <f>VLOOKUP($B50,[1]Cloetesville!$A:$D,3,FALSE)</f>
        <v>-33.910545536628703</v>
      </c>
      <c r="E50">
        <f>VLOOKUP($B50,[1]Cloetesville!$A:$D,4,FALSE)</f>
        <v>18.8469285168946</v>
      </c>
      <c r="F50">
        <f>VLOOKUP(B50,'col requests'!A$101:C$114,3,FALSE)</f>
        <v>1.4647256546712299</v>
      </c>
      <c r="H50">
        <v>0</v>
      </c>
      <c r="I50">
        <v>5</v>
      </c>
      <c r="J50" t="s">
        <v>105</v>
      </c>
      <c r="K50">
        <f>VLOOKUP(I50,[1]Kayamandi1!$A:$D,3,FALSE)</f>
        <v>-33.926160874784898</v>
      </c>
      <c r="L50">
        <f>VLOOKUP(I50,[1]Kayamandi1!$A:$D,4,FALSE)</f>
        <v>18.841800517924302</v>
      </c>
      <c r="M50">
        <f>VLOOKUP(I50,'col requests'!A$115:C$128,3,FALSE)</f>
        <v>1.6391054696131</v>
      </c>
    </row>
    <row r="51" spans="1:13">
      <c r="A51">
        <v>0</v>
      </c>
      <c r="B51">
        <v>4</v>
      </c>
      <c r="C51" t="s">
        <v>11</v>
      </c>
      <c r="D51">
        <f>VLOOKUP($B51,[1]Cloetesville!$A:$D,3,FALSE)</f>
        <v>-33.898688923937797</v>
      </c>
      <c r="E51">
        <f>VLOOKUP($B51,[1]Cloetesville!$A:$D,4,FALSE)</f>
        <v>18.8440857495473</v>
      </c>
      <c r="F51">
        <f>VLOOKUP(B51,'col requests'!A$101:C$114,3,FALSE)</f>
        <v>1.4735181236542101</v>
      </c>
      <c r="H51">
        <v>0</v>
      </c>
      <c r="I51">
        <v>2</v>
      </c>
      <c r="J51" t="s">
        <v>105</v>
      </c>
      <c r="K51">
        <f>VLOOKUP(I51,[1]Kayamandi1!$A:$D,3,FALSE)</f>
        <v>-33.925699805614599</v>
      </c>
      <c r="L51">
        <f>VLOOKUP(I51,[1]Kayamandi1!$A:$D,4,FALSE)</f>
        <v>18.840804129905901</v>
      </c>
      <c r="M51">
        <f>VLOOKUP(I51,'col requests'!A$115:C$128,3,FALSE)</f>
        <v>1.6717745300723199</v>
      </c>
    </row>
    <row r="52" spans="1:13">
      <c r="A52">
        <v>0</v>
      </c>
      <c r="B52">
        <v>1</v>
      </c>
      <c r="C52" t="s">
        <v>11</v>
      </c>
      <c r="D52">
        <f>VLOOKUP($B52,[1]Cloetesville!$A:$D,3,FALSE)</f>
        <v>-33.905068410556296</v>
      </c>
      <c r="E52">
        <f>VLOOKUP($B52,[1]Cloetesville!$A:$D,4,FALSE)</f>
        <v>18.8464069003305</v>
      </c>
      <c r="F52">
        <f>VLOOKUP(B52,'col requests'!A$101:C$114,3,FALSE)</f>
        <v>1.5548800961623901</v>
      </c>
      <c r="H52">
        <v>0</v>
      </c>
      <c r="I52">
        <v>13</v>
      </c>
      <c r="J52" t="s">
        <v>105</v>
      </c>
      <c r="K52">
        <f>VLOOKUP(I52,[1]Kayamandi1!$A:$D,3,FALSE)</f>
        <v>-33.925818220063</v>
      </c>
      <c r="L52">
        <f>VLOOKUP(I52,[1]Kayamandi1!$A:$D,4,FALSE)</f>
        <v>18.841667352151401</v>
      </c>
      <c r="M52">
        <f>VLOOKUP(I52,'col requests'!A$115:C$128,3,FALSE)</f>
        <v>1.57737148868426</v>
      </c>
    </row>
    <row r="53" spans="1:13">
      <c r="A53">
        <v>0</v>
      </c>
      <c r="B53">
        <v>11</v>
      </c>
      <c r="C53" t="s">
        <v>11</v>
      </c>
      <c r="D53">
        <f>VLOOKUP($B53,[1]Cloetesville!$A:$D,3,FALSE)</f>
        <v>-33.903257975498597</v>
      </c>
      <c r="E53">
        <f>VLOOKUP($B53,[1]Cloetesville!$A:$D,4,FALSE)</f>
        <v>18.8467229059513</v>
      </c>
      <c r="F53">
        <f>VLOOKUP(B53,'col requests'!A$101:C$114,3,FALSE)</f>
        <v>1.4907063053577301</v>
      </c>
      <c r="H53">
        <v>0</v>
      </c>
      <c r="I53">
        <v>6</v>
      </c>
      <c r="J53" t="s">
        <v>105</v>
      </c>
      <c r="K53">
        <f>VLOOKUP(I53,[1]Kayamandi1!$A:$D,3,FALSE)</f>
        <v>-33.924142775957598</v>
      </c>
      <c r="L53">
        <f>VLOOKUP(I53,[1]Kayamandi1!$A:$D,4,FALSE)</f>
        <v>18.840119179611399</v>
      </c>
      <c r="M53">
        <f>VLOOKUP(I53,'col requests'!A$115:C$128,3,FALSE)</f>
        <v>1.49598130104305</v>
      </c>
    </row>
    <row r="54" spans="1:13">
      <c r="A54">
        <v>0</v>
      </c>
      <c r="B54">
        <v>10</v>
      </c>
      <c r="C54" t="s">
        <v>11</v>
      </c>
      <c r="D54">
        <f>VLOOKUP($B54,[1]Cloetesville!$A:$D,3,FALSE)</f>
        <v>-33.906849370459703</v>
      </c>
      <c r="E54">
        <f>VLOOKUP($B54,[1]Cloetesville!$A:$D,4,FALSE)</f>
        <v>18.852286062134699</v>
      </c>
      <c r="F54">
        <f>VLOOKUP(B54,'col requests'!A$101:C$114,3,FALSE)</f>
        <v>1.4846803825661501</v>
      </c>
      <c r="H54">
        <v>0</v>
      </c>
      <c r="I54">
        <v>3</v>
      </c>
      <c r="J54" t="s">
        <v>105</v>
      </c>
      <c r="K54">
        <f>VLOOKUP(I54,[1]Kayamandi1!$A:$D,3,FALSE)</f>
        <v>-33.923985394422097</v>
      </c>
      <c r="L54">
        <f>VLOOKUP(I54,[1]Kayamandi1!$A:$D,4,FALSE)</f>
        <v>18.8379344828904</v>
      </c>
      <c r="M54">
        <f>VLOOKUP(I54,'col requests'!A$115:C$128,3,FALSE)</f>
        <v>1.4647256546712299</v>
      </c>
    </row>
    <row r="55" spans="1:13">
      <c r="A55">
        <v>0</v>
      </c>
      <c r="B55">
        <v>8</v>
      </c>
      <c r="C55" t="s">
        <v>11</v>
      </c>
      <c r="D55">
        <f>VLOOKUP($B55,[1]Cloetesville!$A:$D,3,FALSE)</f>
        <v>-33.9078376675687</v>
      </c>
      <c r="E55">
        <f>VLOOKUP($B55,[1]Cloetesville!$A:$D,4,FALSE)</f>
        <v>18.851270941766501</v>
      </c>
      <c r="F55">
        <f>VLOOKUP(B55,'col requests'!A$101:C$114,3,FALSE)</f>
        <v>1.42364154023839</v>
      </c>
      <c r="H55">
        <v>0</v>
      </c>
      <c r="I55">
        <v>1</v>
      </c>
      <c r="J55" t="s">
        <v>105</v>
      </c>
      <c r="K55">
        <f>VLOOKUP(I55,[1]Kayamandi1!$A:$D,3,FALSE)</f>
        <v>-33.922172958619797</v>
      </c>
      <c r="L55">
        <f>VLOOKUP(I55,[1]Kayamandi1!$A:$D,4,FALSE)</f>
        <v>18.837642046032499</v>
      </c>
      <c r="M55">
        <f>VLOOKUP(I55,'col requests'!A$115:C$128,3,FALSE)</f>
        <v>1.5548800961623901</v>
      </c>
    </row>
    <row r="56" spans="1:13">
      <c r="A56">
        <v>0</v>
      </c>
      <c r="B56">
        <v>6</v>
      </c>
      <c r="C56" t="s">
        <v>11</v>
      </c>
      <c r="D56">
        <f>VLOOKUP($B56,[1]Cloetesville!$A:$D,3,FALSE)</f>
        <v>-33.911021138859901</v>
      </c>
      <c r="E56">
        <f>VLOOKUP($B56,[1]Cloetesville!$A:$D,4,FALSE)</f>
        <v>18.850825337581401</v>
      </c>
      <c r="F56">
        <f>VLOOKUP(B56,'col requests'!A$101:C$114,3,FALSE)</f>
        <v>1.49598130104305</v>
      </c>
      <c r="H56">
        <v>0</v>
      </c>
      <c r="I56">
        <v>4</v>
      </c>
      <c r="J56" t="s">
        <v>105</v>
      </c>
      <c r="K56">
        <f>VLOOKUP(I56,[1]Kayamandi1!$A:$D,3,FALSE)</f>
        <v>-33.920061922686799</v>
      </c>
      <c r="L56">
        <f>VLOOKUP(I56,[1]Kayamandi1!$A:$D,4,FALSE)</f>
        <v>18.836340726081598</v>
      </c>
      <c r="M56">
        <f>VLOOKUP(I56,'col requests'!A$115:C$128,3,FALSE)</f>
        <v>1.4735181236542101</v>
      </c>
    </row>
    <row r="57" spans="1:13">
      <c r="A57">
        <v>0</v>
      </c>
      <c r="B57">
        <v>0</v>
      </c>
      <c r="C57" t="s">
        <v>11</v>
      </c>
      <c r="D57">
        <f>VLOOKUP($B57,[1]Cloetesville!$A:$D,3,FALSE)</f>
        <v>-33.90845831483</v>
      </c>
      <c r="E57">
        <f>VLOOKUP($B57,[1]Cloetesville!$A:$D,4,FALSE)</f>
        <v>18.8521130056046</v>
      </c>
      <c r="F57">
        <f>VLOOKUP(B57,'col requests'!A$101:C$114,3,FALSE)</f>
        <v>1.69283348994907</v>
      </c>
      <c r="H57">
        <v>0</v>
      </c>
      <c r="I57">
        <v>11</v>
      </c>
      <c r="J57" t="s">
        <v>105</v>
      </c>
      <c r="K57">
        <f>VLOOKUP(I57,[1]Kayamandi1!$A:$D,3,FALSE)</f>
        <v>-33.9215738675503</v>
      </c>
      <c r="L57">
        <f>VLOOKUP(I57,[1]Kayamandi1!$A:$D,4,FALSE)</f>
        <v>18.837819210059099</v>
      </c>
      <c r="M57">
        <f>VLOOKUP(I57,'col requests'!A$115:C$128,3,FALSE)</f>
        <v>1.4907063053577301</v>
      </c>
    </row>
    <row r="58" spans="1:13">
      <c r="A58">
        <v>0</v>
      </c>
      <c r="B58">
        <v>9</v>
      </c>
      <c r="C58" t="s">
        <v>11</v>
      </c>
      <c r="D58">
        <f>VLOOKUP($B58,[1]Cloetesville!$A:$D,3,FALSE)</f>
        <v>-33.9028196056395</v>
      </c>
      <c r="E58">
        <f>VLOOKUP($B58,[1]Cloetesville!$A:$D,4,FALSE)</f>
        <v>18.858739008196899</v>
      </c>
      <c r="F58">
        <f>VLOOKUP(B58,'col requests'!A$101:C$114,3,FALSE)</f>
        <v>1.5592576689839699</v>
      </c>
      <c r="H58">
        <v>0</v>
      </c>
      <c r="I58">
        <v>8</v>
      </c>
      <c r="J58" t="s">
        <v>105</v>
      </c>
      <c r="K58">
        <f>VLOOKUP(I58,[1]Kayamandi1!$A:$D,3,FALSE)</f>
        <v>-33.923089333464702</v>
      </c>
      <c r="L58">
        <f>VLOOKUP(I58,[1]Kayamandi1!$A:$D,4,FALSE)</f>
        <v>18.8403690012174</v>
      </c>
      <c r="M58">
        <f>VLOOKUP(I58,'col requests'!A$115:C$128,3,FALSE)</f>
        <v>1.42364154023839</v>
      </c>
    </row>
    <row r="59" spans="1:13">
      <c r="A59">
        <v>0</v>
      </c>
      <c r="B59">
        <v>7</v>
      </c>
      <c r="C59" t="s">
        <v>11</v>
      </c>
      <c r="D59">
        <f>VLOOKUP($B59,[1]Cloetesville!$A:$D,3,FALSE)</f>
        <v>-33.907922019346401</v>
      </c>
      <c r="E59">
        <f>VLOOKUP($B59,[1]Cloetesville!$A:$D,4,FALSE)</f>
        <v>18.8593188387797</v>
      </c>
      <c r="F59">
        <f>VLOOKUP(B59,'col requests'!A$101:C$114,3,FALSE)</f>
        <v>1.5546291163377</v>
      </c>
      <c r="H59">
        <v>0</v>
      </c>
      <c r="I59">
        <v>0</v>
      </c>
      <c r="J59" t="s">
        <v>105</v>
      </c>
      <c r="K59">
        <f>VLOOKUP(I59,[1]Kayamandi1!$A:$D,3,FALSE)</f>
        <v>-33.923294711851497</v>
      </c>
      <c r="L59">
        <f>VLOOKUP(I59,[1]Kayamandi1!$A:$D,4,FALSE)</f>
        <v>18.840841092251001</v>
      </c>
      <c r="M59">
        <f>VLOOKUP(I59,'col requests'!A$115:C$128,3,FALSE)</f>
        <v>1.69283348994907</v>
      </c>
    </row>
    <row r="60" spans="1:13">
      <c r="A60">
        <v>0</v>
      </c>
      <c r="B60">
        <v>12</v>
      </c>
      <c r="C60" t="s">
        <v>11</v>
      </c>
      <c r="D60">
        <f>VLOOKUP($B60,[1]Cloetesville!$A:$D,3,FALSE)</f>
        <v>-33.914602314213198</v>
      </c>
      <c r="E60">
        <f>VLOOKUP($B60,[1]Cloetesville!$A:$D,4,FALSE)</f>
        <v>18.859067067201899</v>
      </c>
      <c r="F60">
        <f>VLOOKUP(B60,'col requests'!A$101:C$114,3,FALSE)</f>
        <v>1.5686939489679499</v>
      </c>
      <c r="H60">
        <v>0</v>
      </c>
      <c r="I60">
        <v>10</v>
      </c>
      <c r="J60" t="s">
        <v>105</v>
      </c>
      <c r="K60">
        <f>VLOOKUP(I60,[1]Kayamandi1!$A:$D,3,FALSE)</f>
        <v>-33.922762296065898</v>
      </c>
      <c r="L60">
        <f>VLOOKUP(I60,[1]Kayamandi1!$A:$D,4,FALSE)</f>
        <v>18.8409381139167</v>
      </c>
      <c r="M60">
        <f>VLOOKUP(I60,'col requests'!A$115:C$128,3,FALSE)</f>
        <v>1.4846803825661501</v>
      </c>
    </row>
    <row r="61" spans="1:13">
      <c r="A61">
        <v>0</v>
      </c>
      <c r="B61">
        <v>13</v>
      </c>
      <c r="C61" t="s">
        <v>11</v>
      </c>
      <c r="D61">
        <f>VLOOKUP($B61,[1]Cloetesville!$A:$D,3,FALSE)</f>
        <v>-33.916084280175397</v>
      </c>
      <c r="E61">
        <f>VLOOKUP($B61,[1]Cloetesville!$A:$D,4,FALSE)</f>
        <v>18.853586796745201</v>
      </c>
      <c r="F61">
        <f>VLOOKUP(B61,'col requests'!A$101:C$114,3,FALSE)</f>
        <v>1.57737148868426</v>
      </c>
      <c r="H61">
        <v>0</v>
      </c>
      <c r="I61">
        <v>9</v>
      </c>
      <c r="J61" t="s">
        <v>105</v>
      </c>
      <c r="K61">
        <f>VLOOKUP(I61,[1]Kayamandi1!$A:$D,3,FALSE)</f>
        <v>-33.921428806579101</v>
      </c>
      <c r="L61">
        <f>VLOOKUP(I61,[1]Kayamandi1!$A:$D,4,FALSE)</f>
        <v>18.844555865729401</v>
      </c>
      <c r="M61">
        <f>VLOOKUP(I61,'col requests'!A$115:C$128,3,FALSE)</f>
        <v>1.5592576689839699</v>
      </c>
    </row>
    <row r="62" spans="1:13">
      <c r="A62">
        <v>1</v>
      </c>
      <c r="B62">
        <v>5</v>
      </c>
      <c r="C62" t="s">
        <v>11</v>
      </c>
      <c r="D62">
        <f>VLOOKUP($B62,[1]Cloetesville!$A:$D,3,FALSE)</f>
        <v>-33.917119772361403</v>
      </c>
      <c r="E62">
        <f>VLOOKUP($B62,[1]Cloetesville!$A:$D,4,FALSE)</f>
        <v>18.8538243231412</v>
      </c>
      <c r="F62">
        <f>VLOOKUP(B62,'col requests'!A$101:C$114,3,FALSE)</f>
        <v>1.6391054696131</v>
      </c>
      <c r="H62">
        <v>1</v>
      </c>
      <c r="I62">
        <v>7</v>
      </c>
      <c r="J62" t="s">
        <v>105</v>
      </c>
      <c r="K62">
        <f>VLOOKUP(I62,[1]Kayamandi1!$A:$D,3,FALSE)</f>
        <v>-33.923117246311698</v>
      </c>
      <c r="L62">
        <f>VLOOKUP(I62,[1]Kayamandi1!$A:$D,4,FALSE)</f>
        <v>18.8448809394432</v>
      </c>
      <c r="M62">
        <f>VLOOKUP(I62,'col requests'!A$115:C$128,3,FALSE)</f>
        <v>1.5546291163377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87"/>
  <sheetViews>
    <sheetView workbookViewId="0">
      <selection activeCell="I9" sqref="I9"/>
    </sheetView>
  </sheetViews>
  <sheetFormatPr defaultRowHeight="13.8"/>
  <cols>
    <col min="3" max="3" width="11.69921875" customWidth="1"/>
    <col min="9" max="9" width="14" bestFit="1" customWidth="1"/>
    <col min="10" max="10" width="10.59765625" bestFit="1" customWidth="1"/>
  </cols>
  <sheetData>
    <row r="1" spans="1:17">
      <c r="A1" t="s">
        <v>108</v>
      </c>
      <c r="B1" t="s">
        <v>115</v>
      </c>
      <c r="C1" t="s">
        <v>109</v>
      </c>
      <c r="D1" t="s">
        <v>110</v>
      </c>
      <c r="E1" t="s">
        <v>111</v>
      </c>
      <c r="F1" t="s">
        <v>102</v>
      </c>
      <c r="G1" t="s">
        <v>103</v>
      </c>
      <c r="H1" t="s">
        <v>112</v>
      </c>
      <c r="I1" t="s">
        <v>113</v>
      </c>
      <c r="J1" t="s">
        <v>114</v>
      </c>
      <c r="L1" s="32" t="s">
        <v>121</v>
      </c>
      <c r="M1" s="32"/>
      <c r="N1" s="32"/>
      <c r="O1" s="32"/>
      <c r="P1" s="32"/>
      <c r="Q1" s="32"/>
    </row>
    <row r="2" spans="1:17">
      <c r="A2">
        <v>0</v>
      </c>
      <c r="B2">
        <v>0</v>
      </c>
      <c r="C2" t="s">
        <v>46</v>
      </c>
      <c r="D2">
        <v>-33.930654513458599</v>
      </c>
      <c r="E2">
        <v>18.886916122156499</v>
      </c>
      <c r="F2">
        <v>4.3799999999999999E-2</v>
      </c>
      <c r="G2">
        <v>0.1096</v>
      </c>
      <c r="H2">
        <v>6.5750000000000003E-2</v>
      </c>
      <c r="I2">
        <v>2679.127</v>
      </c>
      <c r="J2">
        <v>7316.3770000000004</v>
      </c>
      <c r="L2" t="s">
        <v>116</v>
      </c>
      <c r="M2" t="s">
        <v>117</v>
      </c>
      <c r="N2" t="s">
        <v>118</v>
      </c>
      <c r="O2" t="s">
        <v>111</v>
      </c>
      <c r="P2" t="s">
        <v>119</v>
      </c>
      <c r="Q2" t="s">
        <v>120</v>
      </c>
    </row>
    <row r="3" spans="1:17">
      <c r="A3">
        <v>1</v>
      </c>
      <c r="B3">
        <v>0</v>
      </c>
      <c r="C3" t="s">
        <v>46</v>
      </c>
      <c r="D3">
        <v>-33.929716461482101</v>
      </c>
      <c r="E3">
        <v>18.883510883195299</v>
      </c>
      <c r="F3">
        <v>4.3799999999999999E-2</v>
      </c>
      <c r="G3">
        <v>0.1096</v>
      </c>
      <c r="H3">
        <v>6.5750000000000003E-2</v>
      </c>
      <c r="I3">
        <v>1697.1479999999999</v>
      </c>
      <c r="J3">
        <v>6742.7730000000001</v>
      </c>
      <c r="L3">
        <v>0</v>
      </c>
      <c r="M3">
        <v>1</v>
      </c>
      <c r="N3">
        <v>-33.930654513458599</v>
      </c>
      <c r="O3">
        <v>18.886916122156499</v>
      </c>
      <c r="P3">
        <v>0.5</v>
      </c>
      <c r="Q3">
        <v>0</v>
      </c>
    </row>
    <row r="4" spans="1:17">
      <c r="A4">
        <v>2</v>
      </c>
      <c r="B4">
        <v>0</v>
      </c>
      <c r="C4" t="s">
        <v>46</v>
      </c>
      <c r="D4">
        <v>-33.9326657427507</v>
      </c>
      <c r="E4">
        <v>18.886876777424</v>
      </c>
      <c r="F4">
        <v>4.3799999999999999E-2</v>
      </c>
      <c r="G4">
        <v>0.1096</v>
      </c>
      <c r="H4">
        <v>6.5750000000000003E-2</v>
      </c>
      <c r="I4">
        <v>2266.078</v>
      </c>
      <c r="J4">
        <v>6903.3289999999997</v>
      </c>
      <c r="L4">
        <v>1</v>
      </c>
      <c r="M4">
        <v>1</v>
      </c>
      <c r="N4">
        <v>-33.931232088037603</v>
      </c>
      <c r="O4">
        <v>18.883822168908001</v>
      </c>
      <c r="P4">
        <v>0.8</v>
      </c>
      <c r="Q4">
        <v>0</v>
      </c>
    </row>
    <row r="5" spans="1:17">
      <c r="A5">
        <v>3</v>
      </c>
      <c r="B5">
        <v>0</v>
      </c>
      <c r="C5" t="s">
        <v>46</v>
      </c>
      <c r="D5">
        <v>-33.931232088037603</v>
      </c>
      <c r="E5">
        <v>18.883822168908001</v>
      </c>
      <c r="F5">
        <v>4.3799999999999999E-2</v>
      </c>
      <c r="G5">
        <v>0.1096</v>
      </c>
      <c r="H5">
        <v>6.5750000000000003E-2</v>
      </c>
      <c r="I5">
        <v>1645.222</v>
      </c>
      <c r="J5">
        <v>6690.8469999999998</v>
      </c>
      <c r="L5">
        <v>2</v>
      </c>
      <c r="M5">
        <v>1</v>
      </c>
      <c r="N5">
        <v>-33.927951134337697</v>
      </c>
      <c r="O5">
        <v>18.882125687391401</v>
      </c>
      <c r="P5">
        <v>0.65</v>
      </c>
      <c r="Q5">
        <v>0</v>
      </c>
    </row>
    <row r="6" spans="1:17">
      <c r="A6">
        <v>4</v>
      </c>
      <c r="B6">
        <v>0</v>
      </c>
      <c r="C6" t="s">
        <v>46</v>
      </c>
      <c r="D6">
        <v>-33.927951134337697</v>
      </c>
      <c r="E6">
        <v>18.882125687391401</v>
      </c>
      <c r="F6">
        <v>4.3799999999999999E-2</v>
      </c>
      <c r="G6">
        <v>0.1096</v>
      </c>
      <c r="H6">
        <v>6.5750000000000003E-2</v>
      </c>
      <c r="I6">
        <v>1551.655</v>
      </c>
      <c r="J6">
        <v>6597.28</v>
      </c>
      <c r="L6">
        <v>3</v>
      </c>
      <c r="M6">
        <v>1</v>
      </c>
      <c r="N6">
        <v>-33.933051306022797</v>
      </c>
      <c r="O6">
        <v>18.887937387077301</v>
      </c>
      <c r="P6">
        <v>0.41</v>
      </c>
      <c r="Q6">
        <v>0</v>
      </c>
    </row>
    <row r="7" spans="1:17">
      <c r="A7">
        <v>5</v>
      </c>
      <c r="B7">
        <v>0</v>
      </c>
      <c r="C7" t="s">
        <v>46</v>
      </c>
      <c r="D7">
        <v>-33.933051306022797</v>
      </c>
      <c r="E7">
        <v>18.887937387077301</v>
      </c>
      <c r="F7">
        <v>4.3799999999999999E-2</v>
      </c>
      <c r="G7">
        <v>0.1096</v>
      </c>
      <c r="H7">
        <v>6.5750000000000003E-2</v>
      </c>
      <c r="I7">
        <v>2202.5749999999998</v>
      </c>
      <c r="J7">
        <v>6839.826</v>
      </c>
    </row>
    <row r="8" spans="1:17">
      <c r="A8">
        <v>6</v>
      </c>
      <c r="B8">
        <v>0</v>
      </c>
      <c r="C8" t="s">
        <v>46</v>
      </c>
      <c r="D8">
        <v>-33.931363696359497</v>
      </c>
      <c r="E8">
        <v>18.886147679039698</v>
      </c>
      <c r="F8">
        <v>4.3799999999999999E-2</v>
      </c>
      <c r="G8">
        <v>0.1096</v>
      </c>
      <c r="H8">
        <v>6.5750000000000003E-2</v>
      </c>
      <c r="I8">
        <v>2549.797</v>
      </c>
      <c r="J8">
        <v>7187.0469999999996</v>
      </c>
    </row>
    <row r="9" spans="1:17">
      <c r="A9">
        <v>7</v>
      </c>
      <c r="B9">
        <v>0</v>
      </c>
      <c r="C9" t="s">
        <v>46</v>
      </c>
      <c r="D9">
        <v>-33.9305061101417</v>
      </c>
      <c r="E9">
        <v>18.891216355450101</v>
      </c>
      <c r="F9">
        <v>4.3799999999999999E-2</v>
      </c>
      <c r="G9">
        <v>0.1096</v>
      </c>
      <c r="H9">
        <v>6.5750000000000003E-2</v>
      </c>
      <c r="I9">
        <v>2626.2049999999999</v>
      </c>
      <c r="J9">
        <v>7263.4560000000001</v>
      </c>
    </row>
    <row r="10" spans="1:17">
      <c r="A10">
        <v>8</v>
      </c>
      <c r="B10">
        <v>0</v>
      </c>
      <c r="C10" t="s">
        <v>46</v>
      </c>
      <c r="D10">
        <v>-33.930482768375803</v>
      </c>
      <c r="E10">
        <v>18.8864136027582</v>
      </c>
      <c r="F10">
        <v>4.3799999999999999E-2</v>
      </c>
      <c r="G10">
        <v>0.1096</v>
      </c>
      <c r="H10">
        <v>6.5750000000000003E-2</v>
      </c>
      <c r="I10">
        <v>2338.279</v>
      </c>
      <c r="J10">
        <v>7383.9030000000002</v>
      </c>
    </row>
    <row r="11" spans="1:17">
      <c r="A11">
        <v>9</v>
      </c>
      <c r="B11">
        <v>0</v>
      </c>
      <c r="C11" t="s">
        <v>46</v>
      </c>
      <c r="D11">
        <v>-33.929094173734001</v>
      </c>
      <c r="E11">
        <v>18.890870329291001</v>
      </c>
      <c r="F11">
        <v>4.3799999999999999E-2</v>
      </c>
      <c r="G11">
        <v>0.1096</v>
      </c>
      <c r="H11">
        <v>6.5750000000000003E-2</v>
      </c>
      <c r="I11">
        <v>3109.1669999999999</v>
      </c>
      <c r="J11">
        <v>8167.5820000000003</v>
      </c>
    </row>
    <row r="12" spans="1:17">
      <c r="A12">
        <v>10</v>
      </c>
      <c r="B12">
        <v>0</v>
      </c>
      <c r="C12" t="s">
        <v>46</v>
      </c>
      <c r="D12">
        <v>-33.930209287480302</v>
      </c>
      <c r="E12">
        <v>18.887019397299699</v>
      </c>
      <c r="F12">
        <v>4.3799999999999999E-2</v>
      </c>
      <c r="G12">
        <v>0.1096</v>
      </c>
      <c r="H12">
        <v>6.5750000000000003E-2</v>
      </c>
      <c r="I12">
        <v>2679.127</v>
      </c>
      <c r="J12">
        <v>7316.3770000000004</v>
      </c>
    </row>
    <row r="13" spans="1:17">
      <c r="A13">
        <v>11</v>
      </c>
      <c r="B13">
        <v>0</v>
      </c>
      <c r="C13" t="s">
        <v>46</v>
      </c>
      <c r="D13">
        <v>-33.9292154791396</v>
      </c>
      <c r="E13">
        <v>18.8836994662305</v>
      </c>
      <c r="F13">
        <v>4.3799999999999999E-2</v>
      </c>
      <c r="G13">
        <v>0.1096</v>
      </c>
      <c r="H13">
        <v>6.5750000000000003E-2</v>
      </c>
      <c r="I13">
        <v>2034.8109999999999</v>
      </c>
      <c r="J13">
        <v>7080.4359999999997</v>
      </c>
    </row>
    <row r="14" spans="1:17">
      <c r="A14">
        <v>12</v>
      </c>
      <c r="B14">
        <v>0</v>
      </c>
      <c r="C14" t="s">
        <v>46</v>
      </c>
      <c r="D14">
        <v>-33.932354676737397</v>
      </c>
      <c r="E14">
        <v>18.891066105438</v>
      </c>
      <c r="F14">
        <v>4.3799999999999999E-2</v>
      </c>
      <c r="G14">
        <v>0.1096</v>
      </c>
      <c r="H14">
        <v>6.5750000000000003E-2</v>
      </c>
      <c r="I14">
        <v>2564.17</v>
      </c>
      <c r="J14">
        <v>7201.4210000000003</v>
      </c>
    </row>
    <row r="15" spans="1:17">
      <c r="A15">
        <v>13</v>
      </c>
      <c r="B15">
        <v>0</v>
      </c>
      <c r="C15" t="s">
        <v>46</v>
      </c>
      <c r="D15">
        <v>-33.932764765338099</v>
      </c>
      <c r="E15">
        <v>18.887795638178702</v>
      </c>
      <c r="F15">
        <v>4.3799999999999999E-2</v>
      </c>
      <c r="G15">
        <v>0.1096</v>
      </c>
      <c r="H15">
        <v>6.5750000000000003E-2</v>
      </c>
      <c r="I15">
        <v>2335.444</v>
      </c>
      <c r="J15">
        <v>6972.6949999999997</v>
      </c>
    </row>
    <row r="16" spans="1:17">
      <c r="A16">
        <v>0</v>
      </c>
      <c r="B16">
        <v>1</v>
      </c>
      <c r="C16" t="s">
        <v>42</v>
      </c>
      <c r="D16">
        <v>-33.928018285186504</v>
      </c>
      <c r="E16">
        <v>18.878326864082201</v>
      </c>
      <c r="F16">
        <v>4.3799999999999999E-2</v>
      </c>
      <c r="G16">
        <v>0.1096</v>
      </c>
      <c r="H16">
        <v>6.5750000000000003E-2</v>
      </c>
      <c r="I16">
        <v>1337.307</v>
      </c>
      <c r="J16">
        <v>6382.9319999999998</v>
      </c>
    </row>
    <row r="17" spans="1:10">
      <c r="A17">
        <v>1</v>
      </c>
      <c r="B17">
        <v>1</v>
      </c>
      <c r="C17" t="s">
        <v>42</v>
      </c>
      <c r="D17">
        <v>-33.927268041894997</v>
      </c>
      <c r="E17">
        <v>18.875581945684601</v>
      </c>
      <c r="F17">
        <v>4.3799999999999999E-2</v>
      </c>
      <c r="G17">
        <v>0.1096</v>
      </c>
      <c r="H17">
        <v>6.5750000000000003E-2</v>
      </c>
      <c r="I17">
        <v>1346.0440000000001</v>
      </c>
      <c r="J17">
        <v>6391.6679999999997</v>
      </c>
    </row>
    <row r="18" spans="1:10">
      <c r="A18">
        <v>2</v>
      </c>
      <c r="B18">
        <v>1</v>
      </c>
      <c r="C18" t="s">
        <v>42</v>
      </c>
      <c r="D18">
        <v>-33.929626843477301</v>
      </c>
      <c r="E18">
        <v>18.8782951488101</v>
      </c>
      <c r="F18">
        <v>4.3799999999999999E-2</v>
      </c>
      <c r="G18">
        <v>0.1096</v>
      </c>
      <c r="H18">
        <v>6.5750000000000003E-2</v>
      </c>
      <c r="I18">
        <v>1070.133</v>
      </c>
      <c r="J18">
        <v>6115.7569999999996</v>
      </c>
    </row>
    <row r="19" spans="1:10">
      <c r="A19">
        <v>3</v>
      </c>
      <c r="B19">
        <v>1</v>
      </c>
      <c r="C19" t="s">
        <v>42</v>
      </c>
      <c r="D19">
        <v>-33.928480222759298</v>
      </c>
      <c r="E19">
        <v>18.8758328690087</v>
      </c>
      <c r="F19">
        <v>4.3799999999999999E-2</v>
      </c>
      <c r="G19">
        <v>0.1096</v>
      </c>
      <c r="H19">
        <v>6.5750000000000003E-2</v>
      </c>
      <c r="I19">
        <v>978.024</v>
      </c>
      <c r="J19">
        <v>6023.6480000000001</v>
      </c>
    </row>
    <row r="20" spans="1:10">
      <c r="A20">
        <v>4</v>
      </c>
      <c r="B20">
        <v>1</v>
      </c>
      <c r="C20" t="s">
        <v>42</v>
      </c>
      <c r="D20">
        <v>-33.925856153342401</v>
      </c>
      <c r="E20">
        <v>18.874465357542199</v>
      </c>
      <c r="F20">
        <v>4.3799999999999999E-2</v>
      </c>
      <c r="G20">
        <v>0.1096</v>
      </c>
      <c r="H20">
        <v>6.5750000000000003E-2</v>
      </c>
      <c r="I20">
        <v>1496.2249999999999</v>
      </c>
      <c r="J20">
        <v>6326.2389999999996</v>
      </c>
    </row>
    <row r="21" spans="1:10">
      <c r="A21">
        <v>5</v>
      </c>
      <c r="B21">
        <v>1</v>
      </c>
      <c r="C21" t="s">
        <v>42</v>
      </c>
      <c r="D21">
        <v>-33.929935212592902</v>
      </c>
      <c r="E21">
        <v>18.879150092320199</v>
      </c>
      <c r="F21">
        <v>4.3799999999999999E-2</v>
      </c>
      <c r="G21">
        <v>0.1096</v>
      </c>
      <c r="H21">
        <v>6.5750000000000003E-2</v>
      </c>
      <c r="I21">
        <v>1149.9780000000001</v>
      </c>
      <c r="J21">
        <v>6195.6030000000001</v>
      </c>
    </row>
    <row r="22" spans="1:10">
      <c r="A22">
        <v>6</v>
      </c>
      <c r="B22">
        <v>1</v>
      </c>
      <c r="C22" t="s">
        <v>42</v>
      </c>
      <c r="D22">
        <v>-33.928585481596897</v>
      </c>
      <c r="E22">
        <v>18.877707432179498</v>
      </c>
      <c r="F22">
        <v>4.3799999999999999E-2</v>
      </c>
      <c r="G22">
        <v>0.1096</v>
      </c>
      <c r="H22">
        <v>6.5750000000000003E-2</v>
      </c>
      <c r="I22">
        <v>1261.3720000000001</v>
      </c>
      <c r="J22">
        <v>6306.9970000000003</v>
      </c>
    </row>
    <row r="23" spans="1:10">
      <c r="A23">
        <v>7</v>
      </c>
      <c r="B23">
        <v>1</v>
      </c>
      <c r="C23" t="s">
        <v>42</v>
      </c>
      <c r="D23">
        <v>-33.927899593903099</v>
      </c>
      <c r="E23">
        <v>18.881793225654999</v>
      </c>
      <c r="F23">
        <v>4.3799999999999999E-2</v>
      </c>
      <c r="G23">
        <v>0.1096</v>
      </c>
      <c r="H23">
        <v>6.5750000000000003E-2</v>
      </c>
      <c r="I23">
        <v>1550.4770000000001</v>
      </c>
      <c r="J23">
        <v>6596.1019999999999</v>
      </c>
    </row>
    <row r="24" spans="1:10">
      <c r="A24">
        <v>8</v>
      </c>
      <c r="B24">
        <v>1</v>
      </c>
      <c r="C24" t="s">
        <v>42</v>
      </c>
      <c r="D24">
        <v>-33.927880925424503</v>
      </c>
      <c r="E24">
        <v>18.877921789796002</v>
      </c>
      <c r="F24">
        <v>4.3799999999999999E-2</v>
      </c>
      <c r="G24">
        <v>0.1096</v>
      </c>
      <c r="H24">
        <v>6.5750000000000003E-2</v>
      </c>
      <c r="I24">
        <v>1277.3789999999999</v>
      </c>
      <c r="J24">
        <v>6323.0039999999999</v>
      </c>
    </row>
    <row r="25" spans="1:10">
      <c r="A25">
        <v>9</v>
      </c>
      <c r="B25">
        <v>1</v>
      </c>
      <c r="C25" t="s">
        <v>42</v>
      </c>
      <c r="D25">
        <v>-33.926770343238601</v>
      </c>
      <c r="E25">
        <v>18.881514298513299</v>
      </c>
      <c r="F25">
        <v>4.3799999999999999E-2</v>
      </c>
      <c r="G25">
        <v>0.1096</v>
      </c>
      <c r="H25">
        <v>6.5750000000000003E-2</v>
      </c>
      <c r="I25">
        <v>2013.66</v>
      </c>
      <c r="J25">
        <v>7072.0749999999998</v>
      </c>
    </row>
    <row r="26" spans="1:10">
      <c r="A26">
        <v>10</v>
      </c>
      <c r="B26">
        <v>1</v>
      </c>
      <c r="C26" t="s">
        <v>42</v>
      </c>
      <c r="D26">
        <v>-33.927662198517801</v>
      </c>
      <c r="E26">
        <v>18.8784101128185</v>
      </c>
      <c r="F26">
        <v>4.3799999999999999E-2</v>
      </c>
      <c r="G26">
        <v>0.1096</v>
      </c>
      <c r="H26">
        <v>6.5750000000000003E-2</v>
      </c>
      <c r="I26">
        <v>1309.905</v>
      </c>
      <c r="J26">
        <v>6355.53</v>
      </c>
    </row>
    <row r="27" spans="1:10">
      <c r="A27">
        <v>11</v>
      </c>
      <c r="B27">
        <v>1</v>
      </c>
      <c r="C27" t="s">
        <v>42</v>
      </c>
      <c r="D27">
        <v>-33.926867361920898</v>
      </c>
      <c r="E27">
        <v>18.8757339599922</v>
      </c>
      <c r="F27">
        <v>4.3799999999999999E-2</v>
      </c>
      <c r="G27">
        <v>0.1096</v>
      </c>
      <c r="H27">
        <v>6.5750000000000003E-2</v>
      </c>
      <c r="I27">
        <v>1310.53</v>
      </c>
      <c r="J27">
        <v>6356.1540000000005</v>
      </c>
    </row>
    <row r="28" spans="1:10">
      <c r="A28">
        <v>12</v>
      </c>
      <c r="B28">
        <v>1</v>
      </c>
      <c r="C28" t="s">
        <v>42</v>
      </c>
      <c r="D28">
        <v>-33.929378056421299</v>
      </c>
      <c r="E28">
        <v>18.881672111093899</v>
      </c>
      <c r="F28">
        <v>4.3799999999999999E-2</v>
      </c>
      <c r="G28">
        <v>0.1096</v>
      </c>
      <c r="H28">
        <v>6.5750000000000003E-2</v>
      </c>
      <c r="I28">
        <v>1393.259</v>
      </c>
      <c r="J28">
        <v>6438.884</v>
      </c>
    </row>
    <row r="29" spans="1:10">
      <c r="A29">
        <v>13</v>
      </c>
      <c r="B29">
        <v>1</v>
      </c>
      <c r="C29" t="s">
        <v>42</v>
      </c>
      <c r="D29">
        <v>-33.9297060406154</v>
      </c>
      <c r="E29">
        <v>18.879035830394901</v>
      </c>
      <c r="F29">
        <v>4.3799999999999999E-2</v>
      </c>
      <c r="G29">
        <v>0.1096</v>
      </c>
      <c r="H29">
        <v>6.5750000000000003E-2</v>
      </c>
      <c r="I29">
        <v>1142.778</v>
      </c>
      <c r="J29">
        <v>6188.4030000000002</v>
      </c>
    </row>
    <row r="30" spans="1:10">
      <c r="A30">
        <v>0</v>
      </c>
      <c r="B30">
        <v>2</v>
      </c>
      <c r="C30" t="s">
        <v>10</v>
      </c>
      <c r="D30">
        <v>-33.955665864907999</v>
      </c>
      <c r="E30">
        <v>18.8661798284563</v>
      </c>
      <c r="F30">
        <v>4.3799999999999999E-2</v>
      </c>
      <c r="G30">
        <v>0.1096</v>
      </c>
      <c r="H30">
        <v>6.5750000000000003E-2</v>
      </c>
      <c r="I30">
        <v>5716.9260000000004</v>
      </c>
      <c r="J30">
        <v>6559.8209999999999</v>
      </c>
    </row>
    <row r="31" spans="1:10">
      <c r="A31">
        <v>1</v>
      </c>
      <c r="B31">
        <v>2</v>
      </c>
      <c r="C31" t="s">
        <v>10</v>
      </c>
      <c r="D31">
        <v>-33.954589435039097</v>
      </c>
      <c r="E31">
        <v>18.8593848239857</v>
      </c>
      <c r="F31">
        <v>4.3799999999999999E-2</v>
      </c>
      <c r="G31">
        <v>0.1096</v>
      </c>
      <c r="H31">
        <v>6.5750000000000003E-2</v>
      </c>
      <c r="I31">
        <v>5107.777</v>
      </c>
      <c r="J31">
        <v>5950.6710000000003</v>
      </c>
    </row>
    <row r="32" spans="1:10">
      <c r="A32">
        <v>2</v>
      </c>
      <c r="B32">
        <v>2</v>
      </c>
      <c r="C32" t="s">
        <v>10</v>
      </c>
      <c r="D32">
        <v>-33.9579737831655</v>
      </c>
      <c r="E32">
        <v>18.866101317774302</v>
      </c>
      <c r="F32">
        <v>4.3799999999999999E-2</v>
      </c>
      <c r="G32">
        <v>0.1096</v>
      </c>
      <c r="H32">
        <v>6.5750000000000003E-2</v>
      </c>
      <c r="I32">
        <v>5877.6869999999999</v>
      </c>
      <c r="J32">
        <v>6720.5810000000001</v>
      </c>
    </row>
    <row r="33" spans="1:10">
      <c r="A33">
        <v>3</v>
      </c>
      <c r="B33">
        <v>2</v>
      </c>
      <c r="C33" t="s">
        <v>10</v>
      </c>
      <c r="D33">
        <v>-33.956328641112101</v>
      </c>
      <c r="E33">
        <v>18.860005980924601</v>
      </c>
      <c r="F33">
        <v>4.3799999999999999E-2</v>
      </c>
      <c r="G33">
        <v>0.1096</v>
      </c>
      <c r="H33">
        <v>6.5750000000000003E-2</v>
      </c>
      <c r="I33">
        <v>4779.9799999999996</v>
      </c>
      <c r="J33">
        <v>5622.875</v>
      </c>
    </row>
    <row r="34" spans="1:10">
      <c r="A34">
        <v>4</v>
      </c>
      <c r="B34">
        <v>2</v>
      </c>
      <c r="C34" t="s">
        <v>10</v>
      </c>
      <c r="D34">
        <v>-33.952563693487399</v>
      </c>
      <c r="E34">
        <v>18.856620726726501</v>
      </c>
      <c r="F34">
        <v>4.3799999999999999E-2</v>
      </c>
      <c r="G34">
        <v>0.1096</v>
      </c>
      <c r="H34">
        <v>6.5750000000000003E-2</v>
      </c>
      <c r="I34">
        <v>3569.627</v>
      </c>
      <c r="J34">
        <v>4630.6850000000004</v>
      </c>
    </row>
    <row r="35" spans="1:10">
      <c r="A35">
        <v>5</v>
      </c>
      <c r="B35">
        <v>2</v>
      </c>
      <c r="C35" t="s">
        <v>10</v>
      </c>
      <c r="D35">
        <v>-33.958416223278398</v>
      </c>
      <c r="E35">
        <v>18.8682177176563</v>
      </c>
      <c r="F35">
        <v>4.3799999999999999E-2</v>
      </c>
      <c r="G35">
        <v>0.1096</v>
      </c>
      <c r="H35">
        <v>6.5750000000000003E-2</v>
      </c>
      <c r="I35">
        <v>4437.2690000000002</v>
      </c>
      <c r="J35">
        <v>6232.3940000000002</v>
      </c>
    </row>
    <row r="36" spans="1:10">
      <c r="A36">
        <v>6</v>
      </c>
      <c r="B36">
        <v>2</v>
      </c>
      <c r="C36" t="s">
        <v>10</v>
      </c>
      <c r="D36">
        <v>-33.956479663797701</v>
      </c>
      <c r="E36">
        <v>18.864646434038601</v>
      </c>
      <c r="F36">
        <v>4.3799999999999999E-2</v>
      </c>
      <c r="G36">
        <v>0.1096</v>
      </c>
      <c r="H36">
        <v>6.5750000000000003E-2</v>
      </c>
      <c r="I36">
        <v>5606.643</v>
      </c>
      <c r="J36">
        <v>6449.5379999999996</v>
      </c>
    </row>
    <row r="37" spans="1:10">
      <c r="A37">
        <v>7</v>
      </c>
      <c r="B37">
        <v>2</v>
      </c>
      <c r="C37" t="s">
        <v>10</v>
      </c>
      <c r="D37">
        <v>-33.955495569692999</v>
      </c>
      <c r="E37">
        <v>18.874760754725202</v>
      </c>
      <c r="F37">
        <v>4.3799999999999999E-2</v>
      </c>
      <c r="G37">
        <v>0.1096</v>
      </c>
      <c r="H37">
        <v>6.5750000000000003E-2</v>
      </c>
      <c r="I37">
        <v>4413.3239999999996</v>
      </c>
      <c r="J37">
        <v>6494.1549999999997</v>
      </c>
    </row>
    <row r="38" spans="1:10">
      <c r="A38">
        <v>8</v>
      </c>
      <c r="B38">
        <v>2</v>
      </c>
      <c r="C38" t="s">
        <v>10</v>
      </c>
      <c r="D38">
        <v>-33.955468784637802</v>
      </c>
      <c r="E38">
        <v>18.865177073114602</v>
      </c>
      <c r="F38">
        <v>4.3799999999999999E-2</v>
      </c>
      <c r="G38">
        <v>0.1096</v>
      </c>
      <c r="H38">
        <v>6.5750000000000003E-2</v>
      </c>
      <c r="I38">
        <v>3851.9630000000002</v>
      </c>
      <c r="J38">
        <v>5647.0879999999997</v>
      </c>
    </row>
    <row r="39" spans="1:10">
      <c r="A39">
        <v>9</v>
      </c>
      <c r="B39">
        <v>2</v>
      </c>
      <c r="C39" t="s">
        <v>10</v>
      </c>
      <c r="D39">
        <v>-33.953875349747598</v>
      </c>
      <c r="E39">
        <v>18.874070274754501</v>
      </c>
      <c r="F39">
        <v>4.3799999999999999E-2</v>
      </c>
      <c r="G39">
        <v>0.1096</v>
      </c>
      <c r="H39">
        <v>6.5750000000000003E-2</v>
      </c>
      <c r="I39">
        <v>3324.2950000000001</v>
      </c>
      <c r="J39">
        <v>6979.0680000000002</v>
      </c>
    </row>
    <row r="40" spans="1:10">
      <c r="A40">
        <v>10</v>
      </c>
      <c r="B40">
        <v>2</v>
      </c>
      <c r="C40" t="s">
        <v>10</v>
      </c>
      <c r="D40">
        <v>-33.955154960871297</v>
      </c>
      <c r="E40">
        <v>18.866385909458899</v>
      </c>
      <c r="F40">
        <v>4.3799999999999999E-2</v>
      </c>
      <c r="G40">
        <v>0.1096</v>
      </c>
      <c r="H40">
        <v>6.5750000000000003E-2</v>
      </c>
      <c r="I40">
        <v>3813.944</v>
      </c>
      <c r="J40">
        <v>5609.0690000000004</v>
      </c>
    </row>
    <row r="41" spans="1:10">
      <c r="A41">
        <v>11</v>
      </c>
      <c r="B41">
        <v>2</v>
      </c>
      <c r="C41" t="s">
        <v>10</v>
      </c>
      <c r="D41">
        <v>-33.954014549669402</v>
      </c>
      <c r="E41">
        <v>18.859761133132299</v>
      </c>
      <c r="F41">
        <v>4.3799999999999999E-2</v>
      </c>
      <c r="G41">
        <v>0.1096</v>
      </c>
      <c r="H41">
        <v>6.5750000000000003E-2</v>
      </c>
      <c r="I41">
        <v>3575.721</v>
      </c>
      <c r="J41">
        <v>5087.8909999999996</v>
      </c>
    </row>
    <row r="42" spans="1:10">
      <c r="A42">
        <v>12</v>
      </c>
      <c r="B42">
        <v>2</v>
      </c>
      <c r="C42" t="s">
        <v>10</v>
      </c>
      <c r="D42">
        <v>-33.957616829866303</v>
      </c>
      <c r="E42">
        <v>18.874460937439199</v>
      </c>
      <c r="F42">
        <v>4.3799999999999999E-2</v>
      </c>
      <c r="G42">
        <v>0.1096</v>
      </c>
      <c r="H42">
        <v>6.5750000000000003E-2</v>
      </c>
      <c r="I42">
        <v>4559.5169999999998</v>
      </c>
      <c r="J42">
        <v>6640.348</v>
      </c>
    </row>
    <row r="43" spans="1:10">
      <c r="A43">
        <v>13</v>
      </c>
      <c r="B43">
        <v>2</v>
      </c>
      <c r="C43" t="s">
        <v>10</v>
      </c>
      <c r="D43">
        <v>-33.958087413191798</v>
      </c>
      <c r="E43">
        <v>18.867934863967999</v>
      </c>
      <c r="F43">
        <v>4.3799999999999999E-2</v>
      </c>
      <c r="G43">
        <v>0.1096</v>
      </c>
      <c r="H43">
        <v>6.5750000000000003E-2</v>
      </c>
      <c r="I43">
        <v>4411.2830000000004</v>
      </c>
      <c r="J43">
        <v>6206.4080000000004</v>
      </c>
    </row>
    <row r="44" spans="1:10">
      <c r="A44">
        <v>14</v>
      </c>
      <c r="B44">
        <v>2</v>
      </c>
      <c r="C44" t="s">
        <v>10</v>
      </c>
      <c r="D44">
        <v>-33.957746367359199</v>
      </c>
      <c r="E44">
        <v>18.872520786610899</v>
      </c>
      <c r="F44">
        <v>4.3799999999999999E-2</v>
      </c>
      <c r="G44">
        <v>0.1096</v>
      </c>
      <c r="H44">
        <v>6.5750000000000003E-2</v>
      </c>
      <c r="I44">
        <v>4663.1040000000003</v>
      </c>
      <c r="J44">
        <v>6458.2290000000003</v>
      </c>
    </row>
    <row r="45" spans="1:10">
      <c r="A45">
        <v>15</v>
      </c>
      <c r="B45">
        <v>2</v>
      </c>
      <c r="C45" t="s">
        <v>10</v>
      </c>
      <c r="D45">
        <v>-33.955454853810501</v>
      </c>
      <c r="E45">
        <v>18.874536449673599</v>
      </c>
      <c r="F45">
        <v>4.3799999999999999E-2</v>
      </c>
      <c r="G45">
        <v>0.1096</v>
      </c>
      <c r="H45">
        <v>6.5750000000000003E-2</v>
      </c>
      <c r="I45">
        <v>4392.4759999999997</v>
      </c>
      <c r="J45">
        <v>6473.3069999999998</v>
      </c>
    </row>
    <row r="46" spans="1:10">
      <c r="A46">
        <v>16</v>
      </c>
      <c r="B46">
        <v>2</v>
      </c>
      <c r="C46" t="s">
        <v>10</v>
      </c>
      <c r="D46">
        <v>-33.953064745346502</v>
      </c>
      <c r="E46">
        <v>18.858232283807801</v>
      </c>
      <c r="F46">
        <v>4.3799999999999999E-2</v>
      </c>
      <c r="G46">
        <v>0.1096</v>
      </c>
      <c r="H46">
        <v>6.5750000000000003E-2</v>
      </c>
      <c r="I46">
        <v>3776.1239999999998</v>
      </c>
      <c r="J46">
        <v>4837.1809999999996</v>
      </c>
    </row>
    <row r="47" spans="1:10">
      <c r="A47">
        <v>17</v>
      </c>
      <c r="B47">
        <v>2</v>
      </c>
      <c r="C47" t="s">
        <v>10</v>
      </c>
      <c r="D47">
        <v>-33.958568897861902</v>
      </c>
      <c r="E47">
        <v>18.867550565838201</v>
      </c>
      <c r="F47">
        <v>4.3799999999999999E-2</v>
      </c>
      <c r="G47">
        <v>0.1096</v>
      </c>
      <c r="H47">
        <v>6.5750000000000003E-2</v>
      </c>
      <c r="I47">
        <v>5345.4340000000002</v>
      </c>
      <c r="J47">
        <v>6188.3289999999997</v>
      </c>
    </row>
    <row r="48" spans="1:10">
      <c r="A48">
        <v>0</v>
      </c>
      <c r="B48">
        <v>3</v>
      </c>
      <c r="C48" t="s">
        <v>35</v>
      </c>
      <c r="D48">
        <v>-33.964103482266701</v>
      </c>
      <c r="E48">
        <v>18.855042954120002</v>
      </c>
      <c r="F48">
        <v>4.3799999999999999E-2</v>
      </c>
      <c r="G48">
        <v>0.1096</v>
      </c>
      <c r="H48">
        <v>6.5750000000000003E-2</v>
      </c>
      <c r="I48">
        <v>5612.9179999999997</v>
      </c>
      <c r="J48">
        <v>6455.8130000000001</v>
      </c>
    </row>
    <row r="49" spans="1:10">
      <c r="A49">
        <v>1</v>
      </c>
      <c r="B49">
        <v>3</v>
      </c>
      <c r="C49" t="s">
        <v>35</v>
      </c>
      <c r="D49">
        <v>-33.962913743990697</v>
      </c>
      <c r="E49">
        <v>18.8513523559178</v>
      </c>
      <c r="F49">
        <v>4.3799999999999999E-2</v>
      </c>
      <c r="G49">
        <v>0.1096</v>
      </c>
      <c r="H49">
        <v>6.5750000000000003E-2</v>
      </c>
      <c r="I49">
        <v>5074.384</v>
      </c>
      <c r="J49">
        <v>5917.2790000000005</v>
      </c>
    </row>
    <row r="50" spans="1:10">
      <c r="A50">
        <v>2</v>
      </c>
      <c r="B50">
        <v>3</v>
      </c>
      <c r="C50" t="s">
        <v>35</v>
      </c>
      <c r="D50">
        <v>-33.966654339288198</v>
      </c>
      <c r="E50">
        <v>18.855000312296401</v>
      </c>
      <c r="F50">
        <v>4.3799999999999999E-2</v>
      </c>
      <c r="G50">
        <v>0.1096</v>
      </c>
      <c r="H50">
        <v>6.5750000000000003E-2</v>
      </c>
      <c r="I50">
        <v>6112.634</v>
      </c>
      <c r="J50">
        <v>6955.5290000000005</v>
      </c>
    </row>
    <row r="51" spans="1:10">
      <c r="A51">
        <v>3</v>
      </c>
      <c r="B51">
        <v>3</v>
      </c>
      <c r="C51" t="s">
        <v>35</v>
      </c>
      <c r="D51">
        <v>-33.964836024387097</v>
      </c>
      <c r="E51">
        <v>18.851689727393001</v>
      </c>
      <c r="F51">
        <v>4.3799999999999999E-2</v>
      </c>
      <c r="G51">
        <v>0.1096</v>
      </c>
      <c r="H51">
        <v>6.5750000000000003E-2</v>
      </c>
      <c r="I51">
        <v>5315.5810000000001</v>
      </c>
      <c r="J51">
        <v>6158.4759999999997</v>
      </c>
    </row>
    <row r="52" spans="1:10">
      <c r="A52">
        <v>4</v>
      </c>
      <c r="B52">
        <v>3</v>
      </c>
      <c r="C52" t="s">
        <v>35</v>
      </c>
      <c r="D52">
        <v>-33.960674766486001</v>
      </c>
      <c r="E52">
        <v>18.8498510806178</v>
      </c>
      <c r="F52">
        <v>4.3799999999999999E-2</v>
      </c>
      <c r="G52">
        <v>0.1096</v>
      </c>
      <c r="H52">
        <v>6.5750000000000003E-2</v>
      </c>
      <c r="I52">
        <v>5030.6499999999996</v>
      </c>
      <c r="J52">
        <v>5873.5439999999999</v>
      </c>
    </row>
    <row r="53" spans="1:10">
      <c r="A53">
        <v>5</v>
      </c>
      <c r="B53">
        <v>3</v>
      </c>
      <c r="C53" t="s">
        <v>35</v>
      </c>
      <c r="D53">
        <v>-33.967143352044602</v>
      </c>
      <c r="E53">
        <v>18.8561498011059</v>
      </c>
      <c r="F53">
        <v>4.3799999999999999E-2</v>
      </c>
      <c r="G53">
        <v>0.1096</v>
      </c>
      <c r="H53">
        <v>6.5750000000000003E-2</v>
      </c>
      <c r="I53">
        <v>6032.1850000000004</v>
      </c>
      <c r="J53">
        <v>6875.08</v>
      </c>
    </row>
    <row r="54" spans="1:10">
      <c r="A54">
        <v>6</v>
      </c>
      <c r="B54">
        <v>3</v>
      </c>
      <c r="C54" t="s">
        <v>35</v>
      </c>
      <c r="D54">
        <v>-33.965002944197501</v>
      </c>
      <c r="E54">
        <v>18.854210115421299</v>
      </c>
      <c r="F54">
        <v>4.3799999999999999E-2</v>
      </c>
      <c r="G54">
        <v>0.1096</v>
      </c>
      <c r="H54">
        <v>6.5750000000000003E-2</v>
      </c>
      <c r="I54">
        <v>5464.0439999999999</v>
      </c>
      <c r="J54">
        <v>6306.9390000000003</v>
      </c>
    </row>
    <row r="55" spans="1:10">
      <c r="A55">
        <v>7</v>
      </c>
      <c r="B55">
        <v>3</v>
      </c>
      <c r="C55" t="s">
        <v>35</v>
      </c>
      <c r="D55">
        <v>-33.963915261239599</v>
      </c>
      <c r="E55">
        <v>18.859703547236201</v>
      </c>
      <c r="F55">
        <v>4.3799999999999999E-2</v>
      </c>
      <c r="G55">
        <v>0.1096</v>
      </c>
      <c r="H55">
        <v>6.5750000000000003E-2</v>
      </c>
      <c r="I55">
        <v>5443.9070000000002</v>
      </c>
      <c r="J55">
        <v>6286.8019999999997</v>
      </c>
    </row>
    <row r="56" spans="1:10">
      <c r="A56">
        <v>8</v>
      </c>
      <c r="B56">
        <v>3</v>
      </c>
      <c r="C56" t="s">
        <v>35</v>
      </c>
      <c r="D56">
        <v>-33.963885656705003</v>
      </c>
      <c r="E56">
        <v>18.854498323564201</v>
      </c>
      <c r="F56">
        <v>4.3799999999999999E-2</v>
      </c>
      <c r="G56">
        <v>0.1096</v>
      </c>
      <c r="H56">
        <v>6.5750000000000003E-2</v>
      </c>
      <c r="I56">
        <v>5657.393</v>
      </c>
      <c r="J56">
        <v>6500.2870000000003</v>
      </c>
    </row>
    <row r="57" spans="1:10">
      <c r="A57">
        <v>9</v>
      </c>
      <c r="B57">
        <v>3</v>
      </c>
      <c r="C57" t="s">
        <v>35</v>
      </c>
      <c r="D57">
        <v>-33.962124491826302</v>
      </c>
      <c r="E57">
        <v>18.859328524062999</v>
      </c>
      <c r="F57">
        <v>4.3799999999999999E-2</v>
      </c>
      <c r="G57">
        <v>0.1096</v>
      </c>
      <c r="H57">
        <v>6.5750000000000003E-2</v>
      </c>
      <c r="I57">
        <v>5573.299</v>
      </c>
      <c r="J57">
        <v>6416.1940000000004</v>
      </c>
    </row>
    <row r="58" spans="1:10">
      <c r="A58">
        <v>10</v>
      </c>
      <c r="B58">
        <v>3</v>
      </c>
      <c r="C58" t="s">
        <v>35</v>
      </c>
      <c r="D58">
        <v>-33.963538798857698</v>
      </c>
      <c r="E58">
        <v>18.855154883726598</v>
      </c>
      <c r="F58">
        <v>4.3799999999999999E-2</v>
      </c>
      <c r="G58">
        <v>0.1096</v>
      </c>
      <c r="H58">
        <v>6.5750000000000003E-2</v>
      </c>
      <c r="I58">
        <v>5764.3630000000003</v>
      </c>
      <c r="J58">
        <v>6607.2579999999998</v>
      </c>
    </row>
    <row r="59" spans="1:10">
      <c r="A59">
        <v>11</v>
      </c>
      <c r="B59">
        <v>3</v>
      </c>
      <c r="C59" t="s">
        <v>35</v>
      </c>
      <c r="D59">
        <v>-33.962278344371498</v>
      </c>
      <c r="E59">
        <v>18.851556742223401</v>
      </c>
      <c r="F59">
        <v>4.3799999999999999E-2</v>
      </c>
      <c r="G59">
        <v>0.1096</v>
      </c>
      <c r="H59">
        <v>6.5750000000000003E-2</v>
      </c>
      <c r="I59">
        <v>5144.7950000000001</v>
      </c>
      <c r="J59">
        <v>5987.69</v>
      </c>
    </row>
    <row r="60" spans="1:10">
      <c r="A60">
        <v>12</v>
      </c>
      <c r="B60">
        <v>3</v>
      </c>
      <c r="C60" t="s">
        <v>35</v>
      </c>
      <c r="D60">
        <v>-33.966259811957499</v>
      </c>
      <c r="E60">
        <v>18.859540706263601</v>
      </c>
      <c r="F60">
        <v>4.3799999999999999E-2</v>
      </c>
      <c r="G60">
        <v>0.1096</v>
      </c>
      <c r="H60">
        <v>6.5750000000000003E-2</v>
      </c>
      <c r="I60">
        <v>6368.2629999999999</v>
      </c>
      <c r="J60">
        <v>7211.1580000000004</v>
      </c>
    </row>
    <row r="61" spans="1:10">
      <c r="A61">
        <v>13</v>
      </c>
      <c r="B61">
        <v>3</v>
      </c>
      <c r="C61" t="s">
        <v>35</v>
      </c>
      <c r="D61">
        <v>-33.966779930369903</v>
      </c>
      <c r="E61">
        <v>18.855996173640602</v>
      </c>
      <c r="F61">
        <v>4.3799999999999999E-2</v>
      </c>
      <c r="G61">
        <v>0.1096</v>
      </c>
      <c r="H61">
        <v>6.5750000000000003E-2</v>
      </c>
      <c r="I61">
        <v>6067.4080000000004</v>
      </c>
      <c r="J61">
        <v>6910.3029999999999</v>
      </c>
    </row>
    <row r="62" spans="1:10">
      <c r="A62">
        <v>14</v>
      </c>
      <c r="B62">
        <v>3</v>
      </c>
      <c r="C62" t="s">
        <v>35</v>
      </c>
      <c r="D62">
        <v>-33.966402984976</v>
      </c>
      <c r="E62">
        <v>18.858486944313999</v>
      </c>
      <c r="F62">
        <v>4.3799999999999999E-2</v>
      </c>
      <c r="G62">
        <v>0.1096</v>
      </c>
      <c r="H62">
        <v>6.5750000000000003E-2</v>
      </c>
      <c r="I62">
        <v>5685.2219999999998</v>
      </c>
      <c r="J62">
        <v>6528.1170000000002</v>
      </c>
    </row>
    <row r="63" spans="1:10">
      <c r="A63">
        <v>15</v>
      </c>
      <c r="B63">
        <v>3</v>
      </c>
      <c r="C63" t="s">
        <v>35</v>
      </c>
      <c r="D63">
        <v>-33.963870259474703</v>
      </c>
      <c r="E63">
        <v>18.8595817195283</v>
      </c>
      <c r="F63">
        <v>4.3799999999999999E-2</v>
      </c>
      <c r="G63">
        <v>0.1096</v>
      </c>
      <c r="H63">
        <v>6.5750000000000003E-2</v>
      </c>
      <c r="I63">
        <v>5439.2179999999998</v>
      </c>
      <c r="J63">
        <v>6282.1130000000003</v>
      </c>
    </row>
    <row r="64" spans="1:10">
      <c r="A64">
        <v>16</v>
      </c>
      <c r="B64">
        <v>3</v>
      </c>
      <c r="C64" t="s">
        <v>35</v>
      </c>
      <c r="D64">
        <v>-33.961228560646099</v>
      </c>
      <c r="E64">
        <v>18.8507263721195</v>
      </c>
      <c r="F64">
        <v>4.3799999999999999E-2</v>
      </c>
      <c r="G64">
        <v>0.1096</v>
      </c>
      <c r="H64">
        <v>6.5750000000000003E-2</v>
      </c>
      <c r="I64">
        <v>4755.95</v>
      </c>
      <c r="J64">
        <v>5598.8450000000003</v>
      </c>
    </row>
    <row r="65" spans="1:10">
      <c r="A65">
        <v>17</v>
      </c>
      <c r="B65">
        <v>3</v>
      </c>
      <c r="C65" t="s">
        <v>35</v>
      </c>
      <c r="D65">
        <v>-33.9673120976368</v>
      </c>
      <c r="E65">
        <v>18.855787448246399</v>
      </c>
      <c r="F65">
        <v>4.3799999999999999E-2</v>
      </c>
      <c r="G65">
        <v>0.1096</v>
      </c>
      <c r="H65">
        <v>6.5750000000000003E-2</v>
      </c>
      <c r="I65">
        <v>6086.0739999999996</v>
      </c>
      <c r="J65">
        <v>6928.9690000000001</v>
      </c>
    </row>
    <row r="66" spans="1:10">
      <c r="A66">
        <v>18</v>
      </c>
      <c r="B66">
        <v>3</v>
      </c>
      <c r="C66" t="s">
        <v>35</v>
      </c>
      <c r="D66">
        <v>-33.967536581430203</v>
      </c>
      <c r="E66">
        <v>18.850217435542099</v>
      </c>
      <c r="F66">
        <v>4.3799999999999999E-2</v>
      </c>
      <c r="G66">
        <v>0.1096</v>
      </c>
      <c r="H66">
        <v>6.5750000000000003E-2</v>
      </c>
      <c r="I66">
        <v>6335.674</v>
      </c>
      <c r="J66">
        <v>7178.5690000000004</v>
      </c>
    </row>
    <row r="67" spans="1:10">
      <c r="A67">
        <v>19</v>
      </c>
      <c r="B67">
        <v>3</v>
      </c>
      <c r="C67" t="s">
        <v>35</v>
      </c>
      <c r="D67">
        <v>-33.963076537023397</v>
      </c>
      <c r="E67">
        <v>18.858171916116699</v>
      </c>
      <c r="F67">
        <v>4.3799999999999999E-2</v>
      </c>
      <c r="G67">
        <v>0.1096</v>
      </c>
      <c r="H67">
        <v>6.5750000000000003E-2</v>
      </c>
      <c r="I67">
        <v>5425.2830000000004</v>
      </c>
      <c r="J67">
        <v>6268.1779999999999</v>
      </c>
    </row>
    <row r="68" spans="1:10">
      <c r="A68">
        <v>20</v>
      </c>
      <c r="B68">
        <v>3</v>
      </c>
      <c r="C68" t="s">
        <v>35</v>
      </c>
      <c r="D68">
        <v>-33.965696415344603</v>
      </c>
      <c r="E68">
        <v>18.858446795852402</v>
      </c>
      <c r="F68">
        <v>4.3799999999999999E-2</v>
      </c>
      <c r="G68">
        <v>0.1096</v>
      </c>
      <c r="H68">
        <v>6.5750000000000003E-2</v>
      </c>
      <c r="I68">
        <v>6002.1239999999998</v>
      </c>
      <c r="J68">
        <v>6845.0190000000002</v>
      </c>
    </row>
    <row r="69" spans="1:10">
      <c r="A69">
        <v>21</v>
      </c>
      <c r="B69">
        <v>3</v>
      </c>
      <c r="C69" t="s">
        <v>35</v>
      </c>
      <c r="D69">
        <v>-33.964993211046497</v>
      </c>
      <c r="E69">
        <v>18.852240384342899</v>
      </c>
      <c r="F69">
        <v>4.3799999999999999E-2</v>
      </c>
      <c r="G69">
        <v>0.1096</v>
      </c>
      <c r="H69">
        <v>6.5750000000000003E-2</v>
      </c>
      <c r="I69">
        <v>6210.2709999999997</v>
      </c>
      <c r="J69">
        <v>7053.1660000000002</v>
      </c>
    </row>
    <row r="70" spans="1:10">
      <c r="A70">
        <v>22</v>
      </c>
      <c r="B70">
        <v>3</v>
      </c>
      <c r="C70" t="s">
        <v>35</v>
      </c>
      <c r="D70">
        <v>-33.967782897334303</v>
      </c>
      <c r="E70">
        <v>18.854152173077601</v>
      </c>
      <c r="F70">
        <v>4.3799999999999999E-2</v>
      </c>
      <c r="G70">
        <v>0.1096</v>
      </c>
      <c r="H70">
        <v>6.5750000000000003E-2</v>
      </c>
      <c r="I70">
        <v>5616.942</v>
      </c>
      <c r="J70">
        <v>6459.8360000000002</v>
      </c>
    </row>
    <row r="71" spans="1:10">
      <c r="A71">
        <v>23</v>
      </c>
      <c r="B71">
        <v>3</v>
      </c>
      <c r="C71" t="s">
        <v>35</v>
      </c>
      <c r="D71">
        <v>-33.9676250969367</v>
      </c>
      <c r="E71">
        <v>18.857291742926702</v>
      </c>
      <c r="F71">
        <v>4.3799999999999999E-2</v>
      </c>
      <c r="G71">
        <v>0.1096</v>
      </c>
      <c r="H71">
        <v>6.5750000000000003E-2</v>
      </c>
      <c r="I71">
        <v>6036.7849999999999</v>
      </c>
      <c r="J71">
        <v>6879.68</v>
      </c>
    </row>
    <row r="72" spans="1:10">
      <c r="A72">
        <v>24</v>
      </c>
      <c r="B72">
        <v>3</v>
      </c>
      <c r="C72" t="s">
        <v>35</v>
      </c>
      <c r="D72">
        <v>-33.967630024860803</v>
      </c>
      <c r="E72">
        <v>18.8554713044017</v>
      </c>
      <c r="F72">
        <v>4.3799999999999999E-2</v>
      </c>
      <c r="G72">
        <v>0.1096</v>
      </c>
      <c r="H72">
        <v>6.5750000000000003E-2</v>
      </c>
      <c r="I72">
        <v>6131.7060000000001</v>
      </c>
      <c r="J72">
        <v>6974.6009999999997</v>
      </c>
    </row>
    <row r="73" spans="1:10">
      <c r="A73">
        <v>25</v>
      </c>
      <c r="B73">
        <v>3</v>
      </c>
      <c r="C73" t="s">
        <v>35</v>
      </c>
      <c r="D73">
        <v>-33.960528838003</v>
      </c>
      <c r="E73">
        <v>18.8519859566346</v>
      </c>
      <c r="F73">
        <v>4.3799999999999999E-2</v>
      </c>
      <c r="G73">
        <v>0.1096</v>
      </c>
      <c r="H73">
        <v>6.5750000000000003E-2</v>
      </c>
      <c r="I73">
        <v>4630.7690000000002</v>
      </c>
      <c r="J73">
        <v>5473.6639999999998</v>
      </c>
    </row>
    <row r="74" spans="1:10">
      <c r="A74">
        <v>26</v>
      </c>
      <c r="B74">
        <v>3</v>
      </c>
      <c r="C74" t="s">
        <v>35</v>
      </c>
      <c r="D74">
        <v>-33.965313144210903</v>
      </c>
      <c r="E74">
        <v>18.855686828569802</v>
      </c>
      <c r="F74">
        <v>4.3799999999999999E-2</v>
      </c>
      <c r="G74">
        <v>0.1096</v>
      </c>
      <c r="H74">
        <v>6.5750000000000003E-2</v>
      </c>
      <c r="I74">
        <v>5748.36</v>
      </c>
      <c r="J74">
        <v>6591.2550000000001</v>
      </c>
    </row>
    <row r="75" spans="1:10">
      <c r="A75">
        <v>27</v>
      </c>
      <c r="B75">
        <v>3</v>
      </c>
      <c r="C75" t="s">
        <v>35</v>
      </c>
      <c r="D75">
        <v>-33.964361528578003</v>
      </c>
      <c r="E75">
        <v>18.853243841539701</v>
      </c>
      <c r="F75">
        <v>4.3799999999999999E-2</v>
      </c>
      <c r="G75">
        <v>0.1096</v>
      </c>
      <c r="H75">
        <v>6.5750000000000003E-2</v>
      </c>
      <c r="I75">
        <v>5865.5060000000003</v>
      </c>
      <c r="J75">
        <v>6708.4009999999998</v>
      </c>
    </row>
    <row r="76" spans="1:10">
      <c r="A76">
        <v>28</v>
      </c>
      <c r="B76">
        <v>3</v>
      </c>
      <c r="C76" t="s">
        <v>35</v>
      </c>
      <c r="D76">
        <v>-33.962470565501903</v>
      </c>
      <c r="E76">
        <v>18.856796911406001</v>
      </c>
      <c r="F76">
        <v>4.3799999999999999E-2</v>
      </c>
      <c r="G76">
        <v>0.1096</v>
      </c>
      <c r="H76">
        <v>6.5750000000000003E-2</v>
      </c>
      <c r="I76">
        <v>5072.28</v>
      </c>
      <c r="J76">
        <v>5915.1750000000002</v>
      </c>
    </row>
    <row r="77" spans="1:10">
      <c r="A77">
        <v>29</v>
      </c>
      <c r="B77">
        <v>3</v>
      </c>
      <c r="C77" t="s">
        <v>35</v>
      </c>
      <c r="D77">
        <v>-33.963194894352398</v>
      </c>
      <c r="E77">
        <v>18.856062990019399</v>
      </c>
      <c r="F77">
        <v>4.3799999999999999E-2</v>
      </c>
      <c r="G77">
        <v>0.1096</v>
      </c>
      <c r="H77">
        <v>6.5750000000000003E-2</v>
      </c>
      <c r="I77">
        <v>5235.4340000000002</v>
      </c>
      <c r="J77">
        <v>6078.3289999999997</v>
      </c>
    </row>
    <row r="78" spans="1:10">
      <c r="A78">
        <v>30</v>
      </c>
      <c r="B78">
        <v>3</v>
      </c>
      <c r="C78" t="s">
        <v>35</v>
      </c>
      <c r="D78">
        <v>-33.965575544579899</v>
      </c>
      <c r="E78">
        <v>18.858489419957301</v>
      </c>
      <c r="F78">
        <v>4.3799999999999999E-2</v>
      </c>
      <c r="G78">
        <v>0.1096</v>
      </c>
      <c r="H78">
        <v>6.5750000000000003E-2</v>
      </c>
      <c r="I78">
        <v>6014.22</v>
      </c>
      <c r="J78">
        <v>6857.1149999999998</v>
      </c>
    </row>
    <row r="79" spans="1:10">
      <c r="A79">
        <v>31</v>
      </c>
      <c r="B79">
        <v>3</v>
      </c>
      <c r="C79" t="s">
        <v>35</v>
      </c>
      <c r="D79">
        <v>-33.966497809032298</v>
      </c>
      <c r="E79">
        <v>18.857197651891301</v>
      </c>
      <c r="F79">
        <v>4.3799999999999999E-2</v>
      </c>
      <c r="G79">
        <v>0.1096</v>
      </c>
      <c r="H79">
        <v>6.5750000000000003E-2</v>
      </c>
      <c r="I79">
        <v>5894.7920000000004</v>
      </c>
      <c r="J79">
        <v>6737.6869999999999</v>
      </c>
    </row>
    <row r="80" spans="1:10">
      <c r="A80">
        <v>32</v>
      </c>
      <c r="B80">
        <v>3</v>
      </c>
      <c r="C80" t="s">
        <v>35</v>
      </c>
      <c r="D80">
        <v>-33.9649695678469</v>
      </c>
      <c r="E80">
        <v>18.8575254644247</v>
      </c>
      <c r="F80">
        <v>4.3799999999999999E-2</v>
      </c>
      <c r="G80">
        <v>0.1096</v>
      </c>
      <c r="H80">
        <v>6.5750000000000003E-2</v>
      </c>
      <c r="I80">
        <v>5906.82</v>
      </c>
      <c r="J80">
        <v>6749.7150000000001</v>
      </c>
    </row>
    <row r="81" spans="1:10">
      <c r="A81">
        <v>33</v>
      </c>
      <c r="B81">
        <v>3</v>
      </c>
      <c r="C81" t="s">
        <v>35</v>
      </c>
      <c r="D81">
        <v>-33.9617480822141</v>
      </c>
      <c r="E81">
        <v>18.849766385980701</v>
      </c>
      <c r="F81">
        <v>4.3799999999999999E-2</v>
      </c>
      <c r="G81">
        <v>0.1096</v>
      </c>
      <c r="H81">
        <v>6.5750000000000003E-2</v>
      </c>
      <c r="I81">
        <v>4856.7449999999999</v>
      </c>
      <c r="J81">
        <v>5699.64</v>
      </c>
    </row>
    <row r="82" spans="1:10">
      <c r="A82">
        <v>34</v>
      </c>
      <c r="B82">
        <v>3</v>
      </c>
      <c r="C82" t="s">
        <v>35</v>
      </c>
      <c r="D82">
        <v>-33.964567878401702</v>
      </c>
      <c r="E82">
        <v>18.853566114246401</v>
      </c>
      <c r="F82">
        <v>4.3799999999999999E-2</v>
      </c>
      <c r="G82">
        <v>0.1096</v>
      </c>
      <c r="H82">
        <v>6.5750000000000003E-2</v>
      </c>
      <c r="I82">
        <v>5849.0460000000003</v>
      </c>
      <c r="J82">
        <v>6691.9409999999998</v>
      </c>
    </row>
    <row r="83" spans="1:10">
      <c r="A83">
        <v>35</v>
      </c>
      <c r="B83">
        <v>3</v>
      </c>
      <c r="C83" t="s">
        <v>35</v>
      </c>
      <c r="D83">
        <v>-33.961734458847701</v>
      </c>
      <c r="E83">
        <v>18.852767295223298</v>
      </c>
      <c r="F83">
        <v>4.3799999999999999E-2</v>
      </c>
      <c r="G83">
        <v>0.1096</v>
      </c>
      <c r="H83">
        <v>6.5750000000000003E-2</v>
      </c>
      <c r="I83">
        <v>5030.5219999999999</v>
      </c>
      <c r="J83">
        <v>5873.4170000000004</v>
      </c>
    </row>
    <row r="84" spans="1:10">
      <c r="A84">
        <v>36</v>
      </c>
      <c r="B84">
        <v>3</v>
      </c>
      <c r="C84" t="s">
        <v>35</v>
      </c>
      <c r="D84">
        <v>-33.967048181969702</v>
      </c>
      <c r="E84">
        <v>18.849784104667901</v>
      </c>
      <c r="F84">
        <v>4.3799999999999999E-2</v>
      </c>
      <c r="G84">
        <v>0.1096</v>
      </c>
      <c r="H84">
        <v>6.5750000000000003E-2</v>
      </c>
      <c r="I84">
        <v>6354.3339999999998</v>
      </c>
      <c r="J84">
        <v>7197.2290000000003</v>
      </c>
    </row>
    <row r="85" spans="1:10">
      <c r="A85">
        <v>37</v>
      </c>
      <c r="B85">
        <v>3</v>
      </c>
      <c r="C85" t="s">
        <v>35</v>
      </c>
      <c r="D85">
        <v>-33.962109764243003</v>
      </c>
      <c r="E85">
        <v>18.8574366579935</v>
      </c>
      <c r="F85">
        <v>4.3799999999999999E-2</v>
      </c>
      <c r="G85">
        <v>0.1096</v>
      </c>
      <c r="H85">
        <v>6.5750000000000003E-2</v>
      </c>
      <c r="I85">
        <v>5209.6549999999997</v>
      </c>
      <c r="J85">
        <v>6052.55</v>
      </c>
    </row>
    <row r="86" spans="1:10">
      <c r="A86">
        <v>38</v>
      </c>
      <c r="B86">
        <v>3</v>
      </c>
      <c r="C86" t="s">
        <v>35</v>
      </c>
      <c r="D86">
        <v>-33.960033466814203</v>
      </c>
      <c r="E86">
        <v>18.859678344518699</v>
      </c>
      <c r="F86">
        <v>4.3799999999999999E-2</v>
      </c>
      <c r="G86">
        <v>0.1096</v>
      </c>
      <c r="H86">
        <v>6.5750000000000003E-2</v>
      </c>
      <c r="I86">
        <v>5811.1970000000001</v>
      </c>
      <c r="J86">
        <v>6654.0910000000003</v>
      </c>
    </row>
    <row r="87" spans="1:10">
      <c r="A87">
        <v>39</v>
      </c>
      <c r="B87">
        <v>3</v>
      </c>
      <c r="C87" t="s">
        <v>35</v>
      </c>
      <c r="D87">
        <v>-33.967056135804697</v>
      </c>
      <c r="E87">
        <v>18.8518627662414</v>
      </c>
      <c r="F87">
        <v>4.3799999999999999E-2</v>
      </c>
      <c r="G87">
        <v>0.1096</v>
      </c>
      <c r="H87">
        <v>6.5750000000000003E-2</v>
      </c>
      <c r="I87">
        <v>6185.6149999999998</v>
      </c>
      <c r="J87">
        <v>7028.51</v>
      </c>
    </row>
    <row r="88" spans="1:10">
      <c r="A88">
        <v>40</v>
      </c>
      <c r="B88">
        <v>3</v>
      </c>
      <c r="C88" t="s">
        <v>35</v>
      </c>
      <c r="D88">
        <v>-33.9634798802986</v>
      </c>
      <c r="E88">
        <v>18.852025038397301</v>
      </c>
      <c r="F88">
        <v>4.3799999999999999E-2</v>
      </c>
      <c r="G88">
        <v>0.1096</v>
      </c>
      <c r="H88">
        <v>6.5750000000000003E-2</v>
      </c>
      <c r="I88">
        <v>5114.3919999999998</v>
      </c>
      <c r="J88">
        <v>5957.2860000000001</v>
      </c>
    </row>
    <row r="89" spans="1:10">
      <c r="A89">
        <v>41</v>
      </c>
      <c r="B89">
        <v>3</v>
      </c>
      <c r="C89" t="s">
        <v>35</v>
      </c>
      <c r="D89">
        <v>-33.961623275888201</v>
      </c>
      <c r="E89">
        <v>18.851942784120101</v>
      </c>
      <c r="F89">
        <v>4.3799999999999999E-2</v>
      </c>
      <c r="G89">
        <v>0.1096</v>
      </c>
      <c r="H89">
        <v>6.5750000000000003E-2</v>
      </c>
      <c r="I89">
        <v>5173.8100000000004</v>
      </c>
      <c r="J89">
        <v>6016.7049999999999</v>
      </c>
    </row>
    <row r="90" spans="1:10">
      <c r="A90">
        <v>42</v>
      </c>
      <c r="B90">
        <v>3</v>
      </c>
      <c r="C90" t="s">
        <v>35</v>
      </c>
      <c r="D90">
        <v>-33.961180593723803</v>
      </c>
      <c r="E90">
        <v>18.855631236507399</v>
      </c>
      <c r="F90">
        <v>4.3799999999999999E-2</v>
      </c>
      <c r="G90">
        <v>0.1096</v>
      </c>
      <c r="H90">
        <v>6.5750000000000003E-2</v>
      </c>
      <c r="I90">
        <v>4894.1639999999998</v>
      </c>
      <c r="J90">
        <v>5737.0590000000002</v>
      </c>
    </row>
    <row r="91" spans="1:10">
      <c r="A91">
        <v>43</v>
      </c>
      <c r="B91">
        <v>3</v>
      </c>
      <c r="C91" t="s">
        <v>35</v>
      </c>
      <c r="D91">
        <v>-33.967600665022502</v>
      </c>
      <c r="E91">
        <v>18.8590784408206</v>
      </c>
      <c r="F91">
        <v>4.3799999999999999E-2</v>
      </c>
      <c r="G91">
        <v>0.1096</v>
      </c>
      <c r="H91">
        <v>6.5750000000000003E-2</v>
      </c>
      <c r="I91">
        <v>6102.9369999999999</v>
      </c>
      <c r="J91">
        <v>6945.8320000000003</v>
      </c>
    </row>
    <row r="92" spans="1:10">
      <c r="A92">
        <v>44</v>
      </c>
      <c r="B92">
        <v>3</v>
      </c>
      <c r="C92" t="s">
        <v>35</v>
      </c>
      <c r="D92">
        <v>-33.965596597924403</v>
      </c>
      <c r="E92">
        <v>18.853272621906299</v>
      </c>
      <c r="F92">
        <v>4.3799999999999999E-2</v>
      </c>
      <c r="G92">
        <v>0.1096</v>
      </c>
      <c r="H92">
        <v>6.5750000000000003E-2</v>
      </c>
      <c r="I92">
        <v>5361.4769999999999</v>
      </c>
      <c r="J92">
        <v>6204.3720000000003</v>
      </c>
    </row>
    <row r="93" spans="1:10">
      <c r="A93">
        <v>45</v>
      </c>
      <c r="B93">
        <v>3</v>
      </c>
      <c r="C93" t="s">
        <v>35</v>
      </c>
      <c r="D93">
        <v>-33.964884674083599</v>
      </c>
      <c r="E93">
        <v>18.852178367704301</v>
      </c>
      <c r="F93">
        <v>4.3799999999999999E-2</v>
      </c>
      <c r="G93">
        <v>0.1096</v>
      </c>
      <c r="H93">
        <v>6.5750000000000003E-2</v>
      </c>
      <c r="I93">
        <v>6218.1880000000001</v>
      </c>
      <c r="J93">
        <v>7061.0829999999996</v>
      </c>
    </row>
    <row r="94" spans="1:10">
      <c r="A94">
        <v>46</v>
      </c>
      <c r="B94">
        <v>3</v>
      </c>
      <c r="C94" t="s">
        <v>35</v>
      </c>
      <c r="D94">
        <v>-33.967525364439098</v>
      </c>
      <c r="E94">
        <v>18.8557053509311</v>
      </c>
      <c r="F94">
        <v>4.3799999999999999E-2</v>
      </c>
      <c r="G94">
        <v>0.1096</v>
      </c>
      <c r="H94">
        <v>6.5750000000000003E-2</v>
      </c>
      <c r="I94">
        <v>6109.9350000000004</v>
      </c>
      <c r="J94">
        <v>6952.83</v>
      </c>
    </row>
    <row r="95" spans="1:10">
      <c r="A95">
        <v>47</v>
      </c>
      <c r="B95">
        <v>3</v>
      </c>
      <c r="C95" t="s">
        <v>35</v>
      </c>
      <c r="D95">
        <v>-33.9622015078453</v>
      </c>
      <c r="E95">
        <v>18.8523068939854</v>
      </c>
      <c r="F95">
        <v>4.3799999999999999E-2</v>
      </c>
      <c r="G95">
        <v>0.1096</v>
      </c>
      <c r="H95">
        <v>6.5750000000000003E-2</v>
      </c>
      <c r="I95">
        <v>5132.7020000000002</v>
      </c>
      <c r="J95">
        <v>5975.5959999999995</v>
      </c>
    </row>
    <row r="96" spans="1:10">
      <c r="A96">
        <v>48</v>
      </c>
      <c r="B96">
        <v>3</v>
      </c>
      <c r="C96" t="s">
        <v>35</v>
      </c>
      <c r="D96">
        <v>-33.965218309919102</v>
      </c>
      <c r="E96">
        <v>18.8517977577111</v>
      </c>
      <c r="F96">
        <v>4.3799999999999999E-2</v>
      </c>
      <c r="G96">
        <v>0.1096</v>
      </c>
      <c r="H96">
        <v>6.5750000000000003E-2</v>
      </c>
      <c r="I96">
        <v>6243.4549999999999</v>
      </c>
      <c r="J96">
        <v>7086.35</v>
      </c>
    </row>
    <row r="97" spans="1:10">
      <c r="A97">
        <v>49</v>
      </c>
      <c r="B97">
        <v>3</v>
      </c>
      <c r="C97" t="s">
        <v>35</v>
      </c>
      <c r="D97">
        <v>-33.961346925436501</v>
      </c>
      <c r="E97">
        <v>18.854739113268501</v>
      </c>
      <c r="F97">
        <v>4.3799999999999999E-2</v>
      </c>
      <c r="G97">
        <v>0.1096</v>
      </c>
      <c r="H97">
        <v>6.5750000000000003E-2</v>
      </c>
      <c r="I97">
        <v>4905.13</v>
      </c>
      <c r="J97">
        <v>5748.0240000000003</v>
      </c>
    </row>
    <row r="98" spans="1:10">
      <c r="A98">
        <v>50</v>
      </c>
      <c r="B98">
        <v>3</v>
      </c>
      <c r="C98" t="s">
        <v>35</v>
      </c>
      <c r="D98">
        <v>-33.963058002284598</v>
      </c>
      <c r="E98">
        <v>18.8564477353959</v>
      </c>
      <c r="F98">
        <v>4.3799999999999999E-2</v>
      </c>
      <c r="G98">
        <v>0.1096</v>
      </c>
      <c r="H98">
        <v>6.5750000000000003E-2</v>
      </c>
      <c r="I98">
        <v>5199.0780000000004</v>
      </c>
      <c r="J98">
        <v>6041.973</v>
      </c>
    </row>
    <row r="99" spans="1:10">
      <c r="A99">
        <v>51</v>
      </c>
      <c r="B99">
        <v>3</v>
      </c>
      <c r="C99" t="s">
        <v>35</v>
      </c>
      <c r="D99">
        <v>-33.960203666939798</v>
      </c>
      <c r="E99">
        <v>18.856498032062099</v>
      </c>
      <c r="F99">
        <v>4.3799999999999999E-2</v>
      </c>
      <c r="G99">
        <v>0.1096</v>
      </c>
      <c r="H99">
        <v>6.5750000000000003E-2</v>
      </c>
      <c r="I99">
        <v>5136.6130000000003</v>
      </c>
      <c r="J99">
        <v>5979.5069999999996</v>
      </c>
    </row>
    <row r="100" spans="1:10">
      <c r="A100">
        <v>52</v>
      </c>
      <c r="B100">
        <v>3</v>
      </c>
      <c r="C100" t="s">
        <v>35</v>
      </c>
      <c r="D100">
        <v>-33.962206046228196</v>
      </c>
      <c r="E100">
        <v>18.8497636053925</v>
      </c>
      <c r="F100">
        <v>4.3799999999999999E-2</v>
      </c>
      <c r="G100">
        <v>0.1096</v>
      </c>
      <c r="H100">
        <v>6.5750000000000003E-2</v>
      </c>
      <c r="I100">
        <v>4899.7529999999997</v>
      </c>
      <c r="J100">
        <v>5742.6480000000001</v>
      </c>
    </row>
    <row r="101" spans="1:10">
      <c r="A101">
        <v>53</v>
      </c>
      <c r="B101">
        <v>3</v>
      </c>
      <c r="C101" t="s">
        <v>35</v>
      </c>
      <c r="D101">
        <v>-33.961297529971802</v>
      </c>
      <c r="E101">
        <v>18.851053614481899</v>
      </c>
      <c r="F101">
        <v>4.3799999999999999E-2</v>
      </c>
      <c r="G101">
        <v>0.1096</v>
      </c>
      <c r="H101">
        <v>6.5750000000000003E-2</v>
      </c>
      <c r="I101">
        <v>4747.6360000000004</v>
      </c>
      <c r="J101">
        <v>5590.5309999999999</v>
      </c>
    </row>
    <row r="102" spans="1:10">
      <c r="A102">
        <v>54</v>
      </c>
      <c r="B102">
        <v>3</v>
      </c>
      <c r="C102" t="s">
        <v>35</v>
      </c>
      <c r="D102">
        <v>-33.963532582758098</v>
      </c>
      <c r="E102">
        <v>18.854814290832099</v>
      </c>
      <c r="F102">
        <v>4.3799999999999999E-2</v>
      </c>
      <c r="G102">
        <v>0.1096</v>
      </c>
      <c r="H102">
        <v>6.5750000000000003E-2</v>
      </c>
      <c r="I102">
        <v>5737.0649999999996</v>
      </c>
      <c r="J102">
        <v>6579.96</v>
      </c>
    </row>
    <row r="103" spans="1:10">
      <c r="A103">
        <v>55</v>
      </c>
      <c r="B103">
        <v>3</v>
      </c>
      <c r="C103" t="s">
        <v>35</v>
      </c>
      <c r="D103">
        <v>-33.967353029796598</v>
      </c>
      <c r="E103">
        <v>18.859291535412201</v>
      </c>
      <c r="F103">
        <v>4.3799999999999999E-2</v>
      </c>
      <c r="G103">
        <v>0.1096</v>
      </c>
      <c r="H103">
        <v>6.5750000000000003E-2</v>
      </c>
      <c r="I103">
        <v>6120.8779999999997</v>
      </c>
      <c r="J103">
        <v>6963.7719999999999</v>
      </c>
    </row>
    <row r="104" spans="1:10">
      <c r="A104">
        <v>56</v>
      </c>
      <c r="B104">
        <v>3</v>
      </c>
      <c r="C104" t="s">
        <v>35</v>
      </c>
      <c r="D104">
        <v>-33.967438345075998</v>
      </c>
      <c r="E104">
        <v>18.849994601966401</v>
      </c>
      <c r="F104">
        <v>4.3799999999999999E-2</v>
      </c>
      <c r="G104">
        <v>0.1096</v>
      </c>
      <c r="H104">
        <v>6.5750000000000003E-2</v>
      </c>
      <c r="I104">
        <v>6351.1639999999998</v>
      </c>
      <c r="J104">
        <v>7194.0590000000002</v>
      </c>
    </row>
    <row r="105" spans="1:10">
      <c r="A105">
        <v>57</v>
      </c>
      <c r="B105">
        <v>3</v>
      </c>
      <c r="C105" t="s">
        <v>35</v>
      </c>
      <c r="D105">
        <v>-33.960009583122797</v>
      </c>
      <c r="E105">
        <v>18.853047453205999</v>
      </c>
      <c r="F105">
        <v>4.3799999999999999E-2</v>
      </c>
      <c r="G105">
        <v>0.1096</v>
      </c>
      <c r="H105">
        <v>6.5750000000000003E-2</v>
      </c>
      <c r="I105">
        <v>5380.1509999999998</v>
      </c>
      <c r="J105">
        <v>6223.0460000000003</v>
      </c>
    </row>
    <row r="106" spans="1:10">
      <c r="A106">
        <v>58</v>
      </c>
      <c r="B106">
        <v>3</v>
      </c>
      <c r="C106" t="s">
        <v>35</v>
      </c>
      <c r="D106">
        <v>-33.961480203914803</v>
      </c>
      <c r="E106">
        <v>18.850487449792499</v>
      </c>
      <c r="F106">
        <v>4.3799999999999999E-2</v>
      </c>
      <c r="G106">
        <v>0.1096</v>
      </c>
      <c r="H106">
        <v>6.5750000000000003E-2</v>
      </c>
      <c r="I106">
        <v>4791.1760000000004</v>
      </c>
      <c r="J106">
        <v>5634.0709999999999</v>
      </c>
    </row>
    <row r="107" spans="1:10">
      <c r="A107">
        <v>0</v>
      </c>
      <c r="B107">
        <v>4</v>
      </c>
      <c r="C107" t="s">
        <v>21</v>
      </c>
      <c r="D107">
        <v>-33.979079508923299</v>
      </c>
      <c r="E107">
        <v>18.847848044943099</v>
      </c>
      <c r="F107">
        <v>4.3799999999999999E-2</v>
      </c>
      <c r="G107">
        <v>0.1096</v>
      </c>
      <c r="H107">
        <v>6.5750000000000003E-2</v>
      </c>
      <c r="I107">
        <v>7355.0569999999998</v>
      </c>
      <c r="J107">
        <v>8197.9519999999993</v>
      </c>
    </row>
    <row r="108" spans="1:10">
      <c r="A108">
        <v>1</v>
      </c>
      <c r="B108">
        <v>4</v>
      </c>
      <c r="C108" t="s">
        <v>21</v>
      </c>
      <c r="D108">
        <v>-33.977905067282201</v>
      </c>
      <c r="E108">
        <v>18.842412185305701</v>
      </c>
      <c r="F108">
        <v>4.3799999999999999E-2</v>
      </c>
      <c r="G108">
        <v>0.1096</v>
      </c>
      <c r="H108">
        <v>6.5750000000000003E-2</v>
      </c>
      <c r="I108">
        <v>7315.1480000000001</v>
      </c>
      <c r="J108">
        <v>8158.0429999999997</v>
      </c>
    </row>
    <row r="109" spans="1:10">
      <c r="A109">
        <v>2</v>
      </c>
      <c r="B109">
        <v>4</v>
      </c>
      <c r="C109" t="s">
        <v>21</v>
      </c>
      <c r="D109">
        <v>-33.981597569211601</v>
      </c>
      <c r="E109">
        <v>18.847785238060599</v>
      </c>
      <c r="F109">
        <v>4.3799999999999999E-2</v>
      </c>
      <c r="G109">
        <v>0.1096</v>
      </c>
      <c r="H109">
        <v>6.5750000000000003E-2</v>
      </c>
      <c r="I109">
        <v>7751.52</v>
      </c>
      <c r="J109">
        <v>8594.4150000000009</v>
      </c>
    </row>
    <row r="110" spans="1:10">
      <c r="A110">
        <v>3</v>
      </c>
      <c r="B110">
        <v>4</v>
      </c>
      <c r="C110" t="s">
        <v>21</v>
      </c>
      <c r="D110">
        <v>-33.979802632644997</v>
      </c>
      <c r="E110">
        <v>18.842909097698801</v>
      </c>
      <c r="F110">
        <v>4.3799999999999999E-2</v>
      </c>
      <c r="G110">
        <v>0.1096</v>
      </c>
      <c r="H110">
        <v>6.5750000000000003E-2</v>
      </c>
      <c r="I110">
        <v>7518.8459999999995</v>
      </c>
      <c r="J110">
        <v>8361.741</v>
      </c>
    </row>
    <row r="111" spans="1:10">
      <c r="A111">
        <v>4</v>
      </c>
      <c r="B111">
        <v>4</v>
      </c>
      <c r="C111" t="s">
        <v>21</v>
      </c>
      <c r="D111">
        <v>-33.975694876631202</v>
      </c>
      <c r="E111">
        <v>18.8402009660504</v>
      </c>
      <c r="F111">
        <v>4.3799999999999999E-2</v>
      </c>
      <c r="G111">
        <v>0.1096</v>
      </c>
      <c r="H111">
        <v>6.5750000000000003E-2</v>
      </c>
      <c r="I111">
        <v>6714.7479999999996</v>
      </c>
      <c r="J111">
        <v>7557.6419999999998</v>
      </c>
    </row>
    <row r="112" spans="1:10">
      <c r="A112">
        <v>5</v>
      </c>
      <c r="B112">
        <v>4</v>
      </c>
      <c r="C112" t="s">
        <v>21</v>
      </c>
      <c r="D112">
        <v>-33.982080294661202</v>
      </c>
      <c r="E112">
        <v>18.849478313134298</v>
      </c>
      <c r="F112">
        <v>4.3799999999999999E-2</v>
      </c>
      <c r="G112">
        <v>0.1096</v>
      </c>
      <c r="H112">
        <v>6.5750000000000003E-2</v>
      </c>
      <c r="I112">
        <v>8181.4470000000001</v>
      </c>
      <c r="J112">
        <v>9024.3420000000006</v>
      </c>
    </row>
    <row r="113" spans="1:10">
      <c r="A113">
        <v>6</v>
      </c>
      <c r="B113">
        <v>4</v>
      </c>
      <c r="C113" t="s">
        <v>21</v>
      </c>
      <c r="D113">
        <v>-33.979967406343498</v>
      </c>
      <c r="E113">
        <v>18.846621361891</v>
      </c>
      <c r="F113">
        <v>4.3799999999999999E-2</v>
      </c>
      <c r="G113">
        <v>0.1096</v>
      </c>
      <c r="H113">
        <v>6.5750000000000003E-2</v>
      </c>
      <c r="I113">
        <v>7878.3810000000003</v>
      </c>
      <c r="J113">
        <v>8721.2759999999998</v>
      </c>
    </row>
    <row r="114" spans="1:10">
      <c r="A114">
        <v>7</v>
      </c>
      <c r="B114">
        <v>4</v>
      </c>
      <c r="C114" t="s">
        <v>21</v>
      </c>
      <c r="D114">
        <v>-33.9788937078808</v>
      </c>
      <c r="E114">
        <v>18.854712604187799</v>
      </c>
      <c r="F114">
        <v>4.3799999999999999E-2</v>
      </c>
      <c r="G114">
        <v>0.1096</v>
      </c>
      <c r="H114">
        <v>6.5750000000000003E-2</v>
      </c>
      <c r="I114">
        <v>7930.4669999999996</v>
      </c>
      <c r="J114">
        <v>8773.3610000000008</v>
      </c>
    </row>
    <row r="115" spans="1:10">
      <c r="A115">
        <v>8</v>
      </c>
      <c r="B115">
        <v>4</v>
      </c>
      <c r="C115" t="s">
        <v>21</v>
      </c>
      <c r="D115">
        <v>-33.978864483975897</v>
      </c>
      <c r="E115">
        <v>18.847045861911202</v>
      </c>
      <c r="F115">
        <v>4.3799999999999999E-2</v>
      </c>
      <c r="G115">
        <v>0.1096</v>
      </c>
      <c r="H115">
        <v>6.5750000000000003E-2</v>
      </c>
      <c r="I115">
        <v>7277.0950000000003</v>
      </c>
      <c r="J115">
        <v>8119.99</v>
      </c>
    </row>
    <row r="116" spans="1:10">
      <c r="A116">
        <v>9</v>
      </c>
      <c r="B116">
        <v>4</v>
      </c>
      <c r="C116" t="s">
        <v>21</v>
      </c>
      <c r="D116">
        <v>-33.977125962645701</v>
      </c>
      <c r="E116">
        <v>18.854160234837799</v>
      </c>
      <c r="F116">
        <v>4.3799999999999999E-2</v>
      </c>
      <c r="G116">
        <v>0.1096</v>
      </c>
      <c r="H116">
        <v>6.5750000000000003E-2</v>
      </c>
      <c r="I116">
        <v>6728.79</v>
      </c>
      <c r="J116">
        <v>7571.6840000000002</v>
      </c>
    </row>
    <row r="117" spans="1:10">
      <c r="A117">
        <v>10</v>
      </c>
      <c r="B117">
        <v>4</v>
      </c>
      <c r="C117" t="s">
        <v>21</v>
      </c>
      <c r="D117">
        <v>-33.978522085729601</v>
      </c>
      <c r="E117">
        <v>18.8480129053798</v>
      </c>
      <c r="F117">
        <v>4.3799999999999999E-2</v>
      </c>
      <c r="G117">
        <v>0.1096</v>
      </c>
      <c r="H117">
        <v>6.5750000000000003E-2</v>
      </c>
      <c r="I117">
        <v>7241.973</v>
      </c>
      <c r="J117">
        <v>8084.8680000000004</v>
      </c>
    </row>
    <row r="118" spans="1:10">
      <c r="A118">
        <v>11</v>
      </c>
      <c r="B118">
        <v>4</v>
      </c>
      <c r="C118" t="s">
        <v>21</v>
      </c>
      <c r="D118">
        <v>-33.977277837086703</v>
      </c>
      <c r="E118">
        <v>18.8427132246516</v>
      </c>
      <c r="F118">
        <v>4.3799999999999999E-2</v>
      </c>
      <c r="G118">
        <v>0.1096</v>
      </c>
      <c r="H118">
        <v>6.5750000000000003E-2</v>
      </c>
      <c r="I118">
        <v>7077.5950000000003</v>
      </c>
      <c r="J118">
        <v>7920.49</v>
      </c>
    </row>
    <row r="119" spans="1:10">
      <c r="A119">
        <v>12</v>
      </c>
      <c r="B119">
        <v>4</v>
      </c>
      <c r="C119" t="s">
        <v>21</v>
      </c>
      <c r="D119">
        <v>-33.9812081143752</v>
      </c>
      <c r="E119">
        <v>18.854472756710098</v>
      </c>
      <c r="F119">
        <v>4.3799999999999999E-2</v>
      </c>
      <c r="G119">
        <v>0.1096</v>
      </c>
      <c r="H119">
        <v>6.5750000000000003E-2</v>
      </c>
      <c r="I119">
        <v>8014.0829999999996</v>
      </c>
      <c r="J119">
        <v>8856.9779999999992</v>
      </c>
    </row>
    <row r="120" spans="1:10">
      <c r="A120">
        <v>13</v>
      </c>
      <c r="B120">
        <v>4</v>
      </c>
      <c r="C120" t="s">
        <v>21</v>
      </c>
      <c r="D120">
        <v>-33.981721545550897</v>
      </c>
      <c r="E120">
        <v>18.8492520361754</v>
      </c>
      <c r="F120">
        <v>4.3799999999999999E-2</v>
      </c>
      <c r="G120">
        <v>0.1096</v>
      </c>
      <c r="H120">
        <v>6.5750000000000003E-2</v>
      </c>
      <c r="I120">
        <v>7845.4970000000003</v>
      </c>
      <c r="J120">
        <v>8688.3919999999998</v>
      </c>
    </row>
    <row r="121" spans="1:10">
      <c r="A121">
        <v>14</v>
      </c>
      <c r="B121">
        <v>4</v>
      </c>
      <c r="C121" t="s">
        <v>21</v>
      </c>
      <c r="D121">
        <v>-33.981349446597697</v>
      </c>
      <c r="E121">
        <v>18.8529206771458</v>
      </c>
      <c r="F121">
        <v>4.3799999999999999E-2</v>
      </c>
      <c r="G121">
        <v>0.1096</v>
      </c>
      <c r="H121">
        <v>6.5750000000000003E-2</v>
      </c>
      <c r="I121">
        <v>7943.1959999999999</v>
      </c>
      <c r="J121">
        <v>8786.0910000000003</v>
      </c>
    </row>
    <row r="122" spans="1:10">
      <c r="A122">
        <v>15</v>
      </c>
      <c r="B122">
        <v>4</v>
      </c>
      <c r="C122" t="s">
        <v>21</v>
      </c>
      <c r="D122">
        <v>-33.978849284710002</v>
      </c>
      <c r="E122">
        <v>18.854533164898001</v>
      </c>
      <c r="F122">
        <v>4.3799999999999999E-2</v>
      </c>
      <c r="G122">
        <v>0.1096</v>
      </c>
      <c r="H122">
        <v>6.5750000000000003E-2</v>
      </c>
      <c r="I122">
        <v>7828.1310000000003</v>
      </c>
      <c r="J122">
        <v>8671.0249999999996</v>
      </c>
    </row>
    <row r="123" spans="1:10">
      <c r="A123">
        <v>16</v>
      </c>
      <c r="B123">
        <v>4</v>
      </c>
      <c r="C123" t="s">
        <v>21</v>
      </c>
      <c r="D123">
        <v>-33.976241550580703</v>
      </c>
      <c r="E123">
        <v>18.8414901775777</v>
      </c>
      <c r="F123">
        <v>4.3799999999999999E-2</v>
      </c>
      <c r="G123">
        <v>0.1096</v>
      </c>
      <c r="H123">
        <v>6.5750000000000003E-2</v>
      </c>
      <c r="I123">
        <v>7597.3019999999997</v>
      </c>
      <c r="J123">
        <v>8440.1959999999999</v>
      </c>
    </row>
    <row r="124" spans="1:10">
      <c r="A124">
        <v>17</v>
      </c>
      <c r="B124">
        <v>4</v>
      </c>
      <c r="C124" t="s">
        <v>21</v>
      </c>
      <c r="D124">
        <v>-33.982246870667197</v>
      </c>
      <c r="E124">
        <v>18.8489446058122</v>
      </c>
      <c r="F124">
        <v>4.3799999999999999E-2</v>
      </c>
      <c r="G124">
        <v>0.1096</v>
      </c>
      <c r="H124">
        <v>6.5750000000000003E-2</v>
      </c>
      <c r="I124">
        <v>8035.6229999999996</v>
      </c>
      <c r="J124">
        <v>8878.518</v>
      </c>
    </row>
    <row r="125" spans="1:10">
      <c r="A125">
        <v>18</v>
      </c>
      <c r="B125">
        <v>4</v>
      </c>
      <c r="C125" t="s">
        <v>21</v>
      </c>
      <c r="D125">
        <v>-33.982468468240299</v>
      </c>
      <c r="E125">
        <v>18.8407405679893</v>
      </c>
      <c r="F125">
        <v>4.3799999999999999E-2</v>
      </c>
      <c r="G125">
        <v>0.1096</v>
      </c>
      <c r="H125">
        <v>6.5750000000000003E-2</v>
      </c>
      <c r="I125">
        <v>7603.8389999999999</v>
      </c>
      <c r="J125">
        <v>8446.7340000000004</v>
      </c>
    </row>
    <row r="126" spans="1:10">
      <c r="A126">
        <v>19</v>
      </c>
      <c r="B126">
        <v>4</v>
      </c>
      <c r="C126" t="s">
        <v>21</v>
      </c>
      <c r="D126">
        <v>-33.978065767261697</v>
      </c>
      <c r="E126">
        <v>18.852456674030702</v>
      </c>
      <c r="F126">
        <v>4.3799999999999999E-2</v>
      </c>
      <c r="G126">
        <v>0.1096</v>
      </c>
      <c r="H126">
        <v>6.5750000000000003E-2</v>
      </c>
      <c r="I126">
        <v>7756.8459999999995</v>
      </c>
      <c r="J126">
        <v>8599.741</v>
      </c>
    </row>
    <row r="127" spans="1:10">
      <c r="A127">
        <v>20</v>
      </c>
      <c r="B127">
        <v>4</v>
      </c>
      <c r="C127" t="s">
        <v>21</v>
      </c>
      <c r="D127">
        <v>-33.980651961432997</v>
      </c>
      <c r="E127">
        <v>18.852861542721101</v>
      </c>
      <c r="F127">
        <v>4.3799999999999999E-2</v>
      </c>
      <c r="G127">
        <v>0.1096</v>
      </c>
      <c r="H127">
        <v>6.5750000000000003E-2</v>
      </c>
      <c r="I127">
        <v>7833.9750000000004</v>
      </c>
      <c r="J127">
        <v>8676.8690000000006</v>
      </c>
    </row>
    <row r="128" spans="1:10">
      <c r="A128">
        <v>21</v>
      </c>
      <c r="B128">
        <v>4</v>
      </c>
      <c r="C128" t="s">
        <v>21</v>
      </c>
      <c r="D128">
        <v>-33.979957798333103</v>
      </c>
      <c r="E128">
        <v>18.843720156970001</v>
      </c>
      <c r="F128">
        <v>4.3799999999999999E-2</v>
      </c>
      <c r="G128">
        <v>0.1096</v>
      </c>
      <c r="H128">
        <v>6.5750000000000003E-2</v>
      </c>
      <c r="I128">
        <v>7609.0169999999998</v>
      </c>
      <c r="J128">
        <v>8451.9110000000001</v>
      </c>
    </row>
    <row r="129" spans="1:10">
      <c r="A129">
        <v>22</v>
      </c>
      <c r="B129">
        <v>4</v>
      </c>
      <c r="C129" t="s">
        <v>21</v>
      </c>
      <c r="D129">
        <v>-33.982711617225704</v>
      </c>
      <c r="E129">
        <v>18.846536018965502</v>
      </c>
      <c r="F129">
        <v>4.3799999999999999E-2</v>
      </c>
      <c r="G129">
        <v>0.1096</v>
      </c>
      <c r="H129">
        <v>6.5750000000000003E-2</v>
      </c>
      <c r="I129">
        <v>7959.223</v>
      </c>
      <c r="J129">
        <v>8802.1180000000004</v>
      </c>
    </row>
    <row r="130" spans="1:10">
      <c r="A130">
        <v>23</v>
      </c>
      <c r="B130">
        <v>4</v>
      </c>
      <c r="C130" t="s">
        <v>21</v>
      </c>
      <c r="D130">
        <v>-33.982555845690399</v>
      </c>
      <c r="E130">
        <v>18.851160272294301</v>
      </c>
      <c r="F130">
        <v>4.3799999999999999E-2</v>
      </c>
      <c r="G130">
        <v>0.1096</v>
      </c>
      <c r="H130">
        <v>6.5750000000000003E-2</v>
      </c>
      <c r="I130">
        <v>8013.6840000000002</v>
      </c>
      <c r="J130">
        <v>8856.5789999999997</v>
      </c>
    </row>
    <row r="131" spans="1:10">
      <c r="A131">
        <v>24</v>
      </c>
      <c r="B131">
        <v>4</v>
      </c>
      <c r="C131" t="s">
        <v>21</v>
      </c>
      <c r="D131">
        <v>-33.982560710255498</v>
      </c>
      <c r="E131">
        <v>18.848478959466799</v>
      </c>
      <c r="F131">
        <v>4.3799999999999999E-2</v>
      </c>
      <c r="G131">
        <v>0.1096</v>
      </c>
      <c r="H131">
        <v>6.5750000000000003E-2</v>
      </c>
      <c r="I131">
        <v>8075.45</v>
      </c>
      <c r="J131">
        <v>8918.3449999999993</v>
      </c>
    </row>
    <row r="132" spans="1:10">
      <c r="A132">
        <v>25</v>
      </c>
      <c r="B132">
        <v>4</v>
      </c>
      <c r="C132" t="s">
        <v>21</v>
      </c>
      <c r="D132">
        <v>-33.975550824371503</v>
      </c>
      <c r="E132">
        <v>18.843345411946402</v>
      </c>
      <c r="F132">
        <v>4.3799999999999999E-2</v>
      </c>
      <c r="G132">
        <v>0.1096</v>
      </c>
      <c r="H132">
        <v>6.5750000000000003E-2</v>
      </c>
      <c r="I132">
        <v>6818.8890000000001</v>
      </c>
      <c r="J132">
        <v>7661.7839999999997</v>
      </c>
    </row>
    <row r="133" spans="1:10">
      <c r="A133">
        <v>26</v>
      </c>
      <c r="B133">
        <v>4</v>
      </c>
      <c r="C133" t="s">
        <v>21</v>
      </c>
      <c r="D133">
        <v>-33.980273618071102</v>
      </c>
      <c r="E133">
        <v>18.8487964037027</v>
      </c>
      <c r="F133">
        <v>4.3799999999999999E-2</v>
      </c>
      <c r="G133">
        <v>0.1096</v>
      </c>
      <c r="H133">
        <v>6.5750000000000003E-2</v>
      </c>
      <c r="I133">
        <v>7629.0230000000001</v>
      </c>
      <c r="J133">
        <v>8471.9179999999997</v>
      </c>
    </row>
    <row r="134" spans="1:10">
      <c r="A134">
        <v>27</v>
      </c>
      <c r="B134">
        <v>4</v>
      </c>
      <c r="C134" t="s">
        <v>21</v>
      </c>
      <c r="D134">
        <v>-33.979334237496303</v>
      </c>
      <c r="E134">
        <v>18.845198142969899</v>
      </c>
      <c r="F134">
        <v>4.3799999999999999E-2</v>
      </c>
      <c r="G134">
        <v>0.1096</v>
      </c>
      <c r="H134">
        <v>6.5750000000000003E-2</v>
      </c>
      <c r="I134">
        <v>7334.0079999999998</v>
      </c>
      <c r="J134">
        <v>8176.9030000000002</v>
      </c>
    </row>
    <row r="135" spans="1:10">
      <c r="A135">
        <v>28</v>
      </c>
      <c r="B135">
        <v>4</v>
      </c>
      <c r="C135" t="s">
        <v>21</v>
      </c>
      <c r="D135">
        <v>-33.977467586802597</v>
      </c>
      <c r="E135">
        <v>18.8504314379582</v>
      </c>
      <c r="F135">
        <v>4.3799999999999999E-2</v>
      </c>
      <c r="G135">
        <v>0.1096</v>
      </c>
      <c r="H135">
        <v>6.5750000000000003E-2</v>
      </c>
      <c r="I135">
        <v>7561.9660000000003</v>
      </c>
      <c r="J135">
        <v>8404.8610000000008</v>
      </c>
    </row>
    <row r="136" spans="1:10">
      <c r="A136">
        <v>29</v>
      </c>
      <c r="B136">
        <v>4</v>
      </c>
      <c r="C136" t="s">
        <v>21</v>
      </c>
      <c r="D136">
        <v>-33.9781826028536</v>
      </c>
      <c r="E136">
        <v>18.849350449613201</v>
      </c>
      <c r="F136">
        <v>4.3799999999999999E-2</v>
      </c>
      <c r="G136">
        <v>0.1096</v>
      </c>
      <c r="H136">
        <v>6.5750000000000003E-2</v>
      </c>
      <c r="I136">
        <v>7359.3620000000001</v>
      </c>
      <c r="J136">
        <v>8202.2569999999996</v>
      </c>
    </row>
    <row r="137" spans="1:10">
      <c r="A137">
        <v>30</v>
      </c>
      <c r="B137">
        <v>4</v>
      </c>
      <c r="C137" t="s">
        <v>21</v>
      </c>
      <c r="D137">
        <v>-33.980532644721002</v>
      </c>
      <c r="E137">
        <v>18.8529243235058</v>
      </c>
      <c r="F137">
        <v>4.3799999999999999E-2</v>
      </c>
      <c r="G137">
        <v>0.1096</v>
      </c>
      <c r="H137">
        <v>6.5750000000000003E-2</v>
      </c>
      <c r="I137">
        <v>7833.7269999999999</v>
      </c>
      <c r="J137">
        <v>8676.6219999999994</v>
      </c>
    </row>
    <row r="138" spans="1:10">
      <c r="A138">
        <v>31</v>
      </c>
      <c r="B138">
        <v>4</v>
      </c>
      <c r="C138" t="s">
        <v>21</v>
      </c>
      <c r="D138">
        <v>-33.981443051487602</v>
      </c>
      <c r="E138">
        <v>18.8510216861809</v>
      </c>
      <c r="F138">
        <v>4.3799999999999999E-2</v>
      </c>
      <c r="G138">
        <v>0.1096</v>
      </c>
      <c r="H138">
        <v>6.5750000000000003E-2</v>
      </c>
      <c r="I138">
        <v>7824.0839999999998</v>
      </c>
      <c r="J138">
        <v>8666.9789999999994</v>
      </c>
    </row>
    <row r="139" spans="1:10">
      <c r="A139">
        <v>32</v>
      </c>
      <c r="B139">
        <v>4</v>
      </c>
      <c r="C139" t="s">
        <v>21</v>
      </c>
      <c r="D139">
        <v>-33.979934459117501</v>
      </c>
      <c r="E139">
        <v>18.851504519266701</v>
      </c>
      <c r="F139">
        <v>4.3799999999999999E-2</v>
      </c>
      <c r="G139">
        <v>0.1096</v>
      </c>
      <c r="H139">
        <v>6.5750000000000003E-2</v>
      </c>
      <c r="I139">
        <v>7679.607</v>
      </c>
      <c r="J139">
        <v>8522.5010000000002</v>
      </c>
    </row>
    <row r="140" spans="1:10">
      <c r="A140">
        <v>33</v>
      </c>
      <c r="B140">
        <v>4</v>
      </c>
      <c r="C140" t="s">
        <v>21</v>
      </c>
      <c r="D140">
        <v>-33.976754392585697</v>
      </c>
      <c r="E140">
        <v>18.8400762198347</v>
      </c>
      <c r="F140">
        <v>4.3799999999999999E-2</v>
      </c>
      <c r="G140">
        <v>0.1096</v>
      </c>
      <c r="H140">
        <v>6.5750000000000003E-2</v>
      </c>
      <c r="I140">
        <v>6788.43</v>
      </c>
      <c r="J140">
        <v>7631.3249999999998</v>
      </c>
    </row>
    <row r="141" spans="1:10">
      <c r="A141">
        <v>34</v>
      </c>
      <c r="B141">
        <v>4</v>
      </c>
      <c r="C141" t="s">
        <v>21</v>
      </c>
      <c r="D141">
        <v>-33.9795379342508</v>
      </c>
      <c r="E141">
        <v>18.8456728164787</v>
      </c>
      <c r="F141">
        <v>4.3799999999999999E-2</v>
      </c>
      <c r="G141">
        <v>0.1096</v>
      </c>
      <c r="H141">
        <v>6.5750000000000003E-2</v>
      </c>
      <c r="I141">
        <v>7328.9350000000004</v>
      </c>
      <c r="J141">
        <v>8171.83</v>
      </c>
    </row>
    <row r="142" spans="1:10">
      <c r="A142">
        <v>35</v>
      </c>
      <c r="B142">
        <v>4</v>
      </c>
      <c r="C142" t="s">
        <v>21</v>
      </c>
      <c r="D142">
        <v>-33.9767409443768</v>
      </c>
      <c r="E142">
        <v>18.844496240799899</v>
      </c>
      <c r="F142">
        <v>4.3799999999999999E-2</v>
      </c>
      <c r="G142">
        <v>0.1096</v>
      </c>
      <c r="H142">
        <v>6.5750000000000003E-2</v>
      </c>
      <c r="I142">
        <v>6886.549</v>
      </c>
      <c r="J142">
        <v>7729.4440000000004</v>
      </c>
    </row>
    <row r="143" spans="1:10">
      <c r="A143">
        <v>36</v>
      </c>
      <c r="B143">
        <v>4</v>
      </c>
      <c r="C143" t="s">
        <v>21</v>
      </c>
      <c r="D143">
        <v>-33.981986348201502</v>
      </c>
      <c r="E143">
        <v>18.840102317581302</v>
      </c>
      <c r="F143">
        <v>4.3799999999999999E-2</v>
      </c>
      <c r="G143">
        <v>0.1096</v>
      </c>
      <c r="H143">
        <v>6.5750000000000003E-2</v>
      </c>
      <c r="I143">
        <v>7552.6710000000003</v>
      </c>
      <c r="J143">
        <v>8395.5660000000007</v>
      </c>
    </row>
    <row r="144" spans="1:10">
      <c r="A144">
        <v>37</v>
      </c>
      <c r="B144">
        <v>4</v>
      </c>
      <c r="C144" t="s">
        <v>21</v>
      </c>
      <c r="D144">
        <v>-33.977111424417103</v>
      </c>
      <c r="E144">
        <v>18.8513737168145</v>
      </c>
      <c r="F144">
        <v>4.3799999999999999E-2</v>
      </c>
      <c r="G144">
        <v>0.1096</v>
      </c>
      <c r="H144">
        <v>6.5750000000000003E-2</v>
      </c>
      <c r="I144">
        <v>7643.549</v>
      </c>
      <c r="J144">
        <v>8486.4429999999993</v>
      </c>
    </row>
    <row r="145" spans="1:10">
      <c r="A145">
        <v>38</v>
      </c>
      <c r="B145">
        <v>4</v>
      </c>
      <c r="C145" t="s">
        <v>21</v>
      </c>
      <c r="D145">
        <v>-33.975061822240903</v>
      </c>
      <c r="E145">
        <v>18.8546754832585</v>
      </c>
      <c r="F145">
        <v>4.3799999999999999E-2</v>
      </c>
      <c r="G145">
        <v>0.1096</v>
      </c>
      <c r="H145">
        <v>6.5750000000000003E-2</v>
      </c>
      <c r="I145">
        <v>6557.116</v>
      </c>
      <c r="J145">
        <v>7400.0110000000004</v>
      </c>
    </row>
    <row r="146" spans="1:10">
      <c r="A146">
        <v>39</v>
      </c>
      <c r="B146">
        <v>4</v>
      </c>
      <c r="C146" t="s">
        <v>21</v>
      </c>
      <c r="D146">
        <v>-33.981994199772899</v>
      </c>
      <c r="E146">
        <v>18.8431639655658</v>
      </c>
      <c r="F146">
        <v>4.3799999999999999E-2</v>
      </c>
      <c r="G146">
        <v>0.1096</v>
      </c>
      <c r="H146">
        <v>6.5750000000000003E-2</v>
      </c>
      <c r="I146">
        <v>7654.8130000000001</v>
      </c>
      <c r="J146">
        <v>8497.7080000000005</v>
      </c>
    </row>
    <row r="147" spans="1:10">
      <c r="A147">
        <v>40</v>
      </c>
      <c r="B147">
        <v>4</v>
      </c>
      <c r="C147" t="s">
        <v>21</v>
      </c>
      <c r="D147">
        <v>-33.9784639246948</v>
      </c>
      <c r="E147">
        <v>18.843402975237002</v>
      </c>
      <c r="F147">
        <v>4.3799999999999999E-2</v>
      </c>
      <c r="G147">
        <v>0.1096</v>
      </c>
      <c r="H147">
        <v>6.5750000000000003E-2</v>
      </c>
      <c r="I147">
        <v>7173.3140000000003</v>
      </c>
      <c r="J147">
        <v>8016.2089999999998</v>
      </c>
    </row>
    <row r="148" spans="1:10">
      <c r="A148">
        <v>41</v>
      </c>
      <c r="B148">
        <v>4</v>
      </c>
      <c r="C148" t="s">
        <v>21</v>
      </c>
      <c r="D148">
        <v>-33.976631190912499</v>
      </c>
      <c r="E148">
        <v>18.8432818234125</v>
      </c>
      <c r="F148">
        <v>4.3799999999999999E-2</v>
      </c>
      <c r="G148">
        <v>0.1096</v>
      </c>
      <c r="H148">
        <v>6.5750000000000003E-2</v>
      </c>
      <c r="I148">
        <v>6833.8530000000001</v>
      </c>
      <c r="J148">
        <v>7676.7470000000003</v>
      </c>
    </row>
    <row r="149" spans="1:10">
      <c r="A149">
        <v>42</v>
      </c>
      <c r="B149">
        <v>4</v>
      </c>
      <c r="C149" t="s">
        <v>21</v>
      </c>
      <c r="D149">
        <v>-33.9761942003759</v>
      </c>
      <c r="E149">
        <v>18.848714522492301</v>
      </c>
      <c r="F149">
        <v>4.3799999999999999E-2</v>
      </c>
      <c r="G149">
        <v>0.1096</v>
      </c>
      <c r="H149">
        <v>6.5750000000000003E-2</v>
      </c>
      <c r="I149">
        <v>7362.8130000000001</v>
      </c>
      <c r="J149">
        <v>8205.7080000000005</v>
      </c>
    </row>
    <row r="150" spans="1:10">
      <c r="A150">
        <v>43</v>
      </c>
      <c r="B150">
        <v>4</v>
      </c>
      <c r="C150" t="s">
        <v>21</v>
      </c>
      <c r="D150">
        <v>-33.982531727900799</v>
      </c>
      <c r="E150">
        <v>18.853791888751601</v>
      </c>
      <c r="F150">
        <v>4.3799999999999999E-2</v>
      </c>
      <c r="G150">
        <v>0.1096</v>
      </c>
      <c r="H150">
        <v>6.5750000000000003E-2</v>
      </c>
      <c r="I150">
        <v>8121.7960000000003</v>
      </c>
      <c r="J150">
        <v>8964.6910000000007</v>
      </c>
    </row>
    <row r="151" spans="1:10">
      <c r="A151">
        <v>44</v>
      </c>
      <c r="B151">
        <v>4</v>
      </c>
      <c r="C151" t="s">
        <v>21</v>
      </c>
      <c r="D151">
        <v>-33.980553427379697</v>
      </c>
      <c r="E151">
        <v>18.845240533396701</v>
      </c>
      <c r="F151">
        <v>4.3799999999999999E-2</v>
      </c>
      <c r="G151">
        <v>0.1096</v>
      </c>
      <c r="H151">
        <v>6.5750000000000003E-2</v>
      </c>
      <c r="I151">
        <v>7723.86</v>
      </c>
      <c r="J151">
        <v>8566.7549999999992</v>
      </c>
    </row>
    <row r="152" spans="1:10">
      <c r="A152">
        <v>45</v>
      </c>
      <c r="B152">
        <v>4</v>
      </c>
      <c r="C152" t="s">
        <v>21</v>
      </c>
      <c r="D152">
        <v>-33.9798506568454</v>
      </c>
      <c r="E152">
        <v>18.843628813040301</v>
      </c>
      <c r="F152">
        <v>4.3799999999999999E-2</v>
      </c>
      <c r="G152">
        <v>0.1096</v>
      </c>
      <c r="H152">
        <v>6.5750000000000003E-2</v>
      </c>
      <c r="I152">
        <v>7551.4979999999996</v>
      </c>
      <c r="J152">
        <v>8394.393</v>
      </c>
    </row>
    <row r="153" spans="1:10">
      <c r="A153">
        <v>46</v>
      </c>
      <c r="B153">
        <v>4</v>
      </c>
      <c r="C153" t="s">
        <v>21</v>
      </c>
      <c r="D153">
        <v>-33.982457395467698</v>
      </c>
      <c r="E153">
        <v>18.8488236851761</v>
      </c>
      <c r="F153">
        <v>4.3799999999999999E-2</v>
      </c>
      <c r="G153">
        <v>0.1096</v>
      </c>
      <c r="H153">
        <v>6.5750000000000003E-2</v>
      </c>
      <c r="I153">
        <v>8053.7889999999998</v>
      </c>
      <c r="J153">
        <v>8896.6839999999993</v>
      </c>
    </row>
    <row r="154" spans="1:10">
      <c r="A154">
        <v>47</v>
      </c>
      <c r="B154">
        <v>4</v>
      </c>
      <c r="C154" t="s">
        <v>21</v>
      </c>
      <c r="D154">
        <v>-33.977201988458702</v>
      </c>
      <c r="E154">
        <v>18.843818118617701</v>
      </c>
      <c r="F154">
        <v>4.3799999999999999E-2</v>
      </c>
      <c r="G154">
        <v>0.1096</v>
      </c>
      <c r="H154">
        <v>6.5750000000000003E-2</v>
      </c>
      <c r="I154">
        <v>6963.6030000000001</v>
      </c>
      <c r="J154">
        <v>7806.4979999999996</v>
      </c>
    </row>
    <row r="155" spans="1:10">
      <c r="A155">
        <v>48</v>
      </c>
      <c r="B155">
        <v>4</v>
      </c>
      <c r="C155" t="s">
        <v>21</v>
      </c>
      <c r="D155">
        <v>-33.980180003077301</v>
      </c>
      <c r="E155">
        <v>18.843068214897102</v>
      </c>
      <c r="F155">
        <v>4.3799999999999999E-2</v>
      </c>
      <c r="G155">
        <v>0.1096</v>
      </c>
      <c r="H155">
        <v>6.5750000000000003E-2</v>
      </c>
      <c r="I155">
        <v>7492.2439999999997</v>
      </c>
      <c r="J155">
        <v>8335.1389999999992</v>
      </c>
    </row>
    <row r="156" spans="1:10">
      <c r="A156">
        <v>49</v>
      </c>
      <c r="B156">
        <v>4</v>
      </c>
      <c r="C156" t="s">
        <v>21</v>
      </c>
      <c r="D156">
        <v>-33.976358393538</v>
      </c>
      <c r="E156">
        <v>18.847400519601599</v>
      </c>
      <c r="F156">
        <v>4.3799999999999999E-2</v>
      </c>
      <c r="G156">
        <v>0.1096</v>
      </c>
      <c r="H156">
        <v>6.5750000000000003E-2</v>
      </c>
      <c r="I156">
        <v>7247.1149999999998</v>
      </c>
      <c r="J156">
        <v>8090.01</v>
      </c>
    </row>
    <row r="157" spans="1:10">
      <c r="A157">
        <v>50</v>
      </c>
      <c r="B157">
        <v>4</v>
      </c>
      <c r="C157" t="s">
        <v>21</v>
      </c>
      <c r="D157">
        <v>-33.978047470826702</v>
      </c>
      <c r="E157">
        <v>18.8499171387374</v>
      </c>
      <c r="F157">
        <v>4.3799999999999999E-2</v>
      </c>
      <c r="G157">
        <v>0.1096</v>
      </c>
      <c r="H157">
        <v>6.5750000000000003E-2</v>
      </c>
      <c r="I157">
        <v>7504.4629999999997</v>
      </c>
      <c r="J157">
        <v>8347.357</v>
      </c>
    </row>
    <row r="158" spans="1:10">
      <c r="A158">
        <v>51</v>
      </c>
      <c r="B158">
        <v>4</v>
      </c>
      <c r="C158" t="s">
        <v>21</v>
      </c>
      <c r="D158">
        <v>-33.975229834079101</v>
      </c>
      <c r="E158">
        <v>18.849991220391001</v>
      </c>
      <c r="F158">
        <v>4.3799999999999999E-2</v>
      </c>
      <c r="G158">
        <v>0.1096</v>
      </c>
      <c r="H158">
        <v>6.5750000000000003E-2</v>
      </c>
      <c r="I158">
        <v>7508.1570000000002</v>
      </c>
      <c r="J158">
        <v>8351.0509999999995</v>
      </c>
    </row>
    <row r="159" spans="1:10">
      <c r="A159">
        <v>52</v>
      </c>
      <c r="B159">
        <v>4</v>
      </c>
      <c r="C159" t="s">
        <v>21</v>
      </c>
      <c r="D159">
        <v>-33.977206468490998</v>
      </c>
      <c r="E159">
        <v>18.840072124323299</v>
      </c>
      <c r="F159">
        <v>4.3799999999999999E-2</v>
      </c>
      <c r="G159">
        <v>0.1096</v>
      </c>
      <c r="H159">
        <v>6.5750000000000003E-2</v>
      </c>
      <c r="I159">
        <v>6836.2610000000004</v>
      </c>
      <c r="J159">
        <v>7679.1559999999999</v>
      </c>
    </row>
    <row r="160" spans="1:10">
      <c r="A160">
        <v>53</v>
      </c>
      <c r="B160">
        <v>4</v>
      </c>
      <c r="C160" t="s">
        <v>21</v>
      </c>
      <c r="D160">
        <v>-33.976309633157797</v>
      </c>
      <c r="E160">
        <v>18.841972170862299</v>
      </c>
      <c r="F160">
        <v>4.3799999999999999E-2</v>
      </c>
      <c r="G160">
        <v>0.1096</v>
      </c>
      <c r="H160">
        <v>6.5750000000000003E-2</v>
      </c>
      <c r="I160">
        <v>7604.3329999999996</v>
      </c>
      <c r="J160">
        <v>8447.2279999999992</v>
      </c>
    </row>
    <row r="161" spans="1:10">
      <c r="A161">
        <v>54</v>
      </c>
      <c r="B161">
        <v>4</v>
      </c>
      <c r="C161" t="s">
        <v>21</v>
      </c>
      <c r="D161">
        <v>-33.978515949551301</v>
      </c>
      <c r="E161">
        <v>18.8475112481776</v>
      </c>
      <c r="F161">
        <v>4.3799999999999999E-2</v>
      </c>
      <c r="G161">
        <v>0.1096</v>
      </c>
      <c r="H161">
        <v>6.5750000000000003E-2</v>
      </c>
      <c r="I161">
        <v>7288.8459999999995</v>
      </c>
      <c r="J161">
        <v>8131.741</v>
      </c>
    </row>
    <row r="162" spans="1:10">
      <c r="A162">
        <v>55</v>
      </c>
      <c r="B162">
        <v>4</v>
      </c>
      <c r="C162" t="s">
        <v>21</v>
      </c>
      <c r="D162">
        <v>-33.982287276556399</v>
      </c>
      <c r="E162">
        <v>18.854105754479001</v>
      </c>
      <c r="F162">
        <v>4.3799999999999999E-2</v>
      </c>
      <c r="G162">
        <v>0.1096</v>
      </c>
      <c r="H162">
        <v>6.5750000000000003E-2</v>
      </c>
      <c r="I162">
        <v>8085.4219999999996</v>
      </c>
      <c r="J162">
        <v>8928.3169999999991</v>
      </c>
    </row>
    <row r="163" spans="1:10">
      <c r="A163">
        <v>56</v>
      </c>
      <c r="B163">
        <v>4</v>
      </c>
      <c r="C163" t="s">
        <v>21</v>
      </c>
      <c r="D163">
        <v>-33.982371494924998</v>
      </c>
      <c r="E163">
        <v>18.840412357771498</v>
      </c>
      <c r="F163">
        <v>4.3799999999999999E-2</v>
      </c>
      <c r="G163">
        <v>0.1096</v>
      </c>
      <c r="H163">
        <v>6.5750000000000003E-2</v>
      </c>
      <c r="I163">
        <v>7577.9629999999997</v>
      </c>
      <c r="J163">
        <v>8420.8580000000002</v>
      </c>
    </row>
    <row r="164" spans="1:10">
      <c r="A164">
        <v>57</v>
      </c>
      <c r="B164">
        <v>4</v>
      </c>
      <c r="C164" t="s">
        <v>21</v>
      </c>
      <c r="D164">
        <v>-33.975038245625498</v>
      </c>
      <c r="E164">
        <v>18.844908883788001</v>
      </c>
      <c r="F164">
        <v>4.3799999999999999E-2</v>
      </c>
      <c r="G164">
        <v>0.1096</v>
      </c>
      <c r="H164">
        <v>6.5750000000000003E-2</v>
      </c>
      <c r="I164">
        <v>6957.1189999999997</v>
      </c>
      <c r="J164">
        <v>7800.0140000000001</v>
      </c>
    </row>
    <row r="165" spans="1:10">
      <c r="A165">
        <v>58</v>
      </c>
      <c r="B165">
        <v>4</v>
      </c>
      <c r="C165" t="s">
        <v>21</v>
      </c>
      <c r="D165">
        <v>-33.976489958435899</v>
      </c>
      <c r="E165">
        <v>18.8411382703359</v>
      </c>
      <c r="F165">
        <v>4.3799999999999999E-2</v>
      </c>
      <c r="G165">
        <v>0.1096</v>
      </c>
      <c r="H165">
        <v>6.5750000000000003E-2</v>
      </c>
      <c r="I165">
        <v>6729.6880000000001</v>
      </c>
      <c r="J165">
        <v>7572.5829999999996</v>
      </c>
    </row>
    <row r="166" spans="1:10">
      <c r="A166">
        <v>59</v>
      </c>
      <c r="B166">
        <v>4</v>
      </c>
      <c r="C166" t="s">
        <v>21</v>
      </c>
      <c r="D166">
        <v>-33.979924175284701</v>
      </c>
      <c r="E166">
        <v>18.841248982110301</v>
      </c>
      <c r="F166">
        <v>4.3799999999999999E-2</v>
      </c>
      <c r="G166">
        <v>0.1096</v>
      </c>
      <c r="H166">
        <v>6.5750000000000003E-2</v>
      </c>
      <c r="I166">
        <v>7308.9160000000002</v>
      </c>
      <c r="J166">
        <v>8151.81</v>
      </c>
    </row>
    <row r="167" spans="1:10">
      <c r="A167">
        <v>0</v>
      </c>
      <c r="B167">
        <v>5</v>
      </c>
      <c r="C167" t="s">
        <v>50</v>
      </c>
      <c r="D167">
        <v>-33.900513513677403</v>
      </c>
      <c r="E167">
        <v>18.852923667818001</v>
      </c>
      <c r="F167">
        <v>4.3799999999999999E-2</v>
      </c>
      <c r="G167">
        <v>0.1096</v>
      </c>
      <c r="H167">
        <v>6.5750000000000003E-2</v>
      </c>
      <c r="I167">
        <v>7004.4279999999999</v>
      </c>
      <c r="J167">
        <v>8921.9680000000008</v>
      </c>
    </row>
    <row r="168" spans="1:10">
      <c r="A168">
        <v>1</v>
      </c>
      <c r="B168">
        <v>5</v>
      </c>
      <c r="C168" t="s">
        <v>50</v>
      </c>
      <c r="D168">
        <v>-33.899618093989098</v>
      </c>
      <c r="E168">
        <v>18.848391385802</v>
      </c>
      <c r="F168">
        <v>4.3799999999999999E-2</v>
      </c>
      <c r="G168">
        <v>0.1096</v>
      </c>
      <c r="H168">
        <v>6.5750000000000003E-2</v>
      </c>
      <c r="I168">
        <v>6628.201</v>
      </c>
      <c r="J168">
        <v>8545.7420000000002</v>
      </c>
    </row>
    <row r="169" spans="1:10">
      <c r="A169">
        <v>2</v>
      </c>
      <c r="B169">
        <v>5</v>
      </c>
      <c r="C169" t="s">
        <v>50</v>
      </c>
      <c r="D169">
        <v>-33.902433337259502</v>
      </c>
      <c r="E169">
        <v>18.852871301030898</v>
      </c>
      <c r="F169">
        <v>4.3799999999999999E-2</v>
      </c>
      <c r="G169">
        <v>0.1096</v>
      </c>
      <c r="H169">
        <v>6.5750000000000003E-2</v>
      </c>
      <c r="I169">
        <v>5677.6930000000002</v>
      </c>
      <c r="J169">
        <v>7595.2340000000004</v>
      </c>
    </row>
    <row r="170" spans="1:10">
      <c r="A170">
        <v>3</v>
      </c>
      <c r="B170">
        <v>5</v>
      </c>
      <c r="C170" t="s">
        <v>50</v>
      </c>
      <c r="D170">
        <v>-33.901064838830401</v>
      </c>
      <c r="E170">
        <v>18.848805698763201</v>
      </c>
      <c r="F170">
        <v>4.3799999999999999E-2</v>
      </c>
      <c r="G170">
        <v>0.1096</v>
      </c>
      <c r="H170">
        <v>6.5750000000000003E-2</v>
      </c>
      <c r="I170">
        <v>5984.3370000000004</v>
      </c>
      <c r="J170">
        <v>7901.8779999999997</v>
      </c>
    </row>
    <row r="171" spans="1:10">
      <c r="A171">
        <v>4</v>
      </c>
      <c r="B171">
        <v>5</v>
      </c>
      <c r="C171" t="s">
        <v>50</v>
      </c>
      <c r="D171">
        <v>-33.897932996872001</v>
      </c>
      <c r="E171">
        <v>18.846547727221299</v>
      </c>
      <c r="F171">
        <v>4.3799999999999999E-2</v>
      </c>
      <c r="G171">
        <v>0.1096</v>
      </c>
      <c r="H171">
        <v>6.5750000000000003E-2</v>
      </c>
      <c r="I171">
        <v>6568.22</v>
      </c>
      <c r="J171">
        <v>8485.7610000000004</v>
      </c>
    </row>
    <row r="172" spans="1:10">
      <c r="A172">
        <v>5</v>
      </c>
      <c r="B172">
        <v>5</v>
      </c>
      <c r="C172" t="s">
        <v>50</v>
      </c>
      <c r="D172">
        <v>-33.902801377574498</v>
      </c>
      <c r="E172">
        <v>18.854282944123302</v>
      </c>
      <c r="F172">
        <v>4.3799999999999999E-2</v>
      </c>
      <c r="G172">
        <v>0.1096</v>
      </c>
      <c r="H172">
        <v>6.5750000000000003E-2</v>
      </c>
      <c r="I172">
        <v>6048.7039999999997</v>
      </c>
      <c r="J172">
        <v>7966.2439999999997</v>
      </c>
    </row>
    <row r="173" spans="1:10">
      <c r="A173">
        <v>6</v>
      </c>
      <c r="B173">
        <v>5</v>
      </c>
      <c r="C173" t="s">
        <v>50</v>
      </c>
      <c r="D173">
        <v>-33.901190465859102</v>
      </c>
      <c r="E173">
        <v>18.851900890574399</v>
      </c>
      <c r="F173">
        <v>4.3799999999999999E-2</v>
      </c>
      <c r="G173">
        <v>0.1096</v>
      </c>
      <c r="H173">
        <v>6.5750000000000003E-2</v>
      </c>
      <c r="I173">
        <v>7004.4279999999999</v>
      </c>
      <c r="J173">
        <v>8921.9680000000008</v>
      </c>
    </row>
    <row r="174" spans="1:10">
      <c r="A174">
        <v>7</v>
      </c>
      <c r="B174">
        <v>5</v>
      </c>
      <c r="C174" t="s">
        <v>50</v>
      </c>
      <c r="D174">
        <v>-33.900371854947203</v>
      </c>
      <c r="E174">
        <v>18.858647163362001</v>
      </c>
      <c r="F174">
        <v>4.3799999999999999E-2</v>
      </c>
      <c r="G174">
        <v>0.1096</v>
      </c>
      <c r="H174">
        <v>6.5750000000000003E-2</v>
      </c>
      <c r="I174">
        <v>5997.58</v>
      </c>
      <c r="J174">
        <v>7915.1210000000001</v>
      </c>
    </row>
    <row r="175" spans="1:10">
      <c r="A175">
        <v>8</v>
      </c>
      <c r="B175">
        <v>5</v>
      </c>
      <c r="C175" t="s">
        <v>50</v>
      </c>
      <c r="D175">
        <v>-33.900349574010598</v>
      </c>
      <c r="E175">
        <v>18.852254827934001</v>
      </c>
      <c r="F175">
        <v>4.3799999999999999E-2</v>
      </c>
      <c r="G175">
        <v>0.1096</v>
      </c>
      <c r="H175">
        <v>6.5750000000000003E-2</v>
      </c>
      <c r="I175">
        <v>7004.4279999999999</v>
      </c>
      <c r="J175">
        <v>8921.9680000000008</v>
      </c>
    </row>
    <row r="176" spans="1:10">
      <c r="A176">
        <v>9</v>
      </c>
      <c r="B176">
        <v>5</v>
      </c>
      <c r="C176" t="s">
        <v>50</v>
      </c>
      <c r="D176">
        <v>-33.899024087776901</v>
      </c>
      <c r="E176">
        <v>18.8581866117954</v>
      </c>
      <c r="F176">
        <v>4.3799999999999999E-2</v>
      </c>
      <c r="G176">
        <v>0.1096</v>
      </c>
      <c r="H176">
        <v>6.5750000000000003E-2</v>
      </c>
      <c r="I176">
        <v>6204.7879999999996</v>
      </c>
      <c r="J176">
        <v>8122.3289999999997</v>
      </c>
    </row>
    <row r="177" spans="1:10">
      <c r="A177">
        <v>10</v>
      </c>
      <c r="B177">
        <v>5</v>
      </c>
      <c r="C177" t="s">
        <v>50</v>
      </c>
      <c r="D177">
        <v>-33.9000885221879</v>
      </c>
      <c r="E177">
        <v>18.853061124272301</v>
      </c>
      <c r="F177">
        <v>4.3799999999999999E-2</v>
      </c>
      <c r="G177">
        <v>0.1096</v>
      </c>
      <c r="H177">
        <v>6.5750000000000003E-2</v>
      </c>
      <c r="I177">
        <v>7004.4279999999999</v>
      </c>
      <c r="J177">
        <v>8921.9680000000008</v>
      </c>
    </row>
    <row r="178" spans="1:10">
      <c r="A178">
        <v>11</v>
      </c>
      <c r="B178">
        <v>5</v>
      </c>
      <c r="C178" t="s">
        <v>50</v>
      </c>
      <c r="D178">
        <v>-33.8991398801329</v>
      </c>
      <c r="E178">
        <v>18.84864238478</v>
      </c>
      <c r="F178">
        <v>4.3799999999999999E-2</v>
      </c>
      <c r="G178">
        <v>0.1096</v>
      </c>
      <c r="H178">
        <v>6.5750000000000003E-2</v>
      </c>
      <c r="I178">
        <v>6610.7839999999997</v>
      </c>
      <c r="J178">
        <v>8528.3250000000007</v>
      </c>
    </row>
    <row r="179" spans="1:10">
      <c r="A179">
        <v>12</v>
      </c>
      <c r="B179">
        <v>5</v>
      </c>
      <c r="C179" t="s">
        <v>50</v>
      </c>
      <c r="D179">
        <v>-33.902136408475599</v>
      </c>
      <c r="E179">
        <v>18.858447184612899</v>
      </c>
      <c r="F179">
        <v>4.3799999999999999E-2</v>
      </c>
      <c r="G179">
        <v>0.1096</v>
      </c>
      <c r="H179">
        <v>6.5750000000000003E-2</v>
      </c>
      <c r="I179">
        <v>5790.607</v>
      </c>
      <c r="J179">
        <v>7708.1480000000001</v>
      </c>
    </row>
    <row r="180" spans="1:10">
      <c r="A180">
        <v>13</v>
      </c>
      <c r="B180">
        <v>5</v>
      </c>
      <c r="C180" t="s">
        <v>50</v>
      </c>
      <c r="D180">
        <v>-33.902527859499799</v>
      </c>
      <c r="E180">
        <v>18.854094280129001</v>
      </c>
      <c r="F180">
        <v>4.3799999999999999E-2</v>
      </c>
      <c r="G180">
        <v>0.1096</v>
      </c>
      <c r="H180">
        <v>6.5750000000000003E-2</v>
      </c>
      <c r="I180">
        <v>6048.7039999999997</v>
      </c>
      <c r="J180">
        <v>7966.2439999999997</v>
      </c>
    </row>
    <row r="181" spans="1:10">
      <c r="A181">
        <v>14</v>
      </c>
      <c r="B181">
        <v>5</v>
      </c>
      <c r="C181" t="s">
        <v>50</v>
      </c>
      <c r="D181">
        <v>-33.902244163216402</v>
      </c>
      <c r="E181">
        <v>18.857153100003401</v>
      </c>
      <c r="F181">
        <v>4.3799999999999999E-2</v>
      </c>
      <c r="G181">
        <v>0.1096</v>
      </c>
      <c r="H181">
        <v>6.5750000000000003E-2</v>
      </c>
      <c r="I181">
        <v>5635.98</v>
      </c>
      <c r="J181">
        <v>7553.5209999999997</v>
      </c>
    </row>
    <row r="182" spans="1:10">
      <c r="A182">
        <v>15</v>
      </c>
      <c r="B182">
        <v>5</v>
      </c>
      <c r="C182" t="s">
        <v>50</v>
      </c>
      <c r="D182">
        <v>-33.900337985761801</v>
      </c>
      <c r="E182">
        <v>18.858497551429299</v>
      </c>
      <c r="F182">
        <v>4.3799999999999999E-2</v>
      </c>
      <c r="G182">
        <v>0.1096</v>
      </c>
      <c r="H182">
        <v>6.5750000000000003E-2</v>
      </c>
      <c r="I182">
        <v>5994.5609999999997</v>
      </c>
      <c r="J182">
        <v>7912.1019999999999</v>
      </c>
    </row>
    <row r="183" spans="1:10">
      <c r="A183">
        <v>16</v>
      </c>
      <c r="B183">
        <v>5</v>
      </c>
      <c r="C183" t="s">
        <v>50</v>
      </c>
      <c r="D183">
        <v>-33.8983497929053</v>
      </c>
      <c r="E183">
        <v>18.8476226391229</v>
      </c>
      <c r="F183">
        <v>4.3799999999999999E-2</v>
      </c>
      <c r="G183">
        <v>0.1096</v>
      </c>
      <c r="H183">
        <v>6.5750000000000003E-2</v>
      </c>
      <c r="I183">
        <v>6520.9570000000003</v>
      </c>
      <c r="J183">
        <v>8438.4979999999996</v>
      </c>
    </row>
    <row r="184" spans="1:10">
      <c r="A184">
        <v>17</v>
      </c>
      <c r="B184">
        <v>5</v>
      </c>
      <c r="C184" t="s">
        <v>50</v>
      </c>
      <c r="D184">
        <v>-33.902928378721398</v>
      </c>
      <c r="E184">
        <v>18.853837952482799</v>
      </c>
      <c r="F184">
        <v>4.3799999999999999E-2</v>
      </c>
      <c r="G184">
        <v>0.1096</v>
      </c>
      <c r="H184">
        <v>6.5750000000000003E-2</v>
      </c>
      <c r="I184">
        <v>6048.7039999999997</v>
      </c>
      <c r="J184">
        <v>7966.2439999999997</v>
      </c>
    </row>
    <row r="185" spans="1:10">
      <c r="A185">
        <v>18</v>
      </c>
      <c r="B185">
        <v>5</v>
      </c>
      <c r="C185" t="s">
        <v>50</v>
      </c>
      <c r="D185">
        <v>-33.903097329500198</v>
      </c>
      <c r="E185">
        <v>18.846997633644001</v>
      </c>
      <c r="F185">
        <v>4.3799999999999999E-2</v>
      </c>
      <c r="G185">
        <v>0.1096</v>
      </c>
      <c r="H185">
        <v>6.5750000000000003E-2</v>
      </c>
      <c r="I185">
        <v>5701.5150000000003</v>
      </c>
      <c r="J185">
        <v>7619.0559999999996</v>
      </c>
    </row>
    <row r="186" spans="1:10">
      <c r="A186">
        <v>19</v>
      </c>
      <c r="B186">
        <v>5</v>
      </c>
      <c r="C186" t="s">
        <v>50</v>
      </c>
      <c r="D186">
        <v>-33.899740615126397</v>
      </c>
      <c r="E186">
        <v>18.8567662259643</v>
      </c>
      <c r="F186">
        <v>4.3799999999999999E-2</v>
      </c>
      <c r="G186">
        <v>0.1096</v>
      </c>
      <c r="H186">
        <v>6.5750000000000003E-2</v>
      </c>
      <c r="I186">
        <v>6313.5829999999996</v>
      </c>
      <c r="J186">
        <v>8231.1239999999998</v>
      </c>
    </row>
    <row r="187" spans="1:10">
      <c r="A187">
        <v>20</v>
      </c>
      <c r="B187">
        <v>5</v>
      </c>
      <c r="C187" t="s">
        <v>50</v>
      </c>
      <c r="D187">
        <v>-33.901712385453401</v>
      </c>
      <c r="E187">
        <v>18.857103795218599</v>
      </c>
      <c r="F187">
        <v>4.3799999999999999E-2</v>
      </c>
      <c r="G187">
        <v>0.1096</v>
      </c>
      <c r="H187">
        <v>6.5750000000000003E-2</v>
      </c>
      <c r="I187">
        <v>5618.4269999999997</v>
      </c>
      <c r="J187">
        <v>7535.9679999999998</v>
      </c>
    </row>
    <row r="188" spans="1:10">
      <c r="A188">
        <v>21</v>
      </c>
      <c r="B188">
        <v>5</v>
      </c>
      <c r="C188" t="s">
        <v>50</v>
      </c>
      <c r="D188">
        <v>-33.901183140504301</v>
      </c>
      <c r="E188">
        <v>18.8494819394305</v>
      </c>
      <c r="F188">
        <v>4.3799999999999999E-2</v>
      </c>
      <c r="G188">
        <v>0.1096</v>
      </c>
      <c r="H188">
        <v>6.5750000000000003E-2</v>
      </c>
      <c r="I188">
        <v>5905.5479999999998</v>
      </c>
      <c r="J188">
        <v>7823.0879999999997</v>
      </c>
    </row>
    <row r="189" spans="1:10">
      <c r="A189">
        <v>22</v>
      </c>
      <c r="B189">
        <v>5</v>
      </c>
      <c r="C189" t="s">
        <v>50</v>
      </c>
      <c r="D189">
        <v>-33.903282711541301</v>
      </c>
      <c r="E189">
        <v>18.851829733805801</v>
      </c>
      <c r="F189">
        <v>4.3799999999999999E-2</v>
      </c>
      <c r="G189">
        <v>0.1096</v>
      </c>
      <c r="H189">
        <v>6.5750000000000003E-2</v>
      </c>
      <c r="I189">
        <v>5961.82</v>
      </c>
      <c r="J189">
        <v>7879.3609999999999</v>
      </c>
    </row>
    <row r="190" spans="1:10">
      <c r="A190">
        <v>23</v>
      </c>
      <c r="B190">
        <v>5</v>
      </c>
      <c r="C190" t="s">
        <v>50</v>
      </c>
      <c r="D190">
        <v>-33.903163947956401</v>
      </c>
      <c r="E190">
        <v>18.855685319048501</v>
      </c>
      <c r="F190">
        <v>4.3799999999999999E-2</v>
      </c>
      <c r="G190">
        <v>0.1096</v>
      </c>
      <c r="H190">
        <v>6.5750000000000003E-2</v>
      </c>
      <c r="I190">
        <v>5924.335</v>
      </c>
      <c r="J190">
        <v>7841.8760000000002</v>
      </c>
    </row>
    <row r="191" spans="1:10">
      <c r="A191">
        <v>24</v>
      </c>
      <c r="B191">
        <v>5</v>
      </c>
      <c r="C191" t="s">
        <v>50</v>
      </c>
      <c r="D191">
        <v>-33.903167656805998</v>
      </c>
      <c r="E191">
        <v>18.8534497083599</v>
      </c>
      <c r="F191">
        <v>4.3799999999999999E-2</v>
      </c>
      <c r="G191">
        <v>0.1096</v>
      </c>
      <c r="H191">
        <v>6.5750000000000003E-2</v>
      </c>
      <c r="I191">
        <v>5653.2</v>
      </c>
      <c r="J191">
        <v>7570.74</v>
      </c>
    </row>
    <row r="192" spans="1:10">
      <c r="A192">
        <v>25</v>
      </c>
      <c r="B192">
        <v>5</v>
      </c>
      <c r="C192" t="s">
        <v>50</v>
      </c>
      <c r="D192">
        <v>-33.897823168316002</v>
      </c>
      <c r="E192">
        <v>18.849169486526201</v>
      </c>
      <c r="F192">
        <v>4.3799999999999999E-2</v>
      </c>
      <c r="G192">
        <v>0.1096</v>
      </c>
      <c r="H192">
        <v>6.5750000000000003E-2</v>
      </c>
      <c r="I192">
        <v>6777.0230000000001</v>
      </c>
      <c r="J192">
        <v>8694.5630000000001</v>
      </c>
    </row>
    <row r="193" spans="1:10">
      <c r="A193">
        <v>26</v>
      </c>
      <c r="B193">
        <v>5</v>
      </c>
      <c r="C193" t="s">
        <v>50</v>
      </c>
      <c r="D193">
        <v>-33.901423928297802</v>
      </c>
      <c r="E193">
        <v>18.853714385319499</v>
      </c>
      <c r="F193">
        <v>4.3799999999999999E-2</v>
      </c>
      <c r="G193">
        <v>0.1096</v>
      </c>
      <c r="H193">
        <v>6.5750000000000003E-2</v>
      </c>
      <c r="I193">
        <v>6048.7039999999997</v>
      </c>
      <c r="J193">
        <v>7966.2439999999997</v>
      </c>
    </row>
    <row r="194" spans="1:10">
      <c r="A194">
        <v>27</v>
      </c>
      <c r="B194">
        <v>5</v>
      </c>
      <c r="C194" t="s">
        <v>50</v>
      </c>
      <c r="D194">
        <v>-33.900707724246402</v>
      </c>
      <c r="E194">
        <v>18.850714246703699</v>
      </c>
      <c r="F194">
        <v>4.3799999999999999E-2</v>
      </c>
      <c r="G194">
        <v>0.1096</v>
      </c>
      <c r="H194">
        <v>6.5750000000000003E-2</v>
      </c>
      <c r="I194">
        <v>6723.76</v>
      </c>
      <c r="J194">
        <v>8641.3009999999995</v>
      </c>
    </row>
    <row r="195" spans="1:10">
      <c r="A195">
        <v>28</v>
      </c>
      <c r="B195">
        <v>5</v>
      </c>
      <c r="C195" t="s">
        <v>50</v>
      </c>
      <c r="D195">
        <v>-33.899284549416997</v>
      </c>
      <c r="E195">
        <v>18.855077635448399</v>
      </c>
      <c r="F195">
        <v>4.3799999999999999E-2</v>
      </c>
      <c r="G195">
        <v>0.1096</v>
      </c>
      <c r="H195">
        <v>6.5750000000000003E-2</v>
      </c>
      <c r="I195">
        <v>6358</v>
      </c>
      <c r="J195">
        <v>8275.5400000000009</v>
      </c>
    </row>
    <row r="196" spans="1:10">
      <c r="A196">
        <v>29</v>
      </c>
      <c r="B196">
        <v>5</v>
      </c>
      <c r="C196" t="s">
        <v>50</v>
      </c>
      <c r="D196">
        <v>-33.899829693106597</v>
      </c>
      <c r="E196">
        <v>18.854176334759501</v>
      </c>
      <c r="F196">
        <v>4.3799999999999999E-2</v>
      </c>
      <c r="G196">
        <v>0.1096</v>
      </c>
      <c r="H196">
        <v>6.5750000000000003E-2</v>
      </c>
      <c r="I196">
        <v>6358</v>
      </c>
      <c r="J196">
        <v>8275.5400000000009</v>
      </c>
    </row>
    <row r="197" spans="1:10">
      <c r="A197">
        <v>30</v>
      </c>
      <c r="B197">
        <v>5</v>
      </c>
      <c r="C197" t="s">
        <v>50</v>
      </c>
      <c r="D197">
        <v>-33.901621415813601</v>
      </c>
      <c r="E197">
        <v>18.857156140245898</v>
      </c>
      <c r="F197">
        <v>4.3799999999999999E-2</v>
      </c>
      <c r="G197">
        <v>0.1096</v>
      </c>
      <c r="H197">
        <v>6.5750000000000003E-2</v>
      </c>
      <c r="I197">
        <v>5613.4989999999998</v>
      </c>
      <c r="J197">
        <v>7531.04</v>
      </c>
    </row>
    <row r="198" spans="1:10">
      <c r="A198">
        <v>31</v>
      </c>
      <c r="B198">
        <v>5</v>
      </c>
      <c r="C198" t="s">
        <v>50</v>
      </c>
      <c r="D198">
        <v>-33.902315529607399</v>
      </c>
      <c r="E198">
        <v>18.855569769458999</v>
      </c>
      <c r="F198">
        <v>4.3799999999999999E-2</v>
      </c>
      <c r="G198">
        <v>0.1096</v>
      </c>
      <c r="H198">
        <v>6.5750000000000003E-2</v>
      </c>
      <c r="I198">
        <v>6002.1040000000003</v>
      </c>
      <c r="J198">
        <v>7919.6450000000004</v>
      </c>
    </row>
    <row r="199" spans="1:10">
      <c r="A199">
        <v>32</v>
      </c>
      <c r="B199">
        <v>5</v>
      </c>
      <c r="C199" t="s">
        <v>50</v>
      </c>
      <c r="D199">
        <v>-33.901165346181898</v>
      </c>
      <c r="E199">
        <v>18.855972343450599</v>
      </c>
      <c r="F199">
        <v>4.3799999999999999E-2</v>
      </c>
      <c r="G199">
        <v>0.1096</v>
      </c>
      <c r="H199">
        <v>6.5750000000000003E-2</v>
      </c>
      <c r="I199">
        <v>6414.9949999999999</v>
      </c>
      <c r="J199">
        <v>8332.5360000000001</v>
      </c>
    </row>
    <row r="200" spans="1:10">
      <c r="A200">
        <v>33</v>
      </c>
      <c r="B200">
        <v>5</v>
      </c>
      <c r="C200" t="s">
        <v>50</v>
      </c>
      <c r="D200">
        <v>-33.898740794733101</v>
      </c>
      <c r="E200">
        <v>18.8464437169878</v>
      </c>
      <c r="F200">
        <v>4.3799999999999999E-2</v>
      </c>
      <c r="G200">
        <v>0.1096</v>
      </c>
      <c r="H200">
        <v>6.5750000000000003E-2</v>
      </c>
      <c r="I200">
        <v>6407.3789999999999</v>
      </c>
      <c r="J200">
        <v>8324.92</v>
      </c>
    </row>
    <row r="201" spans="1:10">
      <c r="A201">
        <v>34</v>
      </c>
      <c r="B201">
        <v>5</v>
      </c>
      <c r="C201" t="s">
        <v>50</v>
      </c>
      <c r="D201">
        <v>-33.9008630270542</v>
      </c>
      <c r="E201">
        <v>18.8511100174467</v>
      </c>
      <c r="F201">
        <v>4.3799999999999999E-2</v>
      </c>
      <c r="G201">
        <v>0.1096</v>
      </c>
      <c r="H201">
        <v>6.5750000000000003E-2</v>
      </c>
      <c r="I201">
        <v>7004.4279999999999</v>
      </c>
      <c r="J201">
        <v>8921.9680000000008</v>
      </c>
    </row>
    <row r="202" spans="1:10">
      <c r="A202">
        <v>35</v>
      </c>
      <c r="B202">
        <v>5</v>
      </c>
      <c r="C202" t="s">
        <v>50</v>
      </c>
      <c r="D202">
        <v>-33.898730541528003</v>
      </c>
      <c r="E202">
        <v>18.8501290184612</v>
      </c>
      <c r="F202">
        <v>4.3799999999999999E-2</v>
      </c>
      <c r="G202">
        <v>0.1096</v>
      </c>
      <c r="H202">
        <v>6.5750000000000003E-2</v>
      </c>
      <c r="I202">
        <v>6773.7709999999997</v>
      </c>
      <c r="J202">
        <v>8691.3119999999999</v>
      </c>
    </row>
    <row r="203" spans="1:10">
      <c r="A203">
        <v>36</v>
      </c>
      <c r="B203">
        <v>5</v>
      </c>
      <c r="C203" t="s">
        <v>50</v>
      </c>
      <c r="D203">
        <v>-33.902729750763399</v>
      </c>
      <c r="E203">
        <v>18.8464654766276</v>
      </c>
      <c r="F203">
        <v>4.3799999999999999E-2</v>
      </c>
      <c r="G203">
        <v>0.1096</v>
      </c>
      <c r="H203">
        <v>6.5750000000000003E-2</v>
      </c>
      <c r="I203">
        <v>5763.7529999999997</v>
      </c>
      <c r="J203">
        <v>7681.2939999999999</v>
      </c>
    </row>
    <row r="204" spans="1:10">
      <c r="A204">
        <v>37</v>
      </c>
      <c r="B204">
        <v>5</v>
      </c>
      <c r="C204" t="s">
        <v>50</v>
      </c>
      <c r="D204">
        <v>-33.899013003517197</v>
      </c>
      <c r="E204">
        <v>18.855863283680598</v>
      </c>
      <c r="F204">
        <v>4.3799999999999999E-2</v>
      </c>
      <c r="G204">
        <v>0.1096</v>
      </c>
      <c r="H204">
        <v>6.5750000000000003E-2</v>
      </c>
      <c r="I204">
        <v>6323.7420000000002</v>
      </c>
      <c r="J204">
        <v>8241.2819999999992</v>
      </c>
    </row>
    <row r="205" spans="1:10">
      <c r="A205">
        <v>38</v>
      </c>
      <c r="B205">
        <v>5</v>
      </c>
      <c r="C205" t="s">
        <v>50</v>
      </c>
      <c r="D205">
        <v>-33.897450342523697</v>
      </c>
      <c r="E205">
        <v>18.858616212871699</v>
      </c>
      <c r="F205">
        <v>4.3799999999999999E-2</v>
      </c>
      <c r="G205">
        <v>0.1096</v>
      </c>
      <c r="H205">
        <v>6.5750000000000003E-2</v>
      </c>
      <c r="I205">
        <v>5962.7610000000004</v>
      </c>
      <c r="J205">
        <v>7880.3010000000004</v>
      </c>
    </row>
    <row r="206" spans="1:10">
      <c r="A206">
        <v>39</v>
      </c>
      <c r="B206">
        <v>5</v>
      </c>
      <c r="C206" t="s">
        <v>50</v>
      </c>
      <c r="D206">
        <v>-33.902735736971103</v>
      </c>
      <c r="E206">
        <v>18.8490182011321</v>
      </c>
      <c r="F206">
        <v>4.3799999999999999E-2</v>
      </c>
      <c r="G206">
        <v>0.1096</v>
      </c>
      <c r="H206">
        <v>6.5750000000000003E-2</v>
      </c>
      <c r="I206">
        <v>5831.5140000000001</v>
      </c>
      <c r="J206">
        <v>7749.0550000000003</v>
      </c>
    </row>
    <row r="207" spans="1:10">
      <c r="A207">
        <v>40</v>
      </c>
      <c r="B207">
        <v>5</v>
      </c>
      <c r="C207" t="s">
        <v>50</v>
      </c>
      <c r="D207">
        <v>-33.900044178958098</v>
      </c>
      <c r="E207">
        <v>18.849217481339199</v>
      </c>
      <c r="F207">
        <v>4.3799999999999999E-2</v>
      </c>
      <c r="G207">
        <v>0.1096</v>
      </c>
      <c r="H207">
        <v>6.5750000000000003E-2</v>
      </c>
      <c r="I207">
        <v>6653.8670000000002</v>
      </c>
      <c r="J207">
        <v>8571.4079999999994</v>
      </c>
    </row>
    <row r="208" spans="1:10">
      <c r="A208">
        <v>41</v>
      </c>
      <c r="B208">
        <v>5</v>
      </c>
      <c r="C208" t="s">
        <v>50</v>
      </c>
      <c r="D208">
        <v>-33.898646863114898</v>
      </c>
      <c r="E208">
        <v>18.849116468018</v>
      </c>
      <c r="F208">
        <v>4.3799999999999999E-2</v>
      </c>
      <c r="G208">
        <v>0.1096</v>
      </c>
      <c r="H208">
        <v>6.5750000000000003E-2</v>
      </c>
      <c r="I208">
        <v>6677.9849999999997</v>
      </c>
      <c r="J208">
        <v>8595.5259999999998</v>
      </c>
    </row>
    <row r="209" spans="1:10">
      <c r="A209">
        <v>42</v>
      </c>
      <c r="B209">
        <v>5</v>
      </c>
      <c r="C209" t="s">
        <v>50</v>
      </c>
      <c r="D209">
        <v>-33.8983136920859</v>
      </c>
      <c r="E209">
        <v>18.853646114841101</v>
      </c>
      <c r="F209">
        <v>4.3799999999999999E-2</v>
      </c>
      <c r="G209">
        <v>0.1096</v>
      </c>
      <c r="H209">
        <v>6.5750000000000003E-2</v>
      </c>
      <c r="I209">
        <v>6992.0929999999998</v>
      </c>
      <c r="J209">
        <v>8909.6329999999998</v>
      </c>
    </row>
    <row r="210" spans="1:10">
      <c r="A210">
        <v>43</v>
      </c>
      <c r="B210">
        <v>5</v>
      </c>
      <c r="C210" t="s">
        <v>50</v>
      </c>
      <c r="D210">
        <v>-33.903145560032399</v>
      </c>
      <c r="E210">
        <v>18.857879494163001</v>
      </c>
      <c r="F210">
        <v>4.3799999999999999E-2</v>
      </c>
      <c r="G210">
        <v>0.1096</v>
      </c>
      <c r="H210">
        <v>6.5750000000000003E-2</v>
      </c>
      <c r="I210">
        <v>5835.4279999999999</v>
      </c>
      <c r="J210">
        <v>7752.9690000000001</v>
      </c>
    </row>
    <row r="211" spans="1:10">
      <c r="A211">
        <v>44</v>
      </c>
      <c r="B211">
        <v>5</v>
      </c>
      <c r="C211" t="s">
        <v>50</v>
      </c>
      <c r="D211">
        <v>-33.901637260961699</v>
      </c>
      <c r="E211">
        <v>18.8507495907673</v>
      </c>
      <c r="F211">
        <v>4.3799999999999999E-2</v>
      </c>
      <c r="G211">
        <v>0.1096</v>
      </c>
      <c r="H211">
        <v>6.5750000000000003E-2</v>
      </c>
      <c r="I211">
        <v>5834.6310000000003</v>
      </c>
      <c r="J211">
        <v>7752.1710000000003</v>
      </c>
    </row>
    <row r="212" spans="1:10">
      <c r="A212">
        <v>45</v>
      </c>
      <c r="B212">
        <v>5</v>
      </c>
      <c r="C212" t="s">
        <v>50</v>
      </c>
      <c r="D212">
        <v>-33.901101453518599</v>
      </c>
      <c r="E212">
        <v>18.8494057791766</v>
      </c>
      <c r="F212">
        <v>4.3799999999999999E-2</v>
      </c>
      <c r="G212">
        <v>0.1096</v>
      </c>
      <c r="H212">
        <v>6.5750000000000003E-2</v>
      </c>
      <c r="I212">
        <v>5917.0309999999999</v>
      </c>
      <c r="J212">
        <v>7834.5720000000001</v>
      </c>
    </row>
    <row r="213" spans="1:10">
      <c r="A213">
        <v>46</v>
      </c>
      <c r="B213">
        <v>5</v>
      </c>
      <c r="C213" t="s">
        <v>50</v>
      </c>
      <c r="D213">
        <v>-33.903088887378999</v>
      </c>
      <c r="E213">
        <v>18.8537371319206</v>
      </c>
      <c r="F213">
        <v>4.3799999999999999E-2</v>
      </c>
      <c r="G213">
        <v>0.1096</v>
      </c>
      <c r="H213">
        <v>6.5750000000000003E-2</v>
      </c>
      <c r="I213">
        <v>5653.2</v>
      </c>
      <c r="J213">
        <v>7570.74</v>
      </c>
    </row>
    <row r="214" spans="1:10">
      <c r="A214">
        <v>47</v>
      </c>
      <c r="B214">
        <v>5</v>
      </c>
      <c r="C214" t="s">
        <v>50</v>
      </c>
      <c r="D214">
        <v>-33.899082051499697</v>
      </c>
      <c r="E214">
        <v>18.849563617369899</v>
      </c>
      <c r="F214">
        <v>4.3799999999999999E-2</v>
      </c>
      <c r="G214">
        <v>0.1096</v>
      </c>
      <c r="H214">
        <v>6.5750000000000003E-2</v>
      </c>
      <c r="I214">
        <v>6709.6170000000002</v>
      </c>
      <c r="J214">
        <v>8627.1579999999994</v>
      </c>
    </row>
    <row r="215" spans="1:10">
      <c r="A215">
        <v>48</v>
      </c>
      <c r="B215">
        <v>5</v>
      </c>
      <c r="C215" t="s">
        <v>50</v>
      </c>
      <c r="D215">
        <v>-33.901352554203399</v>
      </c>
      <c r="E215">
        <v>18.848938366650899</v>
      </c>
      <c r="F215">
        <v>4.3799999999999999E-2</v>
      </c>
      <c r="G215">
        <v>0.1096</v>
      </c>
      <c r="H215">
        <v>6.5750000000000003E-2</v>
      </c>
      <c r="I215">
        <v>5922.0969999999998</v>
      </c>
      <c r="J215">
        <v>7839.6379999999999</v>
      </c>
    </row>
    <row r="216" spans="1:10">
      <c r="A216">
        <v>49</v>
      </c>
      <c r="B216">
        <v>5</v>
      </c>
      <c r="C216" t="s">
        <v>50</v>
      </c>
      <c r="D216">
        <v>-33.898438876501103</v>
      </c>
      <c r="E216">
        <v>18.852550532528898</v>
      </c>
      <c r="F216">
        <v>4.3799999999999999E-2</v>
      </c>
      <c r="G216">
        <v>0.1096</v>
      </c>
      <c r="H216">
        <v>6.5750000000000003E-2</v>
      </c>
      <c r="I216">
        <v>6987.7129999999997</v>
      </c>
      <c r="J216">
        <v>8905.2530000000006</v>
      </c>
    </row>
    <row r="217" spans="1:10">
      <c r="A217">
        <v>50</v>
      </c>
      <c r="B217">
        <v>5</v>
      </c>
      <c r="C217" t="s">
        <v>50</v>
      </c>
      <c r="D217">
        <v>-33.899726665529002</v>
      </c>
      <c r="E217">
        <v>18.8546488257909</v>
      </c>
      <c r="F217">
        <v>4.3799999999999999E-2</v>
      </c>
      <c r="G217">
        <v>0.1096</v>
      </c>
      <c r="H217">
        <v>6.5750000000000003E-2</v>
      </c>
      <c r="I217">
        <v>6358</v>
      </c>
      <c r="J217">
        <v>8275.5400000000009</v>
      </c>
    </row>
    <row r="218" spans="1:10">
      <c r="A218">
        <v>51</v>
      </c>
      <c r="B218">
        <v>5</v>
      </c>
      <c r="C218" t="s">
        <v>50</v>
      </c>
      <c r="D218">
        <v>-33.897578438380101</v>
      </c>
      <c r="E218">
        <v>18.854710593196401</v>
      </c>
      <c r="F218">
        <v>4.3799999999999999E-2</v>
      </c>
      <c r="G218">
        <v>0.1096</v>
      </c>
      <c r="H218">
        <v>6.5750000000000003E-2</v>
      </c>
      <c r="I218">
        <v>6886.6360000000004</v>
      </c>
      <c r="J218">
        <v>8804.1769999999997</v>
      </c>
    </row>
    <row r="219" spans="1:10">
      <c r="A219">
        <v>52</v>
      </c>
      <c r="B219">
        <v>5</v>
      </c>
      <c r="C219" t="s">
        <v>50</v>
      </c>
      <c r="D219">
        <v>-33.899085467173201</v>
      </c>
      <c r="E219">
        <v>18.846440302254202</v>
      </c>
      <c r="F219">
        <v>4.3799999999999999E-2</v>
      </c>
      <c r="G219">
        <v>0.1096</v>
      </c>
      <c r="H219">
        <v>6.5750000000000003E-2</v>
      </c>
      <c r="I219">
        <v>6403.0410000000002</v>
      </c>
      <c r="J219">
        <v>8320.5820000000003</v>
      </c>
    </row>
    <row r="220" spans="1:10">
      <c r="A220">
        <v>53</v>
      </c>
      <c r="B220">
        <v>5</v>
      </c>
      <c r="C220" t="s">
        <v>50</v>
      </c>
      <c r="D220">
        <v>-33.898401700533498</v>
      </c>
      <c r="E220">
        <v>18.8480245129095</v>
      </c>
      <c r="F220">
        <v>4.3799999999999999E-2</v>
      </c>
      <c r="G220">
        <v>0.1096</v>
      </c>
      <c r="H220">
        <v>6.5750000000000003E-2</v>
      </c>
      <c r="I220">
        <v>6538.8990000000003</v>
      </c>
      <c r="J220">
        <v>8456.4390000000003</v>
      </c>
    </row>
    <row r="221" spans="1:10">
      <c r="A221">
        <v>54</v>
      </c>
      <c r="B221">
        <v>5</v>
      </c>
      <c r="C221" t="s">
        <v>50</v>
      </c>
      <c r="D221">
        <v>-33.900083843833002</v>
      </c>
      <c r="E221">
        <v>18.852642855209599</v>
      </c>
      <c r="F221">
        <v>4.3799999999999999E-2</v>
      </c>
      <c r="G221">
        <v>0.1096</v>
      </c>
      <c r="H221">
        <v>6.5750000000000003E-2</v>
      </c>
      <c r="I221">
        <v>7004.4279999999999</v>
      </c>
      <c r="J221">
        <v>8921.9680000000008</v>
      </c>
    </row>
    <row r="222" spans="1:10">
      <c r="A222">
        <v>55</v>
      </c>
      <c r="B222">
        <v>5</v>
      </c>
      <c r="C222" t="s">
        <v>50</v>
      </c>
      <c r="D222">
        <v>-33.902959185044502</v>
      </c>
      <c r="E222">
        <v>18.858141187452901</v>
      </c>
      <c r="F222">
        <v>4.3799999999999999E-2</v>
      </c>
      <c r="G222">
        <v>0.1096</v>
      </c>
      <c r="H222">
        <v>6.5750000000000003E-2</v>
      </c>
      <c r="I222">
        <v>5878.4830000000002</v>
      </c>
      <c r="J222">
        <v>7796.0240000000003</v>
      </c>
    </row>
    <row r="223" spans="1:10">
      <c r="A223">
        <v>56</v>
      </c>
      <c r="B223">
        <v>5</v>
      </c>
      <c r="C223" t="s">
        <v>50</v>
      </c>
      <c r="D223">
        <v>-33.903023394948903</v>
      </c>
      <c r="E223">
        <v>18.8467239802814</v>
      </c>
      <c r="F223">
        <v>4.3799999999999999E-2</v>
      </c>
      <c r="G223">
        <v>0.1096</v>
      </c>
      <c r="H223">
        <v>6.5750000000000003E-2</v>
      </c>
      <c r="I223">
        <v>5723.3180000000002</v>
      </c>
      <c r="J223">
        <v>7640.8590000000004</v>
      </c>
    </row>
    <row r="224" spans="1:10">
      <c r="A224">
        <v>57</v>
      </c>
      <c r="B224">
        <v>5</v>
      </c>
      <c r="C224" t="s">
        <v>50</v>
      </c>
      <c r="D224">
        <v>-33.897432367202697</v>
      </c>
      <c r="E224">
        <v>18.850473069727901</v>
      </c>
      <c r="F224">
        <v>4.3799999999999999E-2</v>
      </c>
      <c r="G224">
        <v>0.1096</v>
      </c>
      <c r="H224">
        <v>6.5750000000000003E-2</v>
      </c>
      <c r="I224">
        <v>6939.8360000000002</v>
      </c>
      <c r="J224">
        <v>8857.3770000000004</v>
      </c>
    </row>
    <row r="225" spans="1:10">
      <c r="A225">
        <v>58</v>
      </c>
      <c r="B225">
        <v>5</v>
      </c>
      <c r="C225" t="s">
        <v>50</v>
      </c>
      <c r="D225">
        <v>-33.898539184422503</v>
      </c>
      <c r="E225">
        <v>18.847329227782399</v>
      </c>
      <c r="F225">
        <v>4.3799999999999999E-2</v>
      </c>
      <c r="G225">
        <v>0.1096</v>
      </c>
      <c r="H225">
        <v>6.5750000000000003E-2</v>
      </c>
      <c r="I225">
        <v>6502.12</v>
      </c>
      <c r="J225">
        <v>8419.6610000000001</v>
      </c>
    </row>
    <row r="226" spans="1:10">
      <c r="A226">
        <v>59</v>
      </c>
      <c r="B226">
        <v>5</v>
      </c>
      <c r="C226" t="s">
        <v>50</v>
      </c>
      <c r="D226">
        <v>-33.9011575055656</v>
      </c>
      <c r="E226">
        <v>18.847421536454299</v>
      </c>
      <c r="F226">
        <v>4.3799999999999999E-2</v>
      </c>
      <c r="G226">
        <v>0.1096</v>
      </c>
      <c r="H226">
        <v>6.5750000000000003E-2</v>
      </c>
      <c r="I226">
        <v>6002.2020000000002</v>
      </c>
      <c r="J226">
        <v>7919.7430000000004</v>
      </c>
    </row>
    <row r="227" spans="1:10">
      <c r="A227">
        <v>60</v>
      </c>
      <c r="B227">
        <v>5</v>
      </c>
      <c r="C227" t="s">
        <v>50</v>
      </c>
      <c r="D227">
        <v>-33.8975840645858</v>
      </c>
      <c r="E227">
        <v>18.846412293152</v>
      </c>
      <c r="F227">
        <v>4.3799999999999999E-2</v>
      </c>
      <c r="G227">
        <v>0.1096</v>
      </c>
      <c r="H227">
        <v>6.5750000000000003E-2</v>
      </c>
      <c r="I227">
        <v>6607.5889999999999</v>
      </c>
      <c r="J227">
        <v>8525.1299999999992</v>
      </c>
    </row>
    <row r="228" spans="1:10">
      <c r="A228">
        <v>61</v>
      </c>
      <c r="B228">
        <v>5</v>
      </c>
      <c r="C228" t="s">
        <v>50</v>
      </c>
      <c r="D228">
        <v>-33.8976255588925</v>
      </c>
      <c r="E228">
        <v>18.8472471481514</v>
      </c>
      <c r="F228">
        <v>4.3799999999999999E-2</v>
      </c>
      <c r="G228">
        <v>0.1096</v>
      </c>
      <c r="H228">
        <v>6.5750000000000003E-2</v>
      </c>
      <c r="I228">
        <v>6599.183</v>
      </c>
      <c r="J228">
        <v>8516.7240000000002</v>
      </c>
    </row>
    <row r="229" spans="1:10">
      <c r="A229">
        <v>62</v>
      </c>
      <c r="B229">
        <v>5</v>
      </c>
      <c r="C229" t="s">
        <v>50</v>
      </c>
      <c r="D229">
        <v>-33.902200971592301</v>
      </c>
      <c r="E229">
        <v>18.856566359635501</v>
      </c>
      <c r="F229">
        <v>4.3799999999999999E-2</v>
      </c>
      <c r="G229">
        <v>0.1096</v>
      </c>
      <c r="H229">
        <v>6.5750000000000003E-2</v>
      </c>
      <c r="I229">
        <v>5654.3450000000003</v>
      </c>
      <c r="J229">
        <v>7571.8860000000004</v>
      </c>
    </row>
    <row r="230" spans="1:10">
      <c r="A230">
        <v>63</v>
      </c>
      <c r="B230">
        <v>5</v>
      </c>
      <c r="C230" t="s">
        <v>50</v>
      </c>
      <c r="D230">
        <v>-33.899029335788498</v>
      </c>
      <c r="E230">
        <v>18.8561634553941</v>
      </c>
      <c r="F230">
        <v>4.3799999999999999E-2</v>
      </c>
      <c r="G230">
        <v>0.1096</v>
      </c>
      <c r="H230">
        <v>6.5750000000000003E-2</v>
      </c>
      <c r="I230">
        <v>6299.2269999999999</v>
      </c>
      <c r="J230">
        <v>8216.7669999999998</v>
      </c>
    </row>
    <row r="231" spans="1:10">
      <c r="A231">
        <v>64</v>
      </c>
      <c r="B231">
        <v>5</v>
      </c>
      <c r="C231" t="s">
        <v>50</v>
      </c>
      <c r="D231">
        <v>-33.900331092205903</v>
      </c>
      <c r="E231">
        <v>18.8554222185962</v>
      </c>
      <c r="F231">
        <v>4.3799999999999999E-2</v>
      </c>
      <c r="G231">
        <v>0.1096</v>
      </c>
      <c r="H231">
        <v>6.5750000000000003E-2</v>
      </c>
      <c r="I231">
        <v>6274.4269999999997</v>
      </c>
      <c r="J231">
        <v>8191.9669999999996</v>
      </c>
    </row>
    <row r="232" spans="1:10">
      <c r="A232">
        <v>65</v>
      </c>
      <c r="B232">
        <v>5</v>
      </c>
      <c r="C232" t="s">
        <v>50</v>
      </c>
      <c r="D232">
        <v>-33.901232526928403</v>
      </c>
      <c r="E232">
        <v>18.8571767523216</v>
      </c>
      <c r="F232">
        <v>4.3799999999999999E-2</v>
      </c>
      <c r="G232">
        <v>0.1096</v>
      </c>
      <c r="H232">
        <v>6.5750000000000003E-2</v>
      </c>
      <c r="I232">
        <v>6415.2640000000001</v>
      </c>
      <c r="J232">
        <v>8332.8050000000003</v>
      </c>
    </row>
    <row r="233" spans="1:10">
      <c r="A233">
        <v>66</v>
      </c>
      <c r="B233">
        <v>5</v>
      </c>
      <c r="C233" t="s">
        <v>50</v>
      </c>
      <c r="D233">
        <v>-33.903105298355598</v>
      </c>
      <c r="E233">
        <v>18.848952444774799</v>
      </c>
      <c r="F233">
        <v>4.3799999999999999E-2</v>
      </c>
      <c r="G233">
        <v>0.1096</v>
      </c>
      <c r="H233">
        <v>6.5750000000000003E-2</v>
      </c>
      <c r="I233">
        <v>5801.759</v>
      </c>
      <c r="J233">
        <v>7719.3</v>
      </c>
    </row>
    <row r="234" spans="1:10">
      <c r="A234">
        <v>67</v>
      </c>
      <c r="B234">
        <v>5</v>
      </c>
      <c r="C234" t="s">
        <v>50</v>
      </c>
      <c r="D234">
        <v>-33.901706767820002</v>
      </c>
      <c r="E234">
        <v>18.857217931427101</v>
      </c>
      <c r="F234">
        <v>4.3799999999999999E-2</v>
      </c>
      <c r="G234">
        <v>0.1096</v>
      </c>
      <c r="H234">
        <v>6.5750000000000003E-2</v>
      </c>
      <c r="I234">
        <v>5611.8469999999998</v>
      </c>
      <c r="J234">
        <v>7529.3869999999997</v>
      </c>
    </row>
    <row r="235" spans="1:10">
      <c r="A235">
        <v>68</v>
      </c>
      <c r="B235">
        <v>5</v>
      </c>
      <c r="C235" t="s">
        <v>50</v>
      </c>
      <c r="D235">
        <v>-33.902401750326703</v>
      </c>
      <c r="E235">
        <v>18.850439656111</v>
      </c>
      <c r="F235">
        <v>4.3799999999999999E-2</v>
      </c>
      <c r="G235">
        <v>0.1096</v>
      </c>
      <c r="H235">
        <v>6.5750000000000003E-2</v>
      </c>
      <c r="I235">
        <v>5779.1329999999998</v>
      </c>
      <c r="J235">
        <v>7696.674</v>
      </c>
    </row>
    <row r="236" spans="1:10">
      <c r="A236">
        <v>69</v>
      </c>
      <c r="B236">
        <v>5</v>
      </c>
      <c r="C236" t="s">
        <v>50</v>
      </c>
      <c r="D236">
        <v>-33.898522380797097</v>
      </c>
      <c r="E236">
        <v>18.8549813418255</v>
      </c>
      <c r="F236">
        <v>4.3799999999999999E-2</v>
      </c>
      <c r="G236">
        <v>0.1096</v>
      </c>
      <c r="H236">
        <v>6.5750000000000003E-2</v>
      </c>
      <c r="I236">
        <v>6358</v>
      </c>
      <c r="J236">
        <v>8275.5400000000009</v>
      </c>
    </row>
    <row r="237" spans="1:10">
      <c r="A237">
        <v>70</v>
      </c>
      <c r="B237">
        <v>5</v>
      </c>
      <c r="C237" t="s">
        <v>50</v>
      </c>
      <c r="D237">
        <v>-33.903040064911202</v>
      </c>
      <c r="E237">
        <v>18.852105632158398</v>
      </c>
      <c r="F237">
        <v>4.3799999999999999E-2</v>
      </c>
      <c r="G237">
        <v>0.1096</v>
      </c>
      <c r="H237">
        <v>6.5750000000000003E-2</v>
      </c>
      <c r="I237">
        <v>5987.9660000000003</v>
      </c>
      <c r="J237">
        <v>7905.5060000000003</v>
      </c>
    </row>
    <row r="238" spans="1:10">
      <c r="A238">
        <v>71</v>
      </c>
      <c r="B238">
        <v>5</v>
      </c>
      <c r="C238" t="s">
        <v>50</v>
      </c>
      <c r="D238">
        <v>-33.900693944249902</v>
      </c>
      <c r="E238">
        <v>18.852124300617199</v>
      </c>
      <c r="F238">
        <v>4.3799999999999999E-2</v>
      </c>
      <c r="G238">
        <v>0.1096</v>
      </c>
      <c r="H238">
        <v>6.5750000000000003E-2</v>
      </c>
      <c r="I238">
        <v>7004.4279999999999</v>
      </c>
      <c r="J238">
        <v>8921.9680000000008</v>
      </c>
    </row>
    <row r="239" spans="1:10">
      <c r="A239">
        <v>72</v>
      </c>
      <c r="B239">
        <v>5</v>
      </c>
      <c r="C239" t="s">
        <v>50</v>
      </c>
      <c r="D239">
        <v>-33.8979119475487</v>
      </c>
      <c r="E239">
        <v>18.8569518211754</v>
      </c>
      <c r="F239">
        <v>4.3799999999999999E-2</v>
      </c>
      <c r="G239">
        <v>0.1096</v>
      </c>
      <c r="H239">
        <v>6.5750000000000003E-2</v>
      </c>
      <c r="I239">
        <v>6197.2039999999997</v>
      </c>
      <c r="J239">
        <v>8114.7439999999997</v>
      </c>
    </row>
    <row r="240" spans="1:10">
      <c r="A240">
        <v>73</v>
      </c>
      <c r="B240">
        <v>5</v>
      </c>
      <c r="C240" t="s">
        <v>50</v>
      </c>
      <c r="D240">
        <v>-33.902737338300803</v>
      </c>
      <c r="E240">
        <v>18.8572996639552</v>
      </c>
      <c r="F240">
        <v>4.3799999999999999E-2</v>
      </c>
      <c r="G240">
        <v>0.1096</v>
      </c>
      <c r="H240">
        <v>6.5750000000000003E-2</v>
      </c>
      <c r="I240">
        <v>5706.62</v>
      </c>
      <c r="J240">
        <v>7624.16</v>
      </c>
    </row>
    <row r="241" spans="1:10">
      <c r="A241">
        <v>74</v>
      </c>
      <c r="B241">
        <v>5</v>
      </c>
      <c r="C241" t="s">
        <v>50</v>
      </c>
      <c r="D241">
        <v>-33.899325688032697</v>
      </c>
      <c r="E241">
        <v>18.8525855118931</v>
      </c>
      <c r="F241">
        <v>4.3799999999999999E-2</v>
      </c>
      <c r="G241">
        <v>0.1096</v>
      </c>
      <c r="H241">
        <v>6.5750000000000003E-2</v>
      </c>
      <c r="I241">
        <v>7004.4279999999999</v>
      </c>
      <c r="J241">
        <v>8921.9680000000008</v>
      </c>
    </row>
    <row r="242" spans="1:10">
      <c r="A242">
        <v>75</v>
      </c>
      <c r="B242">
        <v>5</v>
      </c>
      <c r="C242" t="s">
        <v>50</v>
      </c>
      <c r="D242">
        <v>-33.901154414132002</v>
      </c>
      <c r="E242">
        <v>18.848237607153202</v>
      </c>
      <c r="F242">
        <v>4.3799999999999999E-2</v>
      </c>
      <c r="G242">
        <v>0.1096</v>
      </c>
      <c r="H242">
        <v>6.5750000000000003E-2</v>
      </c>
      <c r="I242">
        <v>5984.3370000000004</v>
      </c>
      <c r="J242">
        <v>7901.8779999999997</v>
      </c>
    </row>
    <row r="243" spans="1:10">
      <c r="A243">
        <v>76</v>
      </c>
      <c r="B243">
        <v>5</v>
      </c>
      <c r="C243" t="s">
        <v>50</v>
      </c>
      <c r="D243">
        <v>-33.898025416786901</v>
      </c>
      <c r="E243">
        <v>18.851259698074401</v>
      </c>
      <c r="F243">
        <v>4.3799999999999999E-2</v>
      </c>
      <c r="G243">
        <v>0.1096</v>
      </c>
      <c r="H243">
        <v>6.5750000000000003E-2</v>
      </c>
      <c r="I243">
        <v>6909.9409999999998</v>
      </c>
      <c r="J243">
        <v>8827.482</v>
      </c>
    </row>
    <row r="244" spans="1:10">
      <c r="A244">
        <v>77</v>
      </c>
      <c r="B244">
        <v>5</v>
      </c>
      <c r="C244" t="s">
        <v>50</v>
      </c>
      <c r="D244">
        <v>-33.902540936786899</v>
      </c>
      <c r="E244">
        <v>18.849166516780802</v>
      </c>
      <c r="F244">
        <v>4.3799999999999999E-2</v>
      </c>
      <c r="G244">
        <v>0.1096</v>
      </c>
      <c r="H244">
        <v>6.5750000000000003E-2</v>
      </c>
      <c r="I244">
        <v>5834.6310000000003</v>
      </c>
      <c r="J244">
        <v>7752.1710000000003</v>
      </c>
    </row>
    <row r="245" spans="1:10">
      <c r="A245">
        <v>78</v>
      </c>
      <c r="B245">
        <v>5</v>
      </c>
      <c r="C245" t="s">
        <v>50</v>
      </c>
      <c r="D245">
        <v>-33.897933520862303</v>
      </c>
      <c r="E245">
        <v>18.846413410832799</v>
      </c>
      <c r="F245">
        <v>4.3799999999999999E-2</v>
      </c>
      <c r="G245">
        <v>0.1096</v>
      </c>
      <c r="H245">
        <v>6.5750000000000003E-2</v>
      </c>
      <c r="I245">
        <v>6568.7730000000001</v>
      </c>
      <c r="J245">
        <v>8486.3140000000003</v>
      </c>
    </row>
    <row r="246" spans="1:10">
      <c r="A246">
        <v>79</v>
      </c>
      <c r="B246">
        <v>5</v>
      </c>
      <c r="C246" t="s">
        <v>50</v>
      </c>
      <c r="D246">
        <v>-33.9030429490738</v>
      </c>
      <c r="E246">
        <v>18.855781647743399</v>
      </c>
      <c r="F246">
        <v>4.3799999999999999E-2</v>
      </c>
      <c r="G246">
        <v>0.1096</v>
      </c>
      <c r="H246">
        <v>6.5750000000000003E-2</v>
      </c>
      <c r="I246">
        <v>5923.116</v>
      </c>
      <c r="J246">
        <v>7840.6570000000002</v>
      </c>
    </row>
    <row r="247" spans="1:10">
      <c r="A247">
        <v>80</v>
      </c>
      <c r="B247">
        <v>5</v>
      </c>
      <c r="C247" t="s">
        <v>50</v>
      </c>
      <c r="D247">
        <v>-33.901238117274197</v>
      </c>
      <c r="E247">
        <v>18.854023050857801</v>
      </c>
      <c r="F247">
        <v>4.3799999999999999E-2</v>
      </c>
      <c r="G247">
        <v>0.1096</v>
      </c>
      <c r="H247">
        <v>6.5750000000000003E-2</v>
      </c>
      <c r="I247">
        <v>6048.7039999999997</v>
      </c>
      <c r="J247">
        <v>7966.2439999999997</v>
      </c>
    </row>
    <row r="248" spans="1:10">
      <c r="A248">
        <v>81</v>
      </c>
      <c r="B248">
        <v>5</v>
      </c>
      <c r="C248" t="s">
        <v>50</v>
      </c>
      <c r="D248">
        <v>-33.899492205217499</v>
      </c>
      <c r="E248">
        <v>18.846918947637199</v>
      </c>
      <c r="F248">
        <v>4.3799999999999999E-2</v>
      </c>
      <c r="G248">
        <v>0.1096</v>
      </c>
      <c r="H248">
        <v>6.5750000000000003E-2</v>
      </c>
      <c r="I248">
        <v>6445.9049999999997</v>
      </c>
      <c r="J248">
        <v>8363.4459999999999</v>
      </c>
    </row>
    <row r="249" spans="1:10">
      <c r="A249">
        <v>82</v>
      </c>
      <c r="B249">
        <v>5</v>
      </c>
      <c r="C249" t="s">
        <v>50</v>
      </c>
      <c r="D249">
        <v>-33.9002049840037</v>
      </c>
      <c r="E249">
        <v>18.857563993359701</v>
      </c>
      <c r="F249">
        <v>4.3799999999999999E-2</v>
      </c>
      <c r="G249">
        <v>0.1096</v>
      </c>
      <c r="H249">
        <v>6.5750000000000003E-2</v>
      </c>
      <c r="I249">
        <v>6401.759</v>
      </c>
      <c r="J249">
        <v>8319.2999999999993</v>
      </c>
    </row>
    <row r="250" spans="1:10">
      <c r="A250">
        <v>83</v>
      </c>
      <c r="B250">
        <v>5</v>
      </c>
      <c r="C250" t="s">
        <v>50</v>
      </c>
      <c r="D250">
        <v>-33.902462821651</v>
      </c>
      <c r="E250">
        <v>18.848150198654</v>
      </c>
      <c r="F250">
        <v>4.3799999999999999E-2</v>
      </c>
      <c r="G250">
        <v>0.1096</v>
      </c>
      <c r="H250">
        <v>6.5750000000000003E-2</v>
      </c>
      <c r="I250">
        <v>5867.5829999999996</v>
      </c>
      <c r="J250">
        <v>7785.1239999999998</v>
      </c>
    </row>
    <row r="251" spans="1:10">
      <c r="A251">
        <v>84</v>
      </c>
      <c r="B251">
        <v>5</v>
      </c>
      <c r="C251" t="s">
        <v>50</v>
      </c>
      <c r="D251">
        <v>-33.898902844732199</v>
      </c>
      <c r="E251">
        <v>18.856380494407901</v>
      </c>
      <c r="F251">
        <v>4.3799999999999999E-2</v>
      </c>
      <c r="G251">
        <v>0.1096</v>
      </c>
      <c r="H251">
        <v>6.5750000000000003E-2</v>
      </c>
      <c r="I251">
        <v>6275.6620000000003</v>
      </c>
      <c r="J251">
        <v>8193.2029999999995</v>
      </c>
    </row>
    <row r="252" spans="1:10">
      <c r="A252">
        <v>85</v>
      </c>
      <c r="B252">
        <v>5</v>
      </c>
      <c r="C252" t="s">
        <v>50</v>
      </c>
      <c r="D252">
        <v>-33.900944796843497</v>
      </c>
      <c r="E252">
        <v>18.851929384489001</v>
      </c>
      <c r="F252">
        <v>4.3799999999999999E-2</v>
      </c>
      <c r="G252">
        <v>0.1096</v>
      </c>
      <c r="H252">
        <v>6.5750000000000003E-2</v>
      </c>
      <c r="I252">
        <v>7004.4279999999999</v>
      </c>
      <c r="J252">
        <v>8921.9680000000008</v>
      </c>
    </row>
    <row r="253" spans="1:10">
      <c r="A253">
        <v>86</v>
      </c>
      <c r="B253">
        <v>5</v>
      </c>
      <c r="C253" t="s">
        <v>50</v>
      </c>
      <c r="D253">
        <v>-33.897942407584303</v>
      </c>
      <c r="E253">
        <v>18.8551556764479</v>
      </c>
      <c r="F253">
        <v>4.3799999999999999E-2</v>
      </c>
      <c r="G253">
        <v>0.1096</v>
      </c>
      <c r="H253">
        <v>6.5750000000000003E-2</v>
      </c>
      <c r="I253">
        <v>6863.4920000000002</v>
      </c>
      <c r="J253">
        <v>8781.0329999999994</v>
      </c>
    </row>
    <row r="254" spans="1:10">
      <c r="A254">
        <v>87</v>
      </c>
      <c r="B254">
        <v>5</v>
      </c>
      <c r="C254" t="s">
        <v>50</v>
      </c>
      <c r="D254">
        <v>-33.897443542988697</v>
      </c>
      <c r="E254">
        <v>18.855488926612399</v>
      </c>
      <c r="F254">
        <v>4.3799999999999999E-2</v>
      </c>
      <c r="G254">
        <v>0.1096</v>
      </c>
      <c r="H254">
        <v>6.5750000000000003E-2</v>
      </c>
      <c r="I254">
        <v>6814.3580000000002</v>
      </c>
      <c r="J254">
        <v>8731.8989999999994</v>
      </c>
    </row>
    <row r="255" spans="1:10">
      <c r="A255">
        <v>88</v>
      </c>
      <c r="B255">
        <v>5</v>
      </c>
      <c r="C255" t="s">
        <v>50</v>
      </c>
      <c r="D255">
        <v>-33.900189055030999</v>
      </c>
      <c r="E255">
        <v>18.849437121579399</v>
      </c>
      <c r="F255">
        <v>4.3799999999999999E-2</v>
      </c>
      <c r="G255">
        <v>0.1096</v>
      </c>
      <c r="H255">
        <v>6.5750000000000003E-2</v>
      </c>
      <c r="I255">
        <v>6660.9170000000004</v>
      </c>
      <c r="J255">
        <v>8578.4570000000003</v>
      </c>
    </row>
    <row r="256" spans="1:10">
      <c r="A256">
        <v>89</v>
      </c>
      <c r="B256">
        <v>5</v>
      </c>
      <c r="C256" t="s">
        <v>50</v>
      </c>
      <c r="D256">
        <v>-33.903142083755</v>
      </c>
      <c r="E256">
        <v>18.852603201394899</v>
      </c>
      <c r="F256">
        <v>4.3799999999999999E-2</v>
      </c>
      <c r="G256">
        <v>0.1096</v>
      </c>
      <c r="H256">
        <v>6.5750000000000003E-2</v>
      </c>
      <c r="I256">
        <v>5704.4480000000003</v>
      </c>
      <c r="J256">
        <v>7621.9889999999996</v>
      </c>
    </row>
    <row r="257" spans="1:10">
      <c r="A257">
        <v>90</v>
      </c>
      <c r="B257">
        <v>5</v>
      </c>
      <c r="C257" t="s">
        <v>50</v>
      </c>
      <c r="D257">
        <v>-33.8989985843345</v>
      </c>
      <c r="E257">
        <v>18.852727347093602</v>
      </c>
      <c r="F257">
        <v>4.3799999999999999E-2</v>
      </c>
      <c r="G257">
        <v>0.1096</v>
      </c>
      <c r="H257">
        <v>6.5750000000000003E-2</v>
      </c>
      <c r="I257">
        <v>7004.4279999999999</v>
      </c>
      <c r="J257">
        <v>8921.9680000000008</v>
      </c>
    </row>
    <row r="258" spans="1:10">
      <c r="A258">
        <v>91</v>
      </c>
      <c r="B258">
        <v>5</v>
      </c>
      <c r="C258" t="s">
        <v>50</v>
      </c>
      <c r="D258">
        <v>-33.901300062479201</v>
      </c>
      <c r="E258">
        <v>18.8577904827293</v>
      </c>
      <c r="F258">
        <v>4.3799999999999999E-2</v>
      </c>
      <c r="G258">
        <v>0.1096</v>
      </c>
      <c r="H258">
        <v>6.5750000000000003E-2</v>
      </c>
      <c r="I258">
        <v>5528.2929999999997</v>
      </c>
      <c r="J258">
        <v>7445.8339999999998</v>
      </c>
    </row>
    <row r="259" spans="1:10">
      <c r="A259">
        <v>92</v>
      </c>
      <c r="B259">
        <v>5</v>
      </c>
      <c r="C259" t="s">
        <v>50</v>
      </c>
      <c r="D259">
        <v>-33.897452896769501</v>
      </c>
      <c r="E259">
        <v>18.8500621923239</v>
      </c>
      <c r="F259">
        <v>4.3799999999999999E-2</v>
      </c>
      <c r="G259">
        <v>0.1096</v>
      </c>
      <c r="H259">
        <v>6.5750000000000003E-2</v>
      </c>
      <c r="I259">
        <v>6851.3580000000002</v>
      </c>
      <c r="J259">
        <v>8768.8989999999994</v>
      </c>
    </row>
    <row r="260" spans="1:10">
      <c r="A260">
        <v>93</v>
      </c>
      <c r="B260">
        <v>5</v>
      </c>
      <c r="C260" t="s">
        <v>50</v>
      </c>
      <c r="D260">
        <v>-33.899279211188102</v>
      </c>
      <c r="E260">
        <v>18.855748217226001</v>
      </c>
      <c r="F260">
        <v>4.3799999999999999E-2</v>
      </c>
      <c r="G260">
        <v>0.1096</v>
      </c>
      <c r="H260">
        <v>6.5750000000000003E-2</v>
      </c>
      <c r="I260">
        <v>6314.4809999999998</v>
      </c>
      <c r="J260">
        <v>8232.0220000000008</v>
      </c>
    </row>
    <row r="261" spans="1:10">
      <c r="A261">
        <v>94</v>
      </c>
      <c r="B261">
        <v>5</v>
      </c>
      <c r="C261" t="s">
        <v>50</v>
      </c>
      <c r="D261">
        <v>-33.898018033070798</v>
      </c>
      <c r="E261">
        <v>18.8558338936528</v>
      </c>
      <c r="F261">
        <v>4.3799999999999999E-2</v>
      </c>
      <c r="G261">
        <v>0.1096</v>
      </c>
      <c r="H261">
        <v>6.5750000000000003E-2</v>
      </c>
      <c r="I261">
        <v>6294.1350000000002</v>
      </c>
      <c r="J261">
        <v>8211.6749999999993</v>
      </c>
    </row>
    <row r="262" spans="1:10">
      <c r="A262">
        <v>95</v>
      </c>
      <c r="B262">
        <v>5</v>
      </c>
      <c r="C262" t="s">
        <v>50</v>
      </c>
      <c r="D262">
        <v>-33.9035144283623</v>
      </c>
      <c r="E262">
        <v>18.849055281787699</v>
      </c>
      <c r="F262">
        <v>4.3799999999999999E-2</v>
      </c>
      <c r="G262">
        <v>0.1096</v>
      </c>
      <c r="H262">
        <v>6.5750000000000003E-2</v>
      </c>
      <c r="I262">
        <v>5725.44</v>
      </c>
      <c r="J262">
        <v>7642.98</v>
      </c>
    </row>
    <row r="263" spans="1:10">
      <c r="A263">
        <v>96</v>
      </c>
      <c r="B263">
        <v>5</v>
      </c>
      <c r="C263" t="s">
        <v>50</v>
      </c>
      <c r="D263">
        <v>-33.901618455838502</v>
      </c>
      <c r="E263">
        <v>18.853724377197601</v>
      </c>
      <c r="F263">
        <v>4.3799999999999999E-2</v>
      </c>
      <c r="G263">
        <v>0.1096</v>
      </c>
      <c r="H263">
        <v>6.5750000000000003E-2</v>
      </c>
      <c r="I263">
        <v>6048.7039999999997</v>
      </c>
      <c r="J263">
        <v>7966.2439999999997</v>
      </c>
    </row>
    <row r="264" spans="1:10">
      <c r="A264">
        <v>97</v>
      </c>
      <c r="B264">
        <v>5</v>
      </c>
      <c r="C264" t="s">
        <v>50</v>
      </c>
      <c r="D264">
        <v>-33.903049113613903</v>
      </c>
      <c r="E264">
        <v>18.852853627731999</v>
      </c>
      <c r="F264">
        <v>4.3799999999999999E-2</v>
      </c>
      <c r="G264">
        <v>0.1096</v>
      </c>
      <c r="H264">
        <v>6.5750000000000003E-2</v>
      </c>
      <c r="I264">
        <v>5681.0789999999997</v>
      </c>
      <c r="J264">
        <v>7598.62</v>
      </c>
    </row>
    <row r="265" spans="1:10">
      <c r="A265">
        <v>98</v>
      </c>
      <c r="B265">
        <v>5</v>
      </c>
      <c r="C265" t="s">
        <v>50</v>
      </c>
      <c r="D265">
        <v>-33.902964973761001</v>
      </c>
      <c r="E265">
        <v>18.853183041985101</v>
      </c>
      <c r="F265">
        <v>4.3799999999999999E-2</v>
      </c>
      <c r="G265">
        <v>0.1096</v>
      </c>
      <c r="H265">
        <v>6.5750000000000003E-2</v>
      </c>
      <c r="I265">
        <v>5666.5789999999997</v>
      </c>
      <c r="J265">
        <v>7584.1189999999997</v>
      </c>
    </row>
    <row r="266" spans="1:10">
      <c r="A266">
        <v>99</v>
      </c>
      <c r="B266">
        <v>5</v>
      </c>
      <c r="C266" t="s">
        <v>50</v>
      </c>
      <c r="D266">
        <v>-33.901418908557098</v>
      </c>
      <c r="E266">
        <v>18.852105462298098</v>
      </c>
      <c r="F266">
        <v>4.3799999999999999E-2</v>
      </c>
      <c r="G266">
        <v>0.1096</v>
      </c>
      <c r="H266">
        <v>6.5750000000000003E-2</v>
      </c>
      <c r="I266">
        <v>5992.5709999999999</v>
      </c>
      <c r="J266">
        <v>7910.1120000000001</v>
      </c>
    </row>
    <row r="267" spans="1:10">
      <c r="A267">
        <v>100</v>
      </c>
      <c r="B267">
        <v>5</v>
      </c>
      <c r="C267" t="s">
        <v>50</v>
      </c>
      <c r="D267">
        <v>-33.8990032106936</v>
      </c>
      <c r="E267">
        <v>18.846612064354801</v>
      </c>
      <c r="F267">
        <v>4.3799999999999999E-2</v>
      </c>
      <c r="G267">
        <v>0.1096</v>
      </c>
      <c r="H267">
        <v>6.5750000000000003E-2</v>
      </c>
      <c r="I267">
        <v>6419.7669999999998</v>
      </c>
      <c r="J267">
        <v>8337.3070000000007</v>
      </c>
    </row>
    <row r="268" spans="1:10">
      <c r="A268">
        <v>101</v>
      </c>
      <c r="B268">
        <v>5</v>
      </c>
      <c r="C268" t="s">
        <v>50</v>
      </c>
      <c r="D268">
        <v>-33.902325491337699</v>
      </c>
      <c r="E268">
        <v>18.853525871237899</v>
      </c>
      <c r="F268">
        <v>4.3799999999999999E-2</v>
      </c>
      <c r="G268">
        <v>0.1096</v>
      </c>
      <c r="H268">
        <v>6.5750000000000003E-2</v>
      </c>
      <c r="I268">
        <v>6048.7039999999997</v>
      </c>
      <c r="J268">
        <v>7966.2439999999997</v>
      </c>
    </row>
    <row r="269" spans="1:10">
      <c r="A269">
        <v>102</v>
      </c>
      <c r="B269">
        <v>5</v>
      </c>
      <c r="C269" t="s">
        <v>50</v>
      </c>
      <c r="D269">
        <v>-33.900481013182201</v>
      </c>
      <c r="E269">
        <v>18.857611001939802</v>
      </c>
      <c r="F269">
        <v>4.3799999999999999E-2</v>
      </c>
      <c r="G269">
        <v>0.1096</v>
      </c>
      <c r="H269">
        <v>6.5750000000000003E-2</v>
      </c>
      <c r="I269">
        <v>6394.4870000000001</v>
      </c>
      <c r="J269">
        <v>8312.027</v>
      </c>
    </row>
    <row r="270" spans="1:10">
      <c r="A270">
        <v>103</v>
      </c>
      <c r="B270">
        <v>5</v>
      </c>
      <c r="C270" t="s">
        <v>50</v>
      </c>
      <c r="D270">
        <v>-33.898367573393799</v>
      </c>
      <c r="E270">
        <v>18.852564533046799</v>
      </c>
      <c r="F270">
        <v>4.3799999999999999E-2</v>
      </c>
      <c r="G270">
        <v>0.1096</v>
      </c>
      <c r="H270">
        <v>6.5750000000000003E-2</v>
      </c>
      <c r="I270">
        <v>6987.7129999999997</v>
      </c>
      <c r="J270">
        <v>8905.2530000000006</v>
      </c>
    </row>
    <row r="271" spans="1:10">
      <c r="A271">
        <v>104</v>
      </c>
      <c r="B271">
        <v>5</v>
      </c>
      <c r="C271" t="s">
        <v>50</v>
      </c>
      <c r="D271">
        <v>-33.903442698668698</v>
      </c>
      <c r="E271">
        <v>18.858146220362201</v>
      </c>
      <c r="F271">
        <v>4.3799999999999999E-2</v>
      </c>
      <c r="G271">
        <v>0.1096</v>
      </c>
      <c r="H271">
        <v>6.5750000000000003E-2</v>
      </c>
      <c r="I271">
        <v>5879.3760000000002</v>
      </c>
      <c r="J271">
        <v>7796.9170000000004</v>
      </c>
    </row>
    <row r="272" spans="1:10">
      <c r="A272">
        <v>105</v>
      </c>
      <c r="B272">
        <v>5</v>
      </c>
      <c r="C272" t="s">
        <v>50</v>
      </c>
      <c r="D272">
        <v>-33.897871748221</v>
      </c>
      <c r="E272">
        <v>18.8538339291899</v>
      </c>
      <c r="F272">
        <v>4.3799999999999999E-2</v>
      </c>
      <c r="G272">
        <v>0.1096</v>
      </c>
      <c r="H272">
        <v>6.5750000000000003E-2</v>
      </c>
      <c r="I272">
        <v>6976.3289999999997</v>
      </c>
      <c r="J272">
        <v>8893.8700000000008</v>
      </c>
    </row>
    <row r="273" spans="1:10">
      <c r="A273">
        <v>106</v>
      </c>
      <c r="B273">
        <v>5</v>
      </c>
      <c r="C273" t="s">
        <v>50</v>
      </c>
      <c r="D273">
        <v>-33.902317541406703</v>
      </c>
      <c r="E273">
        <v>18.8520544233394</v>
      </c>
      <c r="F273">
        <v>4.3799999999999999E-2</v>
      </c>
      <c r="G273">
        <v>0.1096</v>
      </c>
      <c r="H273">
        <v>6.5750000000000003E-2</v>
      </c>
      <c r="I273">
        <v>5985.3010000000004</v>
      </c>
      <c r="J273">
        <v>7902.8419999999996</v>
      </c>
    </row>
    <row r="274" spans="1:10">
      <c r="A274">
        <v>0</v>
      </c>
      <c r="B274">
        <v>6</v>
      </c>
      <c r="C274" t="s">
        <v>52</v>
      </c>
      <c r="D274">
        <v>-33.948088259943503</v>
      </c>
      <c r="E274">
        <v>18.8489201534899</v>
      </c>
      <c r="F274">
        <v>4.3799999999999999E-2</v>
      </c>
      <c r="G274">
        <v>0.1096</v>
      </c>
      <c r="H274">
        <v>6.5750000000000003E-2</v>
      </c>
      <c r="I274">
        <v>3448.4319999999998</v>
      </c>
      <c r="J274">
        <v>4291.326</v>
      </c>
    </row>
    <row r="275" spans="1:10">
      <c r="A275">
        <v>1</v>
      </c>
      <c r="B275">
        <v>6</v>
      </c>
      <c r="C275" t="s">
        <v>52</v>
      </c>
      <c r="D275">
        <v>-33.946303369258402</v>
      </c>
      <c r="E275">
        <v>18.8438549370027</v>
      </c>
      <c r="F275">
        <v>4.3799999999999999E-2</v>
      </c>
      <c r="G275">
        <v>0.1096</v>
      </c>
      <c r="H275">
        <v>6.5750000000000003E-2</v>
      </c>
      <c r="I275">
        <v>3586.6750000000002</v>
      </c>
      <c r="J275">
        <v>4429.57</v>
      </c>
    </row>
    <row r="276" spans="1:10">
      <c r="A276">
        <v>2</v>
      </c>
      <c r="B276">
        <v>6</v>
      </c>
      <c r="C276" t="s">
        <v>52</v>
      </c>
      <c r="D276">
        <v>-33.9519151528226</v>
      </c>
      <c r="E276">
        <v>18.8488616290838</v>
      </c>
      <c r="F276">
        <v>4.3799999999999999E-2</v>
      </c>
      <c r="G276">
        <v>0.1096</v>
      </c>
      <c r="H276">
        <v>6.5750000000000003E-2</v>
      </c>
      <c r="I276">
        <v>3934.3110000000001</v>
      </c>
      <c r="J276">
        <v>4777.2049999999999</v>
      </c>
    </row>
    <row r="277" spans="1:10">
      <c r="A277">
        <v>3</v>
      </c>
      <c r="B277">
        <v>6</v>
      </c>
      <c r="C277" t="s">
        <v>52</v>
      </c>
      <c r="D277">
        <v>-33.949187247538802</v>
      </c>
      <c r="E277">
        <v>18.8443179675102</v>
      </c>
      <c r="F277">
        <v>4.3799999999999999E-2</v>
      </c>
      <c r="G277">
        <v>0.1096</v>
      </c>
      <c r="H277">
        <v>6.5750000000000003E-2</v>
      </c>
      <c r="I277">
        <v>4085.3119999999999</v>
      </c>
      <c r="J277">
        <v>4928.2070000000003</v>
      </c>
    </row>
    <row r="278" spans="1:10">
      <c r="A278">
        <v>4</v>
      </c>
      <c r="B278">
        <v>6</v>
      </c>
      <c r="C278" t="s">
        <v>52</v>
      </c>
      <c r="D278">
        <v>-33.942944369911601</v>
      </c>
      <c r="E278">
        <v>18.841794489350299</v>
      </c>
      <c r="F278">
        <v>4.3799999999999999E-2</v>
      </c>
      <c r="G278">
        <v>0.1096</v>
      </c>
      <c r="H278">
        <v>6.5750000000000003E-2</v>
      </c>
      <c r="I278">
        <v>4036.1840000000002</v>
      </c>
      <c r="J278">
        <v>2185.2220000000002</v>
      </c>
    </row>
    <row r="279" spans="1:10">
      <c r="A279">
        <v>5</v>
      </c>
      <c r="B279">
        <v>6</v>
      </c>
      <c r="C279" t="s">
        <v>52</v>
      </c>
      <c r="D279">
        <v>-33.9526487883888</v>
      </c>
      <c r="E279">
        <v>18.850439262126201</v>
      </c>
      <c r="F279">
        <v>4.3799999999999999E-2</v>
      </c>
      <c r="G279">
        <v>0.1096</v>
      </c>
      <c r="H279">
        <v>6.5750000000000003E-2</v>
      </c>
      <c r="I279">
        <v>3941.4070000000002</v>
      </c>
      <c r="J279">
        <v>4784.3019999999997</v>
      </c>
    </row>
    <row r="280" spans="1:10">
      <c r="A280">
        <v>6</v>
      </c>
      <c r="B280">
        <v>6</v>
      </c>
      <c r="C280" t="s">
        <v>52</v>
      </c>
      <c r="D280">
        <v>-33.949437666997298</v>
      </c>
      <c r="E280">
        <v>18.847777111609801</v>
      </c>
      <c r="F280">
        <v>4.3799999999999999E-2</v>
      </c>
      <c r="G280">
        <v>0.1096</v>
      </c>
      <c r="H280">
        <v>6.5750000000000003E-2</v>
      </c>
      <c r="I280">
        <v>3896.567</v>
      </c>
      <c r="J280">
        <v>4739.4620000000004</v>
      </c>
    </row>
    <row r="281" spans="1:10">
      <c r="A281">
        <v>7</v>
      </c>
      <c r="B281">
        <v>6</v>
      </c>
      <c r="C281" t="s">
        <v>52</v>
      </c>
      <c r="D281">
        <v>-33.947805883588302</v>
      </c>
      <c r="E281">
        <v>18.855316653948599</v>
      </c>
      <c r="F281">
        <v>4.3799999999999999E-2</v>
      </c>
      <c r="G281">
        <v>0.1096</v>
      </c>
      <c r="H281">
        <v>6.5750000000000003E-2</v>
      </c>
      <c r="I281">
        <v>3039.4079999999999</v>
      </c>
      <c r="J281">
        <v>4146.8159999999998</v>
      </c>
    </row>
    <row r="282" spans="1:10">
      <c r="A282">
        <v>8</v>
      </c>
      <c r="B282">
        <v>6</v>
      </c>
      <c r="C282" t="s">
        <v>52</v>
      </c>
      <c r="D282">
        <v>-33.9477614697376</v>
      </c>
      <c r="E282">
        <v>18.848172667169401</v>
      </c>
      <c r="F282">
        <v>4.3799999999999999E-2</v>
      </c>
      <c r="G282">
        <v>0.1096</v>
      </c>
      <c r="H282">
        <v>6.5750000000000003E-2</v>
      </c>
      <c r="I282">
        <v>3479.9929999999999</v>
      </c>
      <c r="J282">
        <v>4322.8879999999999</v>
      </c>
    </row>
    <row r="283" spans="1:10">
      <c r="A283">
        <v>9</v>
      </c>
      <c r="B283">
        <v>6</v>
      </c>
      <c r="C283" t="s">
        <v>52</v>
      </c>
      <c r="D283">
        <v>-33.9451193030947</v>
      </c>
      <c r="E283">
        <v>18.854801947807299</v>
      </c>
      <c r="F283">
        <v>4.3799999999999999E-2</v>
      </c>
      <c r="G283">
        <v>0.1096</v>
      </c>
      <c r="H283">
        <v>6.5750000000000003E-2</v>
      </c>
      <c r="I283">
        <v>3220.779</v>
      </c>
      <c r="J283">
        <v>4063.6729999999998</v>
      </c>
    </row>
    <row r="284" spans="1:10">
      <c r="A284">
        <v>10</v>
      </c>
      <c r="B284">
        <v>6</v>
      </c>
      <c r="C284" t="s">
        <v>52</v>
      </c>
      <c r="D284">
        <v>-33.947241100381603</v>
      </c>
      <c r="E284">
        <v>18.849073772946198</v>
      </c>
      <c r="F284">
        <v>4.3799999999999999E-2</v>
      </c>
      <c r="G284">
        <v>0.1096</v>
      </c>
      <c r="H284">
        <v>6.5750000000000003E-2</v>
      </c>
      <c r="I284">
        <v>3307.665</v>
      </c>
      <c r="J284">
        <v>4150.5600000000004</v>
      </c>
    </row>
    <row r="285" spans="1:10">
      <c r="A285">
        <v>11</v>
      </c>
      <c r="B285">
        <v>6</v>
      </c>
      <c r="C285" t="s">
        <v>52</v>
      </c>
      <c r="D285">
        <v>-33.945350118543999</v>
      </c>
      <c r="E285">
        <v>18.844135450032802</v>
      </c>
      <c r="F285">
        <v>4.3799999999999999E-2</v>
      </c>
      <c r="G285">
        <v>0.1096</v>
      </c>
      <c r="H285">
        <v>6.5750000000000003E-2</v>
      </c>
      <c r="I285">
        <v>3636.4810000000002</v>
      </c>
      <c r="J285">
        <v>4479.3760000000002</v>
      </c>
    </row>
    <row r="286" spans="1:10">
      <c r="A286">
        <v>12</v>
      </c>
      <c r="B286">
        <v>6</v>
      </c>
      <c r="C286" t="s">
        <v>52</v>
      </c>
      <c r="D286">
        <v>-33.951323267891503</v>
      </c>
      <c r="E286">
        <v>18.8550931604297</v>
      </c>
      <c r="F286">
        <v>4.3799999999999999E-2</v>
      </c>
      <c r="G286">
        <v>0.1096</v>
      </c>
      <c r="H286">
        <v>6.5750000000000003E-2</v>
      </c>
      <c r="I286">
        <v>3510.433</v>
      </c>
      <c r="J286">
        <v>4353.3270000000002</v>
      </c>
    </row>
    <row r="287" spans="1:10">
      <c r="A287">
        <v>13</v>
      </c>
      <c r="B287">
        <v>6</v>
      </c>
      <c r="C287" t="s">
        <v>52</v>
      </c>
      <c r="D287">
        <v>-33.952103569347798</v>
      </c>
      <c r="E287">
        <v>18.850228413822698</v>
      </c>
      <c r="F287">
        <v>4.3799999999999999E-2</v>
      </c>
      <c r="G287">
        <v>0.1096</v>
      </c>
      <c r="H287">
        <v>6.5750000000000003E-2</v>
      </c>
      <c r="I287">
        <v>3884.895</v>
      </c>
      <c r="J287">
        <v>4727.79</v>
      </c>
    </row>
    <row r="288" spans="1:10">
      <c r="A288">
        <v>14</v>
      </c>
      <c r="B288">
        <v>6</v>
      </c>
      <c r="C288" t="s">
        <v>52</v>
      </c>
      <c r="D288">
        <v>-33.951538061508103</v>
      </c>
      <c r="E288">
        <v>18.853646909142299</v>
      </c>
      <c r="F288">
        <v>4.3799999999999999E-2</v>
      </c>
      <c r="G288">
        <v>0.1096</v>
      </c>
      <c r="H288">
        <v>6.5750000000000003E-2</v>
      </c>
      <c r="I288">
        <v>3727.0309999999999</v>
      </c>
      <c r="J288">
        <v>4569.9260000000004</v>
      </c>
    </row>
    <row r="289" spans="1:10">
      <c r="A289">
        <v>15</v>
      </c>
      <c r="B289">
        <v>6</v>
      </c>
      <c r="C289" t="s">
        <v>52</v>
      </c>
      <c r="D289">
        <v>-33.947738370226297</v>
      </c>
      <c r="E289">
        <v>18.855149449695801</v>
      </c>
      <c r="F289">
        <v>4.3799999999999999E-2</v>
      </c>
      <c r="G289">
        <v>0.1096</v>
      </c>
      <c r="H289">
        <v>6.5750000000000003E-2</v>
      </c>
      <c r="I289">
        <v>3052.12</v>
      </c>
      <c r="J289">
        <v>4134.1030000000001</v>
      </c>
    </row>
    <row r="290" spans="1:10">
      <c r="A290">
        <v>16</v>
      </c>
      <c r="B290">
        <v>6</v>
      </c>
      <c r="C290" t="s">
        <v>52</v>
      </c>
      <c r="D290">
        <v>-33.943775193007497</v>
      </c>
      <c r="E290">
        <v>18.842995796212399</v>
      </c>
      <c r="F290">
        <v>4.3799999999999999E-2</v>
      </c>
      <c r="G290">
        <v>0.1096</v>
      </c>
      <c r="H290">
        <v>6.5750000000000003E-2</v>
      </c>
      <c r="I290">
        <v>3680.2939999999999</v>
      </c>
      <c r="J290">
        <v>4523.1890000000003</v>
      </c>
    </row>
    <row r="291" spans="1:10">
      <c r="A291">
        <v>17</v>
      </c>
      <c r="B291">
        <v>6</v>
      </c>
      <c r="C291" t="s">
        <v>52</v>
      </c>
      <c r="D291">
        <v>-33.952901946954697</v>
      </c>
      <c r="E291">
        <v>18.849941945545599</v>
      </c>
      <c r="F291">
        <v>4.3799999999999999E-2</v>
      </c>
      <c r="G291">
        <v>0.1096</v>
      </c>
      <c r="H291">
        <v>6.5750000000000003E-2</v>
      </c>
      <c r="I291">
        <v>4007.1880000000001</v>
      </c>
      <c r="J291">
        <v>4850.0829999999996</v>
      </c>
    </row>
    <row r="292" spans="1:10">
      <c r="A292">
        <v>18</v>
      </c>
      <c r="B292">
        <v>6</v>
      </c>
      <c r="C292" t="s">
        <v>52</v>
      </c>
      <c r="D292">
        <v>-33.953238726093197</v>
      </c>
      <c r="E292">
        <v>18.842297298624299</v>
      </c>
      <c r="F292">
        <v>4.3799999999999999E-2</v>
      </c>
      <c r="G292">
        <v>0.1096</v>
      </c>
      <c r="H292">
        <v>6.5750000000000003E-2</v>
      </c>
      <c r="I292">
        <v>4005.4380000000001</v>
      </c>
      <c r="J292">
        <v>4848.3320000000003</v>
      </c>
    </row>
    <row r="293" spans="1:10">
      <c r="A293">
        <v>19</v>
      </c>
      <c r="B293">
        <v>6</v>
      </c>
      <c r="C293" t="s">
        <v>52</v>
      </c>
      <c r="D293">
        <v>-33.9465475975678</v>
      </c>
      <c r="E293">
        <v>18.853214543999499</v>
      </c>
      <c r="F293">
        <v>4.3799999999999999E-2</v>
      </c>
      <c r="G293">
        <v>0.1096</v>
      </c>
      <c r="H293">
        <v>6.5750000000000003E-2</v>
      </c>
      <c r="I293">
        <v>2951.7689999999998</v>
      </c>
      <c r="J293">
        <v>3794.6640000000002</v>
      </c>
    </row>
    <row r="294" spans="1:10">
      <c r="A294">
        <v>20</v>
      </c>
      <c r="B294">
        <v>6</v>
      </c>
      <c r="C294" t="s">
        <v>52</v>
      </c>
      <c r="D294">
        <v>-33.950478038829999</v>
      </c>
      <c r="E294">
        <v>18.853591806788099</v>
      </c>
      <c r="F294">
        <v>4.3799999999999999E-2</v>
      </c>
      <c r="G294">
        <v>0.1096</v>
      </c>
      <c r="H294">
        <v>6.5750000000000003E-2</v>
      </c>
      <c r="I294">
        <v>3525.69</v>
      </c>
      <c r="J294">
        <v>4368.585</v>
      </c>
    </row>
    <row r="295" spans="1:10">
      <c r="A295">
        <v>21</v>
      </c>
      <c r="B295">
        <v>6</v>
      </c>
      <c r="C295" t="s">
        <v>52</v>
      </c>
      <c r="D295">
        <v>-33.9494230649534</v>
      </c>
      <c r="E295">
        <v>18.845073724845101</v>
      </c>
      <c r="F295">
        <v>4.3799999999999999E-2</v>
      </c>
      <c r="G295">
        <v>0.1096</v>
      </c>
      <c r="H295">
        <v>6.5750000000000003E-2</v>
      </c>
      <c r="I295">
        <v>4144.7169999999996</v>
      </c>
      <c r="J295">
        <v>4987.6120000000001</v>
      </c>
    </row>
    <row r="296" spans="1:10">
      <c r="A296">
        <v>22</v>
      </c>
      <c r="B296">
        <v>6</v>
      </c>
      <c r="C296" t="s">
        <v>52</v>
      </c>
      <c r="D296">
        <v>-33.953608258595999</v>
      </c>
      <c r="E296">
        <v>18.847697587776899</v>
      </c>
      <c r="F296">
        <v>4.3799999999999999E-2</v>
      </c>
      <c r="G296">
        <v>0.1096</v>
      </c>
      <c r="H296">
        <v>6.5750000000000003E-2</v>
      </c>
      <c r="I296">
        <v>3961.9830000000002</v>
      </c>
      <c r="J296">
        <v>4804.8779999999997</v>
      </c>
    </row>
    <row r="297" spans="1:10">
      <c r="A297">
        <v>23</v>
      </c>
      <c r="B297">
        <v>6</v>
      </c>
      <c r="C297" t="s">
        <v>52</v>
      </c>
      <c r="D297">
        <v>-33.953371520428099</v>
      </c>
      <c r="E297">
        <v>18.8520065371915</v>
      </c>
      <c r="F297">
        <v>4.3799999999999999E-2</v>
      </c>
      <c r="G297">
        <v>0.1096</v>
      </c>
      <c r="H297">
        <v>6.5750000000000003E-2</v>
      </c>
      <c r="I297">
        <v>4098.0609999999997</v>
      </c>
      <c r="J297">
        <v>4940.9560000000001</v>
      </c>
    </row>
    <row r="298" spans="1:10">
      <c r="A298">
        <v>24</v>
      </c>
      <c r="B298">
        <v>6</v>
      </c>
      <c r="C298" t="s">
        <v>52</v>
      </c>
      <c r="D298">
        <v>-33.953378913487597</v>
      </c>
      <c r="E298">
        <v>18.849508049215899</v>
      </c>
      <c r="F298">
        <v>4.3799999999999999E-2</v>
      </c>
      <c r="G298">
        <v>0.1096</v>
      </c>
      <c r="H298">
        <v>6.5750000000000003E-2</v>
      </c>
      <c r="I298">
        <v>4016.672</v>
      </c>
      <c r="J298">
        <v>4859.567</v>
      </c>
    </row>
    <row r="299" spans="1:10">
      <c r="A299">
        <v>25</v>
      </c>
      <c r="B299">
        <v>6</v>
      </c>
      <c r="C299" t="s">
        <v>52</v>
      </c>
      <c r="D299">
        <v>-33.942725442442097</v>
      </c>
      <c r="E299">
        <v>18.844724531746198</v>
      </c>
      <c r="F299">
        <v>4.3799999999999999E-2</v>
      </c>
      <c r="G299">
        <v>0.1096</v>
      </c>
      <c r="H299">
        <v>6.5750000000000003E-2</v>
      </c>
      <c r="I299">
        <v>4182.308</v>
      </c>
      <c r="J299">
        <v>2345.2159999999999</v>
      </c>
    </row>
    <row r="300" spans="1:10">
      <c r="A300">
        <v>26</v>
      </c>
      <c r="B300">
        <v>6</v>
      </c>
      <c r="C300" t="s">
        <v>52</v>
      </c>
      <c r="D300">
        <v>-33.949903040874602</v>
      </c>
      <c r="E300">
        <v>18.849803848571401</v>
      </c>
      <c r="F300">
        <v>4.3799999999999999E-2</v>
      </c>
      <c r="G300">
        <v>0.1096</v>
      </c>
      <c r="H300">
        <v>6.5750000000000003E-2</v>
      </c>
      <c r="I300">
        <v>3659.9690000000001</v>
      </c>
      <c r="J300">
        <v>4502.8630000000003</v>
      </c>
    </row>
    <row r="301" spans="1:10">
      <c r="A301">
        <v>27</v>
      </c>
      <c r="B301">
        <v>6</v>
      </c>
      <c r="C301" t="s">
        <v>52</v>
      </c>
      <c r="D301">
        <v>-33.94847539085</v>
      </c>
      <c r="E301">
        <v>18.846450934624901</v>
      </c>
      <c r="F301">
        <v>4.3799999999999999E-2</v>
      </c>
      <c r="G301">
        <v>0.1096</v>
      </c>
      <c r="H301">
        <v>6.5750000000000003E-2</v>
      </c>
      <c r="I301">
        <v>3661.585</v>
      </c>
      <c r="J301">
        <v>4504.4799999999996</v>
      </c>
    </row>
    <row r="302" spans="1:10">
      <c r="A302">
        <v>28</v>
      </c>
      <c r="B302">
        <v>6</v>
      </c>
      <c r="C302" t="s">
        <v>52</v>
      </c>
      <c r="D302">
        <v>-33.945638496006602</v>
      </c>
      <c r="E302">
        <v>18.8513273982987</v>
      </c>
      <c r="F302">
        <v>4.3799999999999999E-2</v>
      </c>
      <c r="G302">
        <v>0.1096</v>
      </c>
      <c r="H302">
        <v>6.5750000000000003E-2</v>
      </c>
      <c r="I302">
        <v>2966.7179999999998</v>
      </c>
      <c r="J302">
        <v>3809.6120000000001</v>
      </c>
    </row>
    <row r="303" spans="1:10">
      <c r="A303">
        <v>29</v>
      </c>
      <c r="B303">
        <v>6</v>
      </c>
      <c r="C303" t="s">
        <v>52</v>
      </c>
      <c r="D303">
        <v>-33.946725161741597</v>
      </c>
      <c r="E303">
        <v>18.850320116957199</v>
      </c>
      <c r="F303">
        <v>4.3799999999999999E-2</v>
      </c>
      <c r="G303">
        <v>0.1096</v>
      </c>
      <c r="H303">
        <v>6.5750000000000003E-2</v>
      </c>
      <c r="I303">
        <v>3187.2150000000001</v>
      </c>
      <c r="J303">
        <v>4030.11</v>
      </c>
    </row>
    <row r="304" spans="1:10">
      <c r="A304">
        <v>30</v>
      </c>
      <c r="B304">
        <v>6</v>
      </c>
      <c r="C304" t="s">
        <v>52</v>
      </c>
      <c r="D304">
        <v>-33.950296703904201</v>
      </c>
      <c r="E304">
        <v>18.853650306875899</v>
      </c>
      <c r="F304">
        <v>4.3799999999999999E-2</v>
      </c>
      <c r="G304">
        <v>0.1096</v>
      </c>
      <c r="H304">
        <v>6.5750000000000003E-2</v>
      </c>
      <c r="I304">
        <v>3517.3150000000001</v>
      </c>
      <c r="J304">
        <v>4360.21</v>
      </c>
    </row>
    <row r="305" spans="1:10">
      <c r="A305">
        <v>31</v>
      </c>
      <c r="B305">
        <v>6</v>
      </c>
      <c r="C305" t="s">
        <v>52</v>
      </c>
      <c r="D305">
        <v>-33.9516803201697</v>
      </c>
      <c r="E305">
        <v>18.851877400548201</v>
      </c>
      <c r="F305">
        <v>4.3799999999999999E-2</v>
      </c>
      <c r="G305">
        <v>0.1096</v>
      </c>
      <c r="H305">
        <v>6.5750000000000003E-2</v>
      </c>
      <c r="I305">
        <v>3866.5909999999999</v>
      </c>
      <c r="J305">
        <v>4709.4859999999999</v>
      </c>
    </row>
    <row r="306" spans="1:10">
      <c r="A306">
        <v>32</v>
      </c>
      <c r="B306">
        <v>6</v>
      </c>
      <c r="C306" t="s">
        <v>52</v>
      </c>
      <c r="D306">
        <v>-33.949387594524701</v>
      </c>
      <c r="E306">
        <v>18.852327311743601</v>
      </c>
      <c r="F306">
        <v>4.3799999999999999E-2</v>
      </c>
      <c r="G306">
        <v>0.1096</v>
      </c>
      <c r="H306">
        <v>6.5750000000000003E-2</v>
      </c>
      <c r="I306">
        <v>3537.7950000000001</v>
      </c>
      <c r="J306">
        <v>4380.6890000000003</v>
      </c>
    </row>
    <row r="307" spans="1:10">
      <c r="A307">
        <v>33</v>
      </c>
      <c r="B307">
        <v>6</v>
      </c>
      <c r="C307" t="s">
        <v>52</v>
      </c>
      <c r="D307">
        <v>-33.944554599055103</v>
      </c>
      <c r="E307">
        <v>18.8416782489338</v>
      </c>
      <c r="F307">
        <v>4.3799999999999999E-2</v>
      </c>
      <c r="G307">
        <v>0.1096</v>
      </c>
      <c r="H307">
        <v>6.5750000000000003E-2</v>
      </c>
      <c r="I307">
        <v>3989.6260000000002</v>
      </c>
      <c r="J307">
        <v>2138.665</v>
      </c>
    </row>
    <row r="308" spans="1:10">
      <c r="A308">
        <v>34</v>
      </c>
      <c r="B308">
        <v>6</v>
      </c>
      <c r="C308" t="s">
        <v>52</v>
      </c>
      <c r="D308">
        <v>-33.948784964716502</v>
      </c>
      <c r="E308">
        <v>18.846893242602601</v>
      </c>
      <c r="F308">
        <v>4.3799999999999999E-2</v>
      </c>
      <c r="G308">
        <v>0.1096</v>
      </c>
      <c r="H308">
        <v>6.5750000000000003E-2</v>
      </c>
      <c r="I308">
        <v>3706.2460000000001</v>
      </c>
      <c r="J308">
        <v>4549.1409999999996</v>
      </c>
    </row>
    <row r="309" spans="1:10">
      <c r="A309">
        <v>35</v>
      </c>
      <c r="B309">
        <v>6</v>
      </c>
      <c r="C309" t="s">
        <v>52</v>
      </c>
      <c r="D309">
        <v>-33.944534160761897</v>
      </c>
      <c r="E309">
        <v>18.845796891533102</v>
      </c>
      <c r="F309">
        <v>4.3799999999999999E-2</v>
      </c>
      <c r="G309">
        <v>0.1096</v>
      </c>
      <c r="H309">
        <v>6.5750000000000003E-2</v>
      </c>
      <c r="I309">
        <v>3524.8589999999999</v>
      </c>
      <c r="J309">
        <v>4367.7539999999999</v>
      </c>
    </row>
    <row r="310" spans="1:10">
      <c r="A310">
        <v>36</v>
      </c>
      <c r="B310">
        <v>6</v>
      </c>
      <c r="C310" t="s">
        <v>52</v>
      </c>
      <c r="D310">
        <v>-33.952506010617</v>
      </c>
      <c r="E310">
        <v>18.84170256721</v>
      </c>
      <c r="F310">
        <v>4.3799999999999999E-2</v>
      </c>
      <c r="G310">
        <v>0.1096</v>
      </c>
      <c r="H310">
        <v>6.5750000000000003E-2</v>
      </c>
      <c r="I310">
        <v>4005.4380000000001</v>
      </c>
      <c r="J310">
        <v>4848.3320000000003</v>
      </c>
    </row>
    <row r="311" spans="1:10">
      <c r="A311">
        <v>37</v>
      </c>
      <c r="B311">
        <v>6</v>
      </c>
      <c r="C311" t="s">
        <v>52</v>
      </c>
      <c r="D311">
        <v>-33.945097208213198</v>
      </c>
      <c r="E311">
        <v>18.852205428034001</v>
      </c>
      <c r="F311">
        <v>4.3799999999999999E-2</v>
      </c>
      <c r="G311">
        <v>0.1096</v>
      </c>
      <c r="H311">
        <v>6.5750000000000003E-2</v>
      </c>
      <c r="I311">
        <v>2791.1350000000002</v>
      </c>
      <c r="J311">
        <v>3634.03</v>
      </c>
    </row>
    <row r="312" spans="1:10">
      <c r="A312">
        <v>38</v>
      </c>
      <c r="B312">
        <v>6</v>
      </c>
      <c r="C312" t="s">
        <v>52</v>
      </c>
      <c r="D312">
        <v>-33.941982267713499</v>
      </c>
      <c r="E312">
        <v>18.855282064103399</v>
      </c>
      <c r="F312">
        <v>4.3799999999999999E-2</v>
      </c>
      <c r="G312">
        <v>0.1096</v>
      </c>
      <c r="H312">
        <v>6.5750000000000003E-2</v>
      </c>
      <c r="I312">
        <v>2365.7579999999998</v>
      </c>
      <c r="J312">
        <v>4648.5860000000002</v>
      </c>
    </row>
    <row r="313" spans="1:10">
      <c r="A313">
        <v>39</v>
      </c>
      <c r="B313">
        <v>6</v>
      </c>
      <c r="C313" t="s">
        <v>52</v>
      </c>
      <c r="D313">
        <v>-33.952517943263103</v>
      </c>
      <c r="E313">
        <v>18.844555457255701</v>
      </c>
      <c r="F313">
        <v>4.3799999999999999E-2</v>
      </c>
      <c r="G313">
        <v>0.1096</v>
      </c>
      <c r="H313">
        <v>6.5750000000000003E-2</v>
      </c>
      <c r="I313">
        <v>3851.797</v>
      </c>
      <c r="J313">
        <v>4694.6909999999998</v>
      </c>
    </row>
    <row r="314" spans="1:10">
      <c r="A314">
        <v>40</v>
      </c>
      <c r="B314">
        <v>6</v>
      </c>
      <c r="C314" t="s">
        <v>52</v>
      </c>
      <c r="D314">
        <v>-33.9471527085147</v>
      </c>
      <c r="E314">
        <v>18.844778170093701</v>
      </c>
      <c r="F314">
        <v>4.3799999999999999E-2</v>
      </c>
      <c r="G314">
        <v>0.1096</v>
      </c>
      <c r="H314">
        <v>6.5750000000000003E-2</v>
      </c>
      <c r="I314">
        <v>4190.2179999999998</v>
      </c>
      <c r="J314">
        <v>5033.1130000000003</v>
      </c>
    </row>
    <row r="315" spans="1:10">
      <c r="A315">
        <v>41</v>
      </c>
      <c r="B315">
        <v>6</v>
      </c>
      <c r="C315" t="s">
        <v>52</v>
      </c>
      <c r="D315">
        <v>-33.944367359850503</v>
      </c>
      <c r="E315">
        <v>18.844665278985399</v>
      </c>
      <c r="F315">
        <v>4.3799999999999999E-2</v>
      </c>
      <c r="G315">
        <v>0.1096</v>
      </c>
      <c r="H315">
        <v>6.5750000000000003E-2</v>
      </c>
      <c r="I315">
        <v>3560.3139999999999</v>
      </c>
      <c r="J315">
        <v>4403.2089999999998</v>
      </c>
    </row>
    <row r="316" spans="1:10">
      <c r="A316">
        <v>42</v>
      </c>
      <c r="B316">
        <v>6</v>
      </c>
      <c r="C316" t="s">
        <v>52</v>
      </c>
      <c r="D316">
        <v>-33.943703231203301</v>
      </c>
      <c r="E316">
        <v>18.8497275504171</v>
      </c>
      <c r="F316">
        <v>4.3799999999999999E-2</v>
      </c>
      <c r="G316">
        <v>0.1096</v>
      </c>
      <c r="H316">
        <v>6.5750000000000003E-2</v>
      </c>
      <c r="I316">
        <v>3084.674</v>
      </c>
      <c r="J316">
        <v>3927.569</v>
      </c>
    </row>
    <row r="317" spans="1:10">
      <c r="A317">
        <v>43</v>
      </c>
      <c r="B317">
        <v>6</v>
      </c>
      <c r="C317" t="s">
        <v>52</v>
      </c>
      <c r="D317">
        <v>-33.953334866739702</v>
      </c>
      <c r="E317">
        <v>18.854458717335302</v>
      </c>
      <c r="F317">
        <v>4.3799999999999999E-2</v>
      </c>
      <c r="G317">
        <v>0.1096</v>
      </c>
      <c r="H317">
        <v>6.5750000000000003E-2</v>
      </c>
      <c r="I317">
        <v>4138.3059999999996</v>
      </c>
      <c r="J317">
        <v>4981.2</v>
      </c>
    </row>
    <row r="318" spans="1:10">
      <c r="A318">
        <v>44</v>
      </c>
      <c r="B318">
        <v>6</v>
      </c>
      <c r="C318" t="s">
        <v>52</v>
      </c>
      <c r="D318">
        <v>-33.950328288933797</v>
      </c>
      <c r="E318">
        <v>18.8464904346678</v>
      </c>
      <c r="F318">
        <v>4.3799999999999999E-2</v>
      </c>
      <c r="G318">
        <v>0.1096</v>
      </c>
      <c r="H318">
        <v>6.5750000000000003E-2</v>
      </c>
      <c r="I318">
        <v>3851.797</v>
      </c>
      <c r="J318">
        <v>4694.6909999999998</v>
      </c>
    </row>
    <row r="319" spans="1:10">
      <c r="A319">
        <v>45</v>
      </c>
      <c r="B319">
        <v>6</v>
      </c>
      <c r="C319" t="s">
        <v>52</v>
      </c>
      <c r="D319">
        <v>-33.949260233666898</v>
      </c>
      <c r="E319">
        <v>18.8449886091854</v>
      </c>
      <c r="F319">
        <v>4.3799999999999999E-2</v>
      </c>
      <c r="G319">
        <v>0.1096</v>
      </c>
      <c r="H319">
        <v>6.5750000000000003E-2</v>
      </c>
      <c r="I319">
        <v>4142.3270000000002</v>
      </c>
      <c r="J319">
        <v>4985.2219999999998</v>
      </c>
    </row>
    <row r="320" spans="1:10">
      <c r="A320">
        <v>46</v>
      </c>
      <c r="B320">
        <v>6</v>
      </c>
      <c r="C320" t="s">
        <v>52</v>
      </c>
      <c r="D320">
        <v>-33.953221897935798</v>
      </c>
      <c r="E320">
        <v>18.849829269862202</v>
      </c>
      <c r="F320">
        <v>4.3799999999999999E-2</v>
      </c>
      <c r="G320">
        <v>0.1096</v>
      </c>
      <c r="H320">
        <v>6.5750000000000003E-2</v>
      </c>
      <c r="I320">
        <v>4025.1350000000002</v>
      </c>
      <c r="J320">
        <v>4868.0290000000005</v>
      </c>
    </row>
    <row r="321" spans="1:10">
      <c r="A321">
        <v>47</v>
      </c>
      <c r="B321">
        <v>6</v>
      </c>
      <c r="C321" t="s">
        <v>52</v>
      </c>
      <c r="D321">
        <v>-33.945234845460199</v>
      </c>
      <c r="E321">
        <v>18.845165006994701</v>
      </c>
      <c r="F321">
        <v>4.3799999999999999E-2</v>
      </c>
      <c r="G321">
        <v>0.1096</v>
      </c>
      <c r="H321">
        <v>6.5750000000000003E-2</v>
      </c>
      <c r="I321">
        <v>3541.7890000000002</v>
      </c>
      <c r="J321">
        <v>4384.6840000000002</v>
      </c>
    </row>
    <row r="322" spans="1:10">
      <c r="A322">
        <v>48</v>
      </c>
      <c r="B322">
        <v>6</v>
      </c>
      <c r="C322" t="s">
        <v>52</v>
      </c>
      <c r="D322">
        <v>-33.949760766857203</v>
      </c>
      <c r="E322">
        <v>18.844466235329801</v>
      </c>
      <c r="F322">
        <v>4.3799999999999999E-2</v>
      </c>
      <c r="G322">
        <v>0.1096</v>
      </c>
      <c r="H322">
        <v>6.5750000000000003E-2</v>
      </c>
      <c r="I322">
        <v>4080.3290000000002</v>
      </c>
      <c r="J322">
        <v>4923.223</v>
      </c>
    </row>
    <row r="323" spans="1:10">
      <c r="A323">
        <v>49</v>
      </c>
      <c r="B323">
        <v>6</v>
      </c>
      <c r="C323" t="s">
        <v>52</v>
      </c>
      <c r="D323">
        <v>-33.943952768375098</v>
      </c>
      <c r="E323">
        <v>18.848503142586502</v>
      </c>
      <c r="F323">
        <v>4.3799999999999999E-2</v>
      </c>
      <c r="G323">
        <v>0.1096</v>
      </c>
      <c r="H323">
        <v>6.5750000000000003E-2</v>
      </c>
      <c r="I323">
        <v>3198.8910000000001</v>
      </c>
      <c r="J323">
        <v>4041.7860000000001</v>
      </c>
    </row>
    <row r="324" spans="1:10">
      <c r="A324">
        <v>50</v>
      </c>
      <c r="B324">
        <v>6</v>
      </c>
      <c r="C324" t="s">
        <v>52</v>
      </c>
      <c r="D324">
        <v>-33.946519791046597</v>
      </c>
      <c r="E324">
        <v>18.850848166481299</v>
      </c>
      <c r="F324">
        <v>4.3799999999999999E-2</v>
      </c>
      <c r="G324">
        <v>0.1096</v>
      </c>
      <c r="H324">
        <v>6.5750000000000003E-2</v>
      </c>
      <c r="I324">
        <v>3125.3939999999998</v>
      </c>
      <c r="J324">
        <v>3968.2890000000002</v>
      </c>
    </row>
    <row r="325" spans="1:10">
      <c r="A325">
        <v>51</v>
      </c>
      <c r="B325">
        <v>6</v>
      </c>
      <c r="C325" t="s">
        <v>52</v>
      </c>
      <c r="D325">
        <v>-33.9422376084256</v>
      </c>
      <c r="E325">
        <v>18.850917196890201</v>
      </c>
      <c r="F325">
        <v>4.3799999999999999E-2</v>
      </c>
      <c r="G325">
        <v>0.1096</v>
      </c>
      <c r="H325">
        <v>6.5750000000000003E-2</v>
      </c>
      <c r="I325">
        <v>2612.0700000000002</v>
      </c>
      <c r="J325">
        <v>3092.2330000000002</v>
      </c>
    </row>
    <row r="326" spans="1:10">
      <c r="A326">
        <v>52</v>
      </c>
      <c r="B326">
        <v>6</v>
      </c>
      <c r="C326" t="s">
        <v>52</v>
      </c>
      <c r="D326">
        <v>-33.9452416541153</v>
      </c>
      <c r="E326">
        <v>18.8416744326741</v>
      </c>
      <c r="F326">
        <v>4.3799999999999999E-2</v>
      </c>
      <c r="G326">
        <v>0.1096</v>
      </c>
      <c r="H326">
        <v>6.5750000000000003E-2</v>
      </c>
      <c r="I326">
        <v>3860.5549999999998</v>
      </c>
      <c r="J326">
        <v>4703.4489999999996</v>
      </c>
    </row>
    <row r="327" spans="1:10">
      <c r="A327">
        <v>53</v>
      </c>
      <c r="B327">
        <v>6</v>
      </c>
      <c r="C327" t="s">
        <v>52</v>
      </c>
      <c r="D327">
        <v>-33.943878663417202</v>
      </c>
      <c r="E327">
        <v>18.843444924868098</v>
      </c>
      <c r="F327">
        <v>4.3799999999999999E-2</v>
      </c>
      <c r="G327">
        <v>0.1096</v>
      </c>
      <c r="H327">
        <v>6.5750000000000003E-2</v>
      </c>
      <c r="I327">
        <v>3647.7860000000001</v>
      </c>
      <c r="J327">
        <v>4490.6809999999996</v>
      </c>
    </row>
    <row r="328" spans="1:10">
      <c r="A328">
        <v>54</v>
      </c>
      <c r="B328">
        <v>6</v>
      </c>
      <c r="C328" t="s">
        <v>52</v>
      </c>
      <c r="D328">
        <v>-33.947231774752197</v>
      </c>
      <c r="E328">
        <v>18.848606321153699</v>
      </c>
      <c r="F328">
        <v>4.3799999999999999E-2</v>
      </c>
      <c r="G328">
        <v>0.1096</v>
      </c>
      <c r="H328">
        <v>6.5750000000000003E-2</v>
      </c>
      <c r="I328">
        <v>3408.6280000000002</v>
      </c>
      <c r="J328">
        <v>4251.5230000000001</v>
      </c>
    </row>
    <row r="329" spans="1:10">
      <c r="A329">
        <v>55</v>
      </c>
      <c r="B329">
        <v>6</v>
      </c>
      <c r="C329" t="s">
        <v>52</v>
      </c>
      <c r="D329">
        <v>-33.952963354940202</v>
      </c>
      <c r="E329">
        <v>18.854751182182401</v>
      </c>
      <c r="F329">
        <v>4.3799999999999999E-2</v>
      </c>
      <c r="G329">
        <v>0.1096</v>
      </c>
      <c r="H329">
        <v>6.5750000000000003E-2</v>
      </c>
      <c r="I329">
        <v>3868.0320000000002</v>
      </c>
      <c r="J329">
        <v>4710.9260000000004</v>
      </c>
    </row>
    <row r="330" spans="1:10">
      <c r="A330">
        <v>56</v>
      </c>
      <c r="B330">
        <v>6</v>
      </c>
      <c r="C330" t="s">
        <v>52</v>
      </c>
      <c r="D330">
        <v>-33.9530913481724</v>
      </c>
      <c r="E330">
        <v>18.8419914673634</v>
      </c>
      <c r="F330">
        <v>4.3799999999999999E-2</v>
      </c>
      <c r="G330">
        <v>0.1096</v>
      </c>
      <c r="H330">
        <v>6.5750000000000003E-2</v>
      </c>
      <c r="I330">
        <v>4005.4380000000001</v>
      </c>
      <c r="J330">
        <v>4848.3320000000003</v>
      </c>
    </row>
    <row r="331" spans="1:10">
      <c r="A331">
        <v>57</v>
      </c>
      <c r="B331">
        <v>6</v>
      </c>
      <c r="C331" t="s">
        <v>52</v>
      </c>
      <c r="D331">
        <v>-33.9419464364898</v>
      </c>
      <c r="E331">
        <v>18.846181398530401</v>
      </c>
      <c r="F331">
        <v>4.3799999999999999E-2</v>
      </c>
      <c r="G331">
        <v>0.1096</v>
      </c>
      <c r="H331">
        <v>6.5750000000000003E-2</v>
      </c>
      <c r="I331">
        <v>4331.4979999999996</v>
      </c>
      <c r="J331">
        <v>2494.4059999999999</v>
      </c>
    </row>
    <row r="332" spans="1:10">
      <c r="A332">
        <v>58</v>
      </c>
      <c r="B332">
        <v>6</v>
      </c>
      <c r="C332" t="s">
        <v>52</v>
      </c>
      <c r="D332">
        <v>-33.944152717825503</v>
      </c>
      <c r="E332">
        <v>18.842667883705101</v>
      </c>
      <c r="F332">
        <v>4.3799999999999999E-2</v>
      </c>
      <c r="G332">
        <v>0.1096</v>
      </c>
      <c r="H332">
        <v>6.5750000000000003E-2</v>
      </c>
      <c r="I332">
        <v>3722.8009999999999</v>
      </c>
      <c r="J332">
        <v>4565.6949999999997</v>
      </c>
    </row>
    <row r="333" spans="1:10">
      <c r="A333">
        <v>59</v>
      </c>
      <c r="B333">
        <v>6</v>
      </c>
      <c r="C333" t="s">
        <v>52</v>
      </c>
      <c r="D333">
        <v>-33.949371965380898</v>
      </c>
      <c r="E333">
        <v>18.8427710466162</v>
      </c>
      <c r="F333">
        <v>4.3799999999999999E-2</v>
      </c>
      <c r="G333">
        <v>0.1096</v>
      </c>
      <c r="H333">
        <v>6.5750000000000003E-2</v>
      </c>
      <c r="I333">
        <v>3992.2460000000001</v>
      </c>
      <c r="J333">
        <v>4835.1409999999996</v>
      </c>
    </row>
    <row r="334" spans="1:10">
      <c r="A334">
        <v>60</v>
      </c>
      <c r="B334">
        <v>6</v>
      </c>
      <c r="C334" t="s">
        <v>52</v>
      </c>
      <c r="D334">
        <v>-33.942248823459302</v>
      </c>
      <c r="E334">
        <v>18.841643130083899</v>
      </c>
      <c r="F334">
        <v>4.3799999999999999E-2</v>
      </c>
      <c r="G334">
        <v>0.1096</v>
      </c>
      <c r="H334">
        <v>6.5750000000000003E-2</v>
      </c>
      <c r="I334">
        <v>3291.9949999999999</v>
      </c>
      <c r="J334">
        <v>3536</v>
      </c>
    </row>
    <row r="335" spans="1:10">
      <c r="A335">
        <v>61</v>
      </c>
      <c r="B335">
        <v>6</v>
      </c>
      <c r="C335" t="s">
        <v>52</v>
      </c>
      <c r="D335">
        <v>-33.942331536406797</v>
      </c>
      <c r="E335">
        <v>18.842576152630301</v>
      </c>
      <c r="F335">
        <v>4.3799999999999999E-2</v>
      </c>
      <c r="G335">
        <v>0.1096</v>
      </c>
      <c r="H335">
        <v>6.5750000000000003E-2</v>
      </c>
      <c r="I335">
        <v>3975.4540000000002</v>
      </c>
      <c r="J335">
        <v>2138.3620000000001</v>
      </c>
    </row>
    <row r="336" spans="1:10">
      <c r="A336">
        <v>62</v>
      </c>
      <c r="B336">
        <v>6</v>
      </c>
      <c r="C336" t="s">
        <v>52</v>
      </c>
      <c r="D336">
        <v>-33.951451965201898</v>
      </c>
      <c r="E336">
        <v>18.8529911761199</v>
      </c>
      <c r="F336">
        <v>4.3799999999999999E-2</v>
      </c>
      <c r="G336">
        <v>0.1096</v>
      </c>
      <c r="H336">
        <v>6.5750000000000003E-2</v>
      </c>
      <c r="I336">
        <v>3761.14</v>
      </c>
      <c r="J336">
        <v>4604.0349999999999</v>
      </c>
    </row>
    <row r="337" spans="1:10">
      <c r="A337">
        <v>63</v>
      </c>
      <c r="B337">
        <v>6</v>
      </c>
      <c r="C337" t="s">
        <v>52</v>
      </c>
      <c r="D337">
        <v>-33.945129764252997</v>
      </c>
      <c r="E337">
        <v>18.852540895841699</v>
      </c>
      <c r="F337">
        <v>4.3799999999999999E-2</v>
      </c>
      <c r="G337">
        <v>0.1096</v>
      </c>
      <c r="H337">
        <v>6.5750000000000003E-2</v>
      </c>
      <c r="I337">
        <v>2782.587</v>
      </c>
      <c r="J337">
        <v>3625.482</v>
      </c>
    </row>
    <row r="338" spans="1:10">
      <c r="A338">
        <v>64</v>
      </c>
      <c r="B338">
        <v>6</v>
      </c>
      <c r="C338" t="s">
        <v>52</v>
      </c>
      <c r="D338">
        <v>-33.947724628911601</v>
      </c>
      <c r="E338">
        <v>18.851712499719</v>
      </c>
      <c r="F338">
        <v>4.3799999999999999E-2</v>
      </c>
      <c r="G338">
        <v>0.1096</v>
      </c>
      <c r="H338">
        <v>6.5750000000000003E-2</v>
      </c>
      <c r="I338">
        <v>3198.797</v>
      </c>
      <c r="J338">
        <v>4041.692</v>
      </c>
    </row>
    <row r="339" spans="1:10">
      <c r="A339">
        <v>65</v>
      </c>
      <c r="B339">
        <v>6</v>
      </c>
      <c r="C339" t="s">
        <v>52</v>
      </c>
      <c r="D339">
        <v>-33.949521509704503</v>
      </c>
      <c r="E339">
        <v>18.853673342650101</v>
      </c>
      <c r="F339">
        <v>4.3799999999999999E-2</v>
      </c>
      <c r="G339">
        <v>0.1096</v>
      </c>
      <c r="H339">
        <v>6.5750000000000003E-2</v>
      </c>
      <c r="I339">
        <v>3648.5770000000002</v>
      </c>
      <c r="J339">
        <v>4491.4709999999995</v>
      </c>
    </row>
    <row r="340" spans="1:10">
      <c r="A340">
        <v>66</v>
      </c>
      <c r="B340">
        <v>6</v>
      </c>
      <c r="C340" t="s">
        <v>52</v>
      </c>
      <c r="D340">
        <v>-33.953254610863297</v>
      </c>
      <c r="E340">
        <v>18.844481968848701</v>
      </c>
      <c r="F340">
        <v>4.3799999999999999E-2</v>
      </c>
      <c r="G340">
        <v>0.1096</v>
      </c>
      <c r="H340">
        <v>6.5750000000000003E-2</v>
      </c>
      <c r="I340">
        <v>3945.9609999999998</v>
      </c>
      <c r="J340">
        <v>4788.8559999999998</v>
      </c>
    </row>
    <row r="341" spans="1:10">
      <c r="A341">
        <v>67</v>
      </c>
      <c r="B341">
        <v>6</v>
      </c>
      <c r="C341" t="s">
        <v>52</v>
      </c>
      <c r="D341">
        <v>-33.950466840883799</v>
      </c>
      <c r="E341">
        <v>18.853719363856101</v>
      </c>
      <c r="F341">
        <v>4.3799999999999999E-2</v>
      </c>
      <c r="G341">
        <v>0.1096</v>
      </c>
      <c r="H341">
        <v>6.5750000000000003E-2</v>
      </c>
      <c r="I341">
        <v>3534.1030000000001</v>
      </c>
      <c r="J341">
        <v>4376.9979999999996</v>
      </c>
    </row>
    <row r="342" spans="1:10">
      <c r="A342">
        <v>68</v>
      </c>
      <c r="B342">
        <v>6</v>
      </c>
      <c r="C342" t="s">
        <v>52</v>
      </c>
      <c r="D342">
        <v>-33.951852188803898</v>
      </c>
      <c r="E342">
        <v>18.846144055928399</v>
      </c>
      <c r="F342">
        <v>4.3799999999999999E-2</v>
      </c>
      <c r="G342">
        <v>0.1096</v>
      </c>
      <c r="H342">
        <v>6.5750000000000003E-2</v>
      </c>
      <c r="I342">
        <v>3910.7109999999998</v>
      </c>
      <c r="J342">
        <v>4753.6059999999998</v>
      </c>
    </row>
    <row r="343" spans="1:10">
      <c r="A343">
        <v>69</v>
      </c>
      <c r="B343">
        <v>6</v>
      </c>
      <c r="C343" t="s">
        <v>52</v>
      </c>
      <c r="D343">
        <v>-33.944119222208997</v>
      </c>
      <c r="E343">
        <v>18.851219781860799</v>
      </c>
      <c r="F343">
        <v>4.3799999999999999E-2</v>
      </c>
      <c r="G343">
        <v>0.1096</v>
      </c>
      <c r="H343">
        <v>6.5750000000000003E-2</v>
      </c>
      <c r="I343">
        <v>3028.4670000000001</v>
      </c>
      <c r="J343">
        <v>3871.3620000000001</v>
      </c>
    </row>
    <row r="344" spans="1:10">
      <c r="A344">
        <v>70</v>
      </c>
      <c r="B344">
        <v>6</v>
      </c>
      <c r="C344" t="s">
        <v>52</v>
      </c>
      <c r="D344">
        <v>-33.9531245773507</v>
      </c>
      <c r="E344">
        <v>18.848005928008099</v>
      </c>
      <c r="F344">
        <v>4.3799999999999999E-2</v>
      </c>
      <c r="G344">
        <v>0.1096</v>
      </c>
      <c r="H344">
        <v>6.5750000000000003E-2</v>
      </c>
      <c r="I344">
        <v>3943.7750000000001</v>
      </c>
      <c r="J344">
        <v>4786.67</v>
      </c>
    </row>
    <row r="345" spans="1:10">
      <c r="A345">
        <v>71</v>
      </c>
      <c r="B345">
        <v>6</v>
      </c>
      <c r="C345" t="s">
        <v>52</v>
      </c>
      <c r="D345">
        <v>-33.948447922403901</v>
      </c>
      <c r="E345">
        <v>18.848026791622701</v>
      </c>
      <c r="F345">
        <v>4.3799999999999999E-2</v>
      </c>
      <c r="G345">
        <v>0.1096</v>
      </c>
      <c r="H345">
        <v>6.5750000000000003E-2</v>
      </c>
      <c r="I345">
        <v>3785.817</v>
      </c>
      <c r="J345">
        <v>4628.7120000000004</v>
      </c>
    </row>
    <row r="346" spans="1:10">
      <c r="A346">
        <v>72</v>
      </c>
      <c r="B346">
        <v>6</v>
      </c>
      <c r="C346" t="s">
        <v>52</v>
      </c>
      <c r="D346">
        <v>-33.942902411105599</v>
      </c>
      <c r="E346">
        <v>18.8534219626729</v>
      </c>
      <c r="F346">
        <v>4.3799999999999999E-2</v>
      </c>
      <c r="G346">
        <v>0.1096</v>
      </c>
      <c r="H346">
        <v>6.5750000000000003E-2</v>
      </c>
      <c r="I346">
        <v>2419.029</v>
      </c>
      <c r="J346">
        <v>3533.9459999999999</v>
      </c>
    </row>
    <row r="347" spans="1:10">
      <c r="A347">
        <v>73</v>
      </c>
      <c r="B347">
        <v>6</v>
      </c>
      <c r="C347" t="s">
        <v>52</v>
      </c>
      <c r="D347">
        <v>-33.952521135284201</v>
      </c>
      <c r="E347">
        <v>18.853810707013398</v>
      </c>
      <c r="F347">
        <v>4.3799999999999999E-2</v>
      </c>
      <c r="G347">
        <v>0.1096</v>
      </c>
      <c r="H347">
        <v>6.5750000000000003E-2</v>
      </c>
      <c r="I347">
        <v>3804.277</v>
      </c>
      <c r="J347">
        <v>4647.1719999999996</v>
      </c>
    </row>
    <row r="348" spans="1:10">
      <c r="A348">
        <v>74</v>
      </c>
      <c r="B348">
        <v>6</v>
      </c>
      <c r="C348" t="s">
        <v>52</v>
      </c>
      <c r="D348">
        <v>-33.9457204999349</v>
      </c>
      <c r="E348">
        <v>18.8485422350462</v>
      </c>
      <c r="F348">
        <v>4.3799999999999999E-2</v>
      </c>
      <c r="G348">
        <v>0.1096</v>
      </c>
      <c r="H348">
        <v>6.5750000000000003E-2</v>
      </c>
      <c r="I348">
        <v>3160.0360000000001</v>
      </c>
      <c r="J348">
        <v>4002.931</v>
      </c>
    </row>
    <row r="349" spans="1:10">
      <c r="A349">
        <v>75</v>
      </c>
      <c r="B349">
        <v>6</v>
      </c>
      <c r="C349" t="s">
        <v>52</v>
      </c>
      <c r="D349">
        <v>-33.949365803051499</v>
      </c>
      <c r="E349">
        <v>18.843683076084801</v>
      </c>
      <c r="F349">
        <v>4.3799999999999999E-2</v>
      </c>
      <c r="G349">
        <v>0.1096</v>
      </c>
      <c r="H349">
        <v>6.5750000000000003E-2</v>
      </c>
      <c r="I349">
        <v>4023.5219999999999</v>
      </c>
      <c r="J349">
        <v>4866.4170000000004</v>
      </c>
    </row>
    <row r="350" spans="1:10">
      <c r="A350">
        <v>76</v>
      </c>
      <c r="B350">
        <v>6</v>
      </c>
      <c r="C350" t="s">
        <v>52</v>
      </c>
      <c r="D350">
        <v>-33.943128595752697</v>
      </c>
      <c r="E350">
        <v>18.847060523628102</v>
      </c>
      <c r="F350">
        <v>4.3799999999999999E-2</v>
      </c>
      <c r="G350">
        <v>0.1096</v>
      </c>
      <c r="H350">
        <v>6.5750000000000003E-2</v>
      </c>
      <c r="I350">
        <v>2881.0920000000001</v>
      </c>
      <c r="J350">
        <v>3361.2539999999999</v>
      </c>
    </row>
    <row r="351" spans="1:10">
      <c r="A351">
        <v>77</v>
      </c>
      <c r="B351">
        <v>6</v>
      </c>
      <c r="C351" t="s">
        <v>52</v>
      </c>
      <c r="D351">
        <v>-33.952129637043399</v>
      </c>
      <c r="E351">
        <v>18.8447212127992</v>
      </c>
      <c r="F351">
        <v>4.3799999999999999E-2</v>
      </c>
      <c r="G351">
        <v>0.1096</v>
      </c>
      <c r="H351">
        <v>6.5750000000000003E-2</v>
      </c>
      <c r="I351">
        <v>3851.797</v>
      </c>
      <c r="J351">
        <v>4694.6909999999998</v>
      </c>
    </row>
    <row r="352" spans="1:10">
      <c r="A352">
        <v>78</v>
      </c>
      <c r="B352">
        <v>6</v>
      </c>
      <c r="C352" t="s">
        <v>52</v>
      </c>
      <c r="D352">
        <v>-33.942945414411199</v>
      </c>
      <c r="E352">
        <v>18.8416443791888</v>
      </c>
      <c r="F352">
        <v>4.3799999999999999E-2</v>
      </c>
      <c r="G352">
        <v>0.1096</v>
      </c>
      <c r="H352">
        <v>6.5750000000000003E-2</v>
      </c>
      <c r="I352">
        <v>4036.1840000000002</v>
      </c>
      <c r="J352">
        <v>2185.2220000000002</v>
      </c>
    </row>
    <row r="353" spans="1:10">
      <c r="A353">
        <v>79</v>
      </c>
      <c r="B353">
        <v>6</v>
      </c>
      <c r="C353" t="s">
        <v>52</v>
      </c>
      <c r="D353">
        <v>-33.953130326515101</v>
      </c>
      <c r="E353">
        <v>18.8521141928254</v>
      </c>
      <c r="F353">
        <v>4.3799999999999999E-2</v>
      </c>
      <c r="G353">
        <v>0.1096</v>
      </c>
      <c r="H353">
        <v>6.5750000000000003E-2</v>
      </c>
      <c r="I353">
        <v>4069.7869999999998</v>
      </c>
      <c r="J353">
        <v>4912.6819999999998</v>
      </c>
    </row>
    <row r="354" spans="1:10">
      <c r="A354">
        <v>80</v>
      </c>
      <c r="B354">
        <v>6</v>
      </c>
      <c r="C354" t="s">
        <v>52</v>
      </c>
      <c r="D354">
        <v>-33.949532653256803</v>
      </c>
      <c r="E354">
        <v>18.850148808961801</v>
      </c>
      <c r="F354">
        <v>4.3799999999999999E-2</v>
      </c>
      <c r="G354">
        <v>0.1096</v>
      </c>
      <c r="H354">
        <v>6.5750000000000003E-2</v>
      </c>
      <c r="I354">
        <v>3557.28</v>
      </c>
      <c r="J354">
        <v>4400.1750000000002</v>
      </c>
    </row>
    <row r="355" spans="1:10">
      <c r="A355">
        <v>81</v>
      </c>
      <c r="B355">
        <v>6</v>
      </c>
      <c r="C355" t="s">
        <v>52</v>
      </c>
      <c r="D355">
        <v>-33.946052428053001</v>
      </c>
      <c r="E355">
        <v>18.842209360217598</v>
      </c>
      <c r="F355">
        <v>4.3799999999999999E-2</v>
      </c>
      <c r="G355">
        <v>0.1096</v>
      </c>
      <c r="H355">
        <v>6.5750000000000003E-2</v>
      </c>
      <c r="I355">
        <v>3755.2719999999999</v>
      </c>
      <c r="J355">
        <v>4598.1670000000004</v>
      </c>
    </row>
    <row r="356" spans="1:10">
      <c r="A356">
        <v>82</v>
      </c>
      <c r="B356">
        <v>6</v>
      </c>
      <c r="C356" t="s">
        <v>52</v>
      </c>
      <c r="D356">
        <v>-33.947473250302998</v>
      </c>
      <c r="E356">
        <v>18.854106117946099</v>
      </c>
      <c r="F356">
        <v>4.3799999999999999E-2</v>
      </c>
      <c r="G356">
        <v>0.1096</v>
      </c>
      <c r="H356">
        <v>6.5750000000000003E-2</v>
      </c>
      <c r="I356">
        <v>3293.683</v>
      </c>
      <c r="J356">
        <v>4136.5780000000004</v>
      </c>
    </row>
    <row r="357" spans="1:10">
      <c r="A357">
        <v>83</v>
      </c>
      <c r="B357">
        <v>6</v>
      </c>
      <c r="C357" t="s">
        <v>52</v>
      </c>
      <c r="D357">
        <v>-33.951973925726897</v>
      </c>
      <c r="E357">
        <v>18.8435853895398</v>
      </c>
      <c r="F357">
        <v>4.3799999999999999E-2</v>
      </c>
      <c r="G357">
        <v>0.1096</v>
      </c>
      <c r="H357">
        <v>6.5750000000000003E-2</v>
      </c>
      <c r="I357">
        <v>3851.797</v>
      </c>
      <c r="J357">
        <v>4694.6909999999998</v>
      </c>
    </row>
    <row r="358" spans="1:10">
      <c r="A358">
        <v>84</v>
      </c>
      <c r="B358">
        <v>6</v>
      </c>
      <c r="C358" t="s">
        <v>52</v>
      </c>
      <c r="D358">
        <v>-33.944877622479503</v>
      </c>
      <c r="E358">
        <v>18.852783455679599</v>
      </c>
      <c r="F358">
        <v>4.3799999999999999E-2</v>
      </c>
      <c r="G358">
        <v>0.1096</v>
      </c>
      <c r="H358">
        <v>6.5750000000000003E-2</v>
      </c>
      <c r="I358">
        <v>2762.8980000000001</v>
      </c>
      <c r="J358">
        <v>3605.7930000000001</v>
      </c>
    </row>
    <row r="359" spans="1:10">
      <c r="A359">
        <v>85</v>
      </c>
      <c r="B359">
        <v>6</v>
      </c>
      <c r="C359" t="s">
        <v>52</v>
      </c>
      <c r="D359">
        <v>-33.948947961060099</v>
      </c>
      <c r="E359">
        <v>18.847808956019598</v>
      </c>
      <c r="F359">
        <v>4.3799999999999999E-2</v>
      </c>
      <c r="G359">
        <v>0.1096</v>
      </c>
      <c r="H359">
        <v>6.5750000000000003E-2</v>
      </c>
      <c r="I359">
        <v>4011.5070000000001</v>
      </c>
      <c r="J359">
        <v>4854.402</v>
      </c>
    </row>
    <row r="360" spans="1:10">
      <c r="A360">
        <v>86</v>
      </c>
      <c r="B360">
        <v>6</v>
      </c>
      <c r="C360" t="s">
        <v>52</v>
      </c>
      <c r="D360">
        <v>-33.942963128816501</v>
      </c>
      <c r="E360">
        <v>18.851414615854001</v>
      </c>
      <c r="F360">
        <v>4.3799999999999999E-2</v>
      </c>
      <c r="G360">
        <v>0.1096</v>
      </c>
      <c r="H360">
        <v>6.5750000000000003E-2</v>
      </c>
      <c r="I360">
        <v>3107.5749999999998</v>
      </c>
      <c r="J360">
        <v>3950.47</v>
      </c>
    </row>
    <row r="361" spans="1:10">
      <c r="A361">
        <v>87</v>
      </c>
      <c r="B361">
        <v>6</v>
      </c>
      <c r="C361" t="s">
        <v>52</v>
      </c>
      <c r="D361">
        <v>-33.941968713815903</v>
      </c>
      <c r="E361">
        <v>18.851787051686902</v>
      </c>
      <c r="F361">
        <v>4.3799999999999999E-2</v>
      </c>
      <c r="G361">
        <v>0.1096</v>
      </c>
      <c r="H361">
        <v>6.5750000000000003E-2</v>
      </c>
      <c r="I361">
        <v>2427.4</v>
      </c>
      <c r="J361">
        <v>3270.2939999999999</v>
      </c>
    </row>
    <row r="362" spans="1:10">
      <c r="A362">
        <v>88</v>
      </c>
      <c r="B362">
        <v>6</v>
      </c>
      <c r="C362" t="s">
        <v>52</v>
      </c>
      <c r="D362">
        <v>-33.947441498181</v>
      </c>
      <c r="E362">
        <v>18.845023637026699</v>
      </c>
      <c r="F362">
        <v>4.3799999999999999E-2</v>
      </c>
      <c r="G362">
        <v>0.1096</v>
      </c>
      <c r="H362">
        <v>6.5750000000000003E-2</v>
      </c>
      <c r="I362">
        <v>4202.8159999999998</v>
      </c>
      <c r="J362">
        <v>5045.7110000000002</v>
      </c>
    </row>
    <row r="363" spans="1:10">
      <c r="A363">
        <v>89</v>
      </c>
      <c r="B363">
        <v>6</v>
      </c>
      <c r="C363" t="s">
        <v>52</v>
      </c>
      <c r="D363">
        <v>-33.953327937279496</v>
      </c>
      <c r="E363">
        <v>18.848562004591901</v>
      </c>
      <c r="F363">
        <v>4.3799999999999999E-2</v>
      </c>
      <c r="G363">
        <v>0.1096</v>
      </c>
      <c r="H363">
        <v>6.5750000000000003E-2</v>
      </c>
      <c r="I363">
        <v>3951.2089999999998</v>
      </c>
      <c r="J363">
        <v>4794.1040000000003</v>
      </c>
    </row>
    <row r="364" spans="1:10">
      <c r="A364">
        <v>90</v>
      </c>
      <c r="B364">
        <v>6</v>
      </c>
      <c r="C364" t="s">
        <v>52</v>
      </c>
      <c r="D364">
        <v>-33.945068465641199</v>
      </c>
      <c r="E364">
        <v>18.848700748129399</v>
      </c>
      <c r="F364">
        <v>4.3799999999999999E-2</v>
      </c>
      <c r="G364">
        <v>0.1096</v>
      </c>
      <c r="H364">
        <v>6.5750000000000003E-2</v>
      </c>
      <c r="I364">
        <v>3122.7069999999999</v>
      </c>
      <c r="J364">
        <v>3965.6019999999999</v>
      </c>
    </row>
    <row r="365" spans="1:10">
      <c r="A365">
        <v>91</v>
      </c>
      <c r="B365">
        <v>6</v>
      </c>
      <c r="C365" t="s">
        <v>52</v>
      </c>
      <c r="D365">
        <v>-33.949656132135999</v>
      </c>
      <c r="E365">
        <v>18.854359239372599</v>
      </c>
      <c r="F365">
        <v>4.3799999999999999E-2</v>
      </c>
      <c r="G365">
        <v>0.1096</v>
      </c>
      <c r="H365">
        <v>6.5750000000000003E-2</v>
      </c>
      <c r="I365">
        <v>3313.1970000000001</v>
      </c>
      <c r="J365">
        <v>4156.0919999999996</v>
      </c>
    </row>
    <row r="366" spans="1:10">
      <c r="A366">
        <v>92</v>
      </c>
      <c r="B366">
        <v>6</v>
      </c>
      <c r="C366" t="s">
        <v>52</v>
      </c>
      <c r="D366">
        <v>-33.941987359235902</v>
      </c>
      <c r="E366">
        <v>18.845722207554701</v>
      </c>
      <c r="F366">
        <v>4.3799999999999999E-2</v>
      </c>
      <c r="G366">
        <v>0.1096</v>
      </c>
      <c r="H366">
        <v>6.5750000000000003E-2</v>
      </c>
      <c r="I366">
        <v>2893.413</v>
      </c>
      <c r="J366">
        <v>3137.4180000000001</v>
      </c>
    </row>
    <row r="367" spans="1:10">
      <c r="A367">
        <v>93</v>
      </c>
      <c r="B367">
        <v>6</v>
      </c>
      <c r="C367" t="s">
        <v>52</v>
      </c>
      <c r="D367">
        <v>-33.9456278550131</v>
      </c>
      <c r="E367">
        <v>18.852076831335701</v>
      </c>
      <c r="F367">
        <v>4.3799999999999999E-2</v>
      </c>
      <c r="G367">
        <v>0.1096</v>
      </c>
      <c r="H367">
        <v>6.5750000000000003E-2</v>
      </c>
      <c r="I367">
        <v>3056.7809999999999</v>
      </c>
      <c r="J367">
        <v>3899.6759999999999</v>
      </c>
    </row>
    <row r="368" spans="1:10">
      <c r="A368">
        <v>94</v>
      </c>
      <c r="B368">
        <v>6</v>
      </c>
      <c r="C368" t="s">
        <v>52</v>
      </c>
      <c r="D368">
        <v>-33.943113877374003</v>
      </c>
      <c r="E368">
        <v>18.852172582140302</v>
      </c>
      <c r="F368">
        <v>4.3799999999999999E-2</v>
      </c>
      <c r="G368">
        <v>0.1096</v>
      </c>
      <c r="H368">
        <v>6.5750000000000003E-2</v>
      </c>
      <c r="I368">
        <v>2557.1979999999999</v>
      </c>
      <c r="J368">
        <v>3400.0929999999998</v>
      </c>
    </row>
    <row r="369" spans="1:10">
      <c r="A369">
        <v>95</v>
      </c>
      <c r="B369">
        <v>6</v>
      </c>
      <c r="C369" t="s">
        <v>52</v>
      </c>
      <c r="D369">
        <v>-33.954070152834902</v>
      </c>
      <c r="E369">
        <v>18.84459689809</v>
      </c>
      <c r="F369">
        <v>4.3799999999999999E-2</v>
      </c>
      <c r="G369">
        <v>0.1096</v>
      </c>
      <c r="H369">
        <v>6.5750000000000003E-2</v>
      </c>
      <c r="I369">
        <v>3964.0540000000001</v>
      </c>
      <c r="J369">
        <v>4806.9489999999996</v>
      </c>
    </row>
    <row r="370" spans="1:10">
      <c r="A370">
        <v>96</v>
      </c>
      <c r="B370">
        <v>6</v>
      </c>
      <c r="C370" t="s">
        <v>52</v>
      </c>
      <c r="D370">
        <v>-33.9502908036186</v>
      </c>
      <c r="E370">
        <v>18.849815015358001</v>
      </c>
      <c r="F370">
        <v>4.3799999999999999E-2</v>
      </c>
      <c r="G370">
        <v>0.1096</v>
      </c>
      <c r="H370">
        <v>6.5750000000000003E-2</v>
      </c>
      <c r="I370">
        <v>3671.66</v>
      </c>
      <c r="J370">
        <v>4514.5550000000003</v>
      </c>
    </row>
    <row r="371" spans="1:10">
      <c r="A371">
        <v>97</v>
      </c>
      <c r="B371">
        <v>6</v>
      </c>
      <c r="C371" t="s">
        <v>52</v>
      </c>
      <c r="D371">
        <v>-33.953142614641301</v>
      </c>
      <c r="E371">
        <v>18.848841877646301</v>
      </c>
      <c r="F371">
        <v>4.3799999999999999E-2</v>
      </c>
      <c r="G371">
        <v>0.1096</v>
      </c>
      <c r="H371">
        <v>6.5750000000000003E-2</v>
      </c>
      <c r="I371">
        <v>3954.7510000000002</v>
      </c>
      <c r="J371">
        <v>4797.6459999999997</v>
      </c>
    </row>
    <row r="372" spans="1:10">
      <c r="A372">
        <v>98</v>
      </c>
      <c r="B372">
        <v>6</v>
      </c>
      <c r="C372" t="s">
        <v>52</v>
      </c>
      <c r="D372">
        <v>-33.952974893915901</v>
      </c>
      <c r="E372">
        <v>18.849210026517</v>
      </c>
      <c r="F372">
        <v>4.3799999999999999E-2</v>
      </c>
      <c r="G372">
        <v>0.1096</v>
      </c>
      <c r="H372">
        <v>6.5750000000000003E-2</v>
      </c>
      <c r="I372">
        <v>3965.4160000000002</v>
      </c>
      <c r="J372">
        <v>4808.3109999999997</v>
      </c>
    </row>
    <row r="373" spans="1:10">
      <c r="A373">
        <v>99</v>
      </c>
      <c r="B373">
        <v>6</v>
      </c>
      <c r="C373" t="s">
        <v>52</v>
      </c>
      <c r="D373">
        <v>-33.949893034741599</v>
      </c>
      <c r="E373">
        <v>18.8480057381745</v>
      </c>
      <c r="F373">
        <v>4.3799999999999999E-2</v>
      </c>
      <c r="G373">
        <v>0.1096</v>
      </c>
      <c r="H373">
        <v>6.5750000000000003E-2</v>
      </c>
      <c r="I373">
        <v>3757.5390000000002</v>
      </c>
      <c r="J373">
        <v>4600.4340000000002</v>
      </c>
    </row>
    <row r="374" spans="1:10">
      <c r="A374">
        <v>100</v>
      </c>
      <c r="B374">
        <v>6</v>
      </c>
      <c r="C374" t="s">
        <v>52</v>
      </c>
      <c r="D374">
        <v>-33.945077687624298</v>
      </c>
      <c r="E374">
        <v>18.841866391652101</v>
      </c>
      <c r="F374">
        <v>4.3799999999999999E-2</v>
      </c>
      <c r="G374">
        <v>0.1096</v>
      </c>
      <c r="H374">
        <v>6.5750000000000003E-2</v>
      </c>
      <c r="I374">
        <v>3835.4949999999999</v>
      </c>
      <c r="J374">
        <v>4678.3900000000003</v>
      </c>
    </row>
    <row r="375" spans="1:10">
      <c r="A375">
        <v>101</v>
      </c>
      <c r="B375">
        <v>6</v>
      </c>
      <c r="C375" t="s">
        <v>52</v>
      </c>
      <c r="D375">
        <v>-33.951700177449901</v>
      </c>
      <c r="E375">
        <v>18.849593167808301</v>
      </c>
      <c r="F375">
        <v>4.3799999999999999E-2</v>
      </c>
      <c r="G375">
        <v>0.1096</v>
      </c>
      <c r="H375">
        <v>6.5750000000000003E-2</v>
      </c>
      <c r="I375">
        <v>3849.3240000000001</v>
      </c>
      <c r="J375">
        <v>4692.2190000000001</v>
      </c>
    </row>
    <row r="376" spans="1:10">
      <c r="A376">
        <v>102</v>
      </c>
      <c r="B376">
        <v>6</v>
      </c>
      <c r="C376" t="s">
        <v>52</v>
      </c>
      <c r="D376">
        <v>-33.948023474869103</v>
      </c>
      <c r="E376">
        <v>18.854158654093201</v>
      </c>
      <c r="F376">
        <v>4.3799999999999999E-2</v>
      </c>
      <c r="G376">
        <v>0.1096</v>
      </c>
      <c r="H376">
        <v>6.5750000000000003E-2</v>
      </c>
      <c r="I376">
        <v>3233.913</v>
      </c>
      <c r="J376">
        <v>4076.808</v>
      </c>
    </row>
    <row r="377" spans="1:10">
      <c r="A377">
        <v>103</v>
      </c>
      <c r="B377">
        <v>6</v>
      </c>
      <c r="C377" t="s">
        <v>52</v>
      </c>
      <c r="D377">
        <v>-33.943810635860203</v>
      </c>
      <c r="E377">
        <v>18.848518789374101</v>
      </c>
      <c r="F377">
        <v>4.3799999999999999E-2</v>
      </c>
      <c r="G377">
        <v>0.1096</v>
      </c>
      <c r="H377">
        <v>6.5750000000000003E-2</v>
      </c>
      <c r="I377">
        <v>3196.6489999999999</v>
      </c>
      <c r="J377">
        <v>4039.5439999999999</v>
      </c>
    </row>
    <row r="378" spans="1:10">
      <c r="A378">
        <v>104</v>
      </c>
      <c r="B378">
        <v>6</v>
      </c>
      <c r="C378" t="s">
        <v>52</v>
      </c>
      <c r="D378">
        <v>-33.953927169981597</v>
      </c>
      <c r="E378">
        <v>18.8547568068931</v>
      </c>
      <c r="F378">
        <v>4.3799999999999999E-2</v>
      </c>
      <c r="G378">
        <v>0.1096</v>
      </c>
      <c r="H378">
        <v>6.5750000000000003E-2</v>
      </c>
      <c r="I378">
        <v>4033.02</v>
      </c>
      <c r="J378">
        <v>4875.9139999999998</v>
      </c>
    </row>
    <row r="379" spans="1:10">
      <c r="A379">
        <v>105</v>
      </c>
      <c r="B379">
        <v>6</v>
      </c>
      <c r="C379" t="s">
        <v>52</v>
      </c>
      <c r="D379">
        <v>-33.942822279513102</v>
      </c>
      <c r="E379">
        <v>18.8499374491685</v>
      </c>
      <c r="F379">
        <v>4.3799999999999999E-2</v>
      </c>
      <c r="G379">
        <v>0.1096</v>
      </c>
      <c r="H379">
        <v>6.5750000000000003E-2</v>
      </c>
      <c r="I379">
        <v>3097.49</v>
      </c>
      <c r="J379">
        <v>3940.384</v>
      </c>
    </row>
    <row r="380" spans="1:10">
      <c r="A380">
        <v>106</v>
      </c>
      <c r="B380">
        <v>6</v>
      </c>
      <c r="C380" t="s">
        <v>52</v>
      </c>
      <c r="D380">
        <v>-33.951684330402898</v>
      </c>
      <c r="E380">
        <v>18.847948697731301</v>
      </c>
      <c r="F380">
        <v>4.3799999999999999E-2</v>
      </c>
      <c r="G380">
        <v>0.1096</v>
      </c>
      <c r="H380">
        <v>6.5750000000000003E-2</v>
      </c>
      <c r="I380">
        <v>3959.3890000000001</v>
      </c>
      <c r="J380">
        <v>4802.2839999999997</v>
      </c>
    </row>
    <row r="381" spans="1:10">
      <c r="A381">
        <v>107</v>
      </c>
      <c r="B381">
        <v>6</v>
      </c>
      <c r="C381" t="s">
        <v>52</v>
      </c>
      <c r="D381">
        <v>-33.9533782784316</v>
      </c>
      <c r="E381">
        <v>18.8425516251841</v>
      </c>
      <c r="F381">
        <v>4.3799999999999999E-2</v>
      </c>
      <c r="G381">
        <v>0.1096</v>
      </c>
      <c r="H381">
        <v>6.5750000000000003E-2</v>
      </c>
      <c r="I381">
        <v>4005.4380000000001</v>
      </c>
      <c r="J381">
        <v>4848.3320000000003</v>
      </c>
    </row>
    <row r="382" spans="1:10">
      <c r="A382">
        <v>108</v>
      </c>
      <c r="B382">
        <v>6</v>
      </c>
      <c r="C382" t="s">
        <v>52</v>
      </c>
      <c r="D382">
        <v>-33.9435750603879</v>
      </c>
      <c r="E382">
        <v>18.841258702560499</v>
      </c>
      <c r="F382">
        <v>4.3799999999999999E-2</v>
      </c>
      <c r="G382">
        <v>0.1096</v>
      </c>
      <c r="H382">
        <v>6.5750000000000003E-2</v>
      </c>
      <c r="I382">
        <v>3895.9169999999999</v>
      </c>
      <c r="J382">
        <v>2044.9559999999999</v>
      </c>
    </row>
    <row r="383" spans="1:10">
      <c r="A383">
        <v>0</v>
      </c>
      <c r="B383">
        <v>7</v>
      </c>
      <c r="C383" t="s">
        <v>51</v>
      </c>
      <c r="D383">
        <v>-33.9221019205687</v>
      </c>
      <c r="E383">
        <v>18.883778790581399</v>
      </c>
      <c r="F383">
        <v>4.3799999999999999E-2</v>
      </c>
      <c r="G383">
        <v>0.1096</v>
      </c>
      <c r="H383">
        <v>6.5750000000000003E-2</v>
      </c>
      <c r="I383">
        <v>2129.96</v>
      </c>
      <c r="J383">
        <v>7188.375</v>
      </c>
    </row>
    <row r="384" spans="1:10">
      <c r="A384">
        <v>1</v>
      </c>
      <c r="B384">
        <v>7</v>
      </c>
      <c r="C384" t="s">
        <v>51</v>
      </c>
      <c r="D384">
        <v>-33.920866150752197</v>
      </c>
      <c r="E384">
        <v>18.8752234110713</v>
      </c>
      <c r="F384">
        <v>4.3799999999999999E-2</v>
      </c>
      <c r="G384">
        <v>0.1096</v>
      </c>
      <c r="H384">
        <v>6.5750000000000003E-2</v>
      </c>
      <c r="I384">
        <v>4347.1239999999998</v>
      </c>
      <c r="J384">
        <v>7573.3249999999998</v>
      </c>
    </row>
    <row r="385" spans="1:10">
      <c r="A385">
        <v>2</v>
      </c>
      <c r="B385">
        <v>7</v>
      </c>
      <c r="C385" t="s">
        <v>51</v>
      </c>
      <c r="D385">
        <v>-33.924751471462997</v>
      </c>
      <c r="E385">
        <v>18.883679940215199</v>
      </c>
      <c r="F385">
        <v>4.3799999999999999E-2</v>
      </c>
      <c r="G385">
        <v>0.1096</v>
      </c>
      <c r="H385">
        <v>6.5750000000000003E-2</v>
      </c>
      <c r="I385">
        <v>1965.847</v>
      </c>
      <c r="J385">
        <v>7024.2619999999997</v>
      </c>
    </row>
    <row r="386" spans="1:10">
      <c r="A386">
        <v>3</v>
      </c>
      <c r="B386">
        <v>7</v>
      </c>
      <c r="C386" t="s">
        <v>51</v>
      </c>
      <c r="D386">
        <v>-33.9228628050925</v>
      </c>
      <c r="E386">
        <v>18.876005490519599</v>
      </c>
      <c r="F386">
        <v>4.3799999999999999E-2</v>
      </c>
      <c r="G386">
        <v>0.1096</v>
      </c>
      <c r="H386">
        <v>6.5750000000000003E-2</v>
      </c>
      <c r="I386">
        <v>1983.2670000000001</v>
      </c>
      <c r="J386">
        <v>6380.2139999999999</v>
      </c>
    </row>
    <row r="387" spans="1:10">
      <c r="A387">
        <v>4</v>
      </c>
      <c r="B387">
        <v>7</v>
      </c>
      <c r="C387" t="s">
        <v>51</v>
      </c>
      <c r="D387">
        <v>-33.918540546141799</v>
      </c>
      <c r="E387">
        <v>18.8717432218886</v>
      </c>
      <c r="F387">
        <v>4.3799999999999999E-2</v>
      </c>
      <c r="G387">
        <v>0.1096</v>
      </c>
      <c r="H387">
        <v>6.5750000000000003E-2</v>
      </c>
      <c r="I387">
        <v>3479.9749999999999</v>
      </c>
      <c r="J387">
        <v>6706.1760000000004</v>
      </c>
    </row>
    <row r="388" spans="1:10">
      <c r="A388">
        <v>5</v>
      </c>
      <c r="B388">
        <v>7</v>
      </c>
      <c r="C388" t="s">
        <v>51</v>
      </c>
      <c r="D388">
        <v>-33.925259404355899</v>
      </c>
      <c r="E388">
        <v>18.8863446337064</v>
      </c>
      <c r="F388">
        <v>4.3799999999999999E-2</v>
      </c>
      <c r="G388">
        <v>0.1096</v>
      </c>
      <c r="H388">
        <v>6.5750000000000003E-2</v>
      </c>
      <c r="I388">
        <v>2215.8510000000001</v>
      </c>
      <c r="J388">
        <v>7274.2659999999996</v>
      </c>
    </row>
    <row r="389" spans="1:10">
      <c r="A389">
        <v>6</v>
      </c>
      <c r="B389">
        <v>7</v>
      </c>
      <c r="C389" t="s">
        <v>51</v>
      </c>
      <c r="D389">
        <v>-33.9230361831099</v>
      </c>
      <c r="E389">
        <v>18.881848141199399</v>
      </c>
      <c r="F389">
        <v>4.3799999999999999E-2</v>
      </c>
      <c r="G389">
        <v>0.1096</v>
      </c>
      <c r="H389">
        <v>6.5750000000000003E-2</v>
      </c>
      <c r="I389">
        <v>1957.5</v>
      </c>
      <c r="J389">
        <v>7015.9139999999998</v>
      </c>
    </row>
    <row r="390" spans="1:10">
      <c r="A390">
        <v>7</v>
      </c>
      <c r="B390">
        <v>7</v>
      </c>
      <c r="C390" t="s">
        <v>51</v>
      </c>
      <c r="D390">
        <v>-33.921906417180502</v>
      </c>
      <c r="E390">
        <v>18.8945827688711</v>
      </c>
      <c r="F390">
        <v>4.3799999999999999E-2</v>
      </c>
      <c r="G390">
        <v>0.1096</v>
      </c>
      <c r="H390">
        <v>6.5750000000000003E-2</v>
      </c>
      <c r="I390">
        <v>3382.1880000000001</v>
      </c>
      <c r="J390">
        <v>8440.6029999999992</v>
      </c>
    </row>
    <row r="391" spans="1:10">
      <c r="A391">
        <v>8</v>
      </c>
      <c r="B391">
        <v>7</v>
      </c>
      <c r="C391" t="s">
        <v>51</v>
      </c>
      <c r="D391">
        <v>-33.9218756672322</v>
      </c>
      <c r="E391">
        <v>18.882516252412199</v>
      </c>
      <c r="F391">
        <v>4.3799999999999999E-2</v>
      </c>
      <c r="G391">
        <v>0.1096</v>
      </c>
      <c r="H391">
        <v>6.5750000000000003E-2</v>
      </c>
      <c r="I391">
        <v>2026.89</v>
      </c>
      <c r="J391">
        <v>7085.3050000000003</v>
      </c>
    </row>
    <row r="392" spans="1:10">
      <c r="A392">
        <v>9</v>
      </c>
      <c r="B392">
        <v>7</v>
      </c>
      <c r="C392" t="s">
        <v>51</v>
      </c>
      <c r="D392">
        <v>-33.920046362045802</v>
      </c>
      <c r="E392">
        <v>18.893713406942201</v>
      </c>
      <c r="F392">
        <v>4.3799999999999999E-2</v>
      </c>
      <c r="G392">
        <v>0.1096</v>
      </c>
      <c r="H392">
        <v>6.5750000000000003E-2</v>
      </c>
      <c r="I392">
        <v>3474.1750000000002</v>
      </c>
      <c r="J392">
        <v>8532.59</v>
      </c>
    </row>
    <row r="393" spans="1:10">
      <c r="A393">
        <v>10</v>
      </c>
      <c r="B393">
        <v>7</v>
      </c>
      <c r="C393" t="s">
        <v>51</v>
      </c>
      <c r="D393">
        <v>-33.921515389289702</v>
      </c>
      <c r="E393">
        <v>18.884038260784099</v>
      </c>
      <c r="F393">
        <v>4.3799999999999999E-2</v>
      </c>
      <c r="G393">
        <v>0.1096</v>
      </c>
      <c r="H393">
        <v>6.5750000000000003E-2</v>
      </c>
      <c r="I393">
        <v>1858.59035699225</v>
      </c>
      <c r="J393">
        <v>6484.3303216172098</v>
      </c>
    </row>
    <row r="394" spans="1:10">
      <c r="A394">
        <v>11</v>
      </c>
      <c r="B394">
        <v>7</v>
      </c>
      <c r="C394" t="s">
        <v>51</v>
      </c>
      <c r="D394">
        <v>-33.920206167219199</v>
      </c>
      <c r="E394">
        <v>18.875697210253598</v>
      </c>
      <c r="F394">
        <v>4.3799999999999999E-2</v>
      </c>
      <c r="G394">
        <v>0.1096</v>
      </c>
      <c r="H394">
        <v>6.5750000000000003E-2</v>
      </c>
      <c r="I394">
        <v>1547.9065376620499</v>
      </c>
      <c r="J394">
        <v>5871.8616629263097</v>
      </c>
    </row>
    <row r="395" spans="1:10">
      <c r="A395">
        <v>12</v>
      </c>
      <c r="B395">
        <v>7</v>
      </c>
      <c r="C395" t="s">
        <v>51</v>
      </c>
      <c r="D395">
        <v>-33.924341679682001</v>
      </c>
      <c r="E395">
        <v>18.894205278219399</v>
      </c>
      <c r="F395">
        <v>4.3799999999999999E-2</v>
      </c>
      <c r="G395">
        <v>0.1096</v>
      </c>
      <c r="H395">
        <v>6.5750000000000003E-2</v>
      </c>
      <c r="I395">
        <v>2475.0219872663502</v>
      </c>
      <c r="J395">
        <v>7227.2299430568</v>
      </c>
    </row>
    <row r="396" spans="1:10">
      <c r="A396">
        <v>13</v>
      </c>
      <c r="B396">
        <v>7</v>
      </c>
      <c r="C396" t="s">
        <v>51</v>
      </c>
      <c r="D396">
        <v>-33.924881921723497</v>
      </c>
      <c r="E396">
        <v>18.885988501394898</v>
      </c>
      <c r="F396">
        <v>4.3799999999999999E-2</v>
      </c>
      <c r="G396">
        <v>0.1096</v>
      </c>
      <c r="H396">
        <v>6.5750000000000003E-2</v>
      </c>
      <c r="I396">
        <v>1770.8092617866901</v>
      </c>
      <c r="J396">
        <v>6496.7750693325997</v>
      </c>
    </row>
    <row r="397" spans="1:10">
      <c r="A397">
        <v>14</v>
      </c>
      <c r="B397">
        <v>7</v>
      </c>
      <c r="C397" t="s">
        <v>51</v>
      </c>
      <c r="D397">
        <v>-33.924490392132803</v>
      </c>
      <c r="E397">
        <v>18.891762494448599</v>
      </c>
      <c r="F397">
        <v>4.3799999999999999E-2</v>
      </c>
      <c r="G397">
        <v>0.1096</v>
      </c>
      <c r="H397">
        <v>6.5750000000000003E-2</v>
      </c>
      <c r="I397">
        <v>2262.25715984404</v>
      </c>
      <c r="J397">
        <v>7009.8214405408298</v>
      </c>
    </row>
    <row r="398" spans="1:10">
      <c r="A398">
        <v>15</v>
      </c>
      <c r="B398">
        <v>7</v>
      </c>
      <c r="C398" t="s">
        <v>51</v>
      </c>
      <c r="D398">
        <v>-33.921859674275801</v>
      </c>
      <c r="E398">
        <v>18.8943003533332</v>
      </c>
      <c r="F398">
        <v>4.3799999999999999E-2</v>
      </c>
      <c r="G398">
        <v>0.1096</v>
      </c>
      <c r="H398">
        <v>6.5750000000000003E-2</v>
      </c>
      <c r="I398">
        <v>2604.7411308594901</v>
      </c>
      <c r="J398">
        <v>7335.9496676004601</v>
      </c>
    </row>
    <row r="399" spans="1:10">
      <c r="A399">
        <v>16</v>
      </c>
      <c r="B399">
        <v>7</v>
      </c>
      <c r="C399" t="s">
        <v>51</v>
      </c>
      <c r="D399">
        <v>-33.919115766861601</v>
      </c>
      <c r="E399">
        <v>18.873772283457601</v>
      </c>
      <c r="F399">
        <v>4.3799999999999999E-2</v>
      </c>
      <c r="G399">
        <v>0.1096</v>
      </c>
      <c r="H399">
        <v>6.5750000000000003E-2</v>
      </c>
      <c r="I399">
        <v>1610.39619096454</v>
      </c>
      <c r="J399">
        <v>5782.9117257958897</v>
      </c>
    </row>
    <row r="400" spans="1:10">
      <c r="A400">
        <v>17</v>
      </c>
      <c r="B400">
        <v>7</v>
      </c>
      <c r="C400" t="s">
        <v>51</v>
      </c>
      <c r="D400">
        <v>-33.925434678795398</v>
      </c>
      <c r="E400">
        <v>18.885504643531402</v>
      </c>
      <c r="F400">
        <v>4.3799999999999999E-2</v>
      </c>
      <c r="G400">
        <v>0.1096</v>
      </c>
      <c r="H400">
        <v>6.5750000000000003E-2</v>
      </c>
      <c r="I400">
        <v>1700.8059814555299</v>
      </c>
      <c r="J400">
        <v>6432.2214501254202</v>
      </c>
    </row>
    <row r="401" spans="1:10">
      <c r="A401">
        <v>18</v>
      </c>
      <c r="B401">
        <v>7</v>
      </c>
      <c r="C401" t="s">
        <v>51</v>
      </c>
      <c r="D401">
        <v>-33.9256678479736</v>
      </c>
      <c r="E401">
        <v>18.8725924894709</v>
      </c>
      <c r="F401">
        <v>4.3799999999999999E-2</v>
      </c>
      <c r="G401">
        <v>0.1096</v>
      </c>
      <c r="H401">
        <v>6.5750000000000003E-2</v>
      </c>
      <c r="I401">
        <v>880.05563592901899</v>
      </c>
      <c r="J401">
        <v>5330.09148294233</v>
      </c>
    </row>
    <row r="402" spans="1:10">
      <c r="A402">
        <v>19</v>
      </c>
      <c r="B402">
        <v>7</v>
      </c>
      <c r="C402" t="s">
        <v>51</v>
      </c>
      <c r="D402">
        <v>-33.921035242324898</v>
      </c>
      <c r="E402">
        <v>18.891032210186701</v>
      </c>
      <c r="F402">
        <v>4.3799999999999999E-2</v>
      </c>
      <c r="G402">
        <v>0.1096</v>
      </c>
      <c r="H402">
        <v>6.5750000000000003E-2</v>
      </c>
      <c r="I402">
        <v>2395.0513353637998</v>
      </c>
      <c r="J402">
        <v>7093.90598933601</v>
      </c>
    </row>
    <row r="403" spans="1:10">
      <c r="A403">
        <v>20</v>
      </c>
      <c r="B403">
        <v>7</v>
      </c>
      <c r="C403" t="s">
        <v>51</v>
      </c>
      <c r="D403">
        <v>-33.923756484985901</v>
      </c>
      <c r="E403">
        <v>18.8916694240827</v>
      </c>
      <c r="F403">
        <v>4.3799999999999999E-2</v>
      </c>
      <c r="G403">
        <v>0.1096</v>
      </c>
      <c r="H403">
        <v>6.5750000000000003E-2</v>
      </c>
      <c r="I403">
        <v>2290.66423528212</v>
      </c>
      <c r="J403">
        <v>7031.3015131223501</v>
      </c>
    </row>
    <row r="404" spans="1:10">
      <c r="A404">
        <v>21</v>
      </c>
      <c r="B404">
        <v>7</v>
      </c>
      <c r="C404" t="s">
        <v>51</v>
      </c>
      <c r="D404">
        <v>-33.923026073378701</v>
      </c>
      <c r="E404">
        <v>18.877281998806001</v>
      </c>
      <c r="F404">
        <v>4.3799999999999999E-2</v>
      </c>
      <c r="G404">
        <v>0.1096</v>
      </c>
      <c r="H404">
        <v>6.5750000000000003E-2</v>
      </c>
      <c r="I404">
        <v>1332.25051695466</v>
      </c>
      <c r="J404">
        <v>5849.7375124316004</v>
      </c>
    </row>
    <row r="405" spans="1:10">
      <c r="A405">
        <v>22</v>
      </c>
      <c r="B405">
        <v>7</v>
      </c>
      <c r="C405" t="s">
        <v>51</v>
      </c>
      <c r="D405">
        <v>-33.925923693957301</v>
      </c>
      <c r="E405">
        <v>18.8817138218525</v>
      </c>
      <c r="F405">
        <v>4.3799999999999999E-2</v>
      </c>
      <c r="G405">
        <v>0.1096</v>
      </c>
      <c r="H405">
        <v>6.5750000000000003E-2</v>
      </c>
      <c r="I405">
        <v>1377.2221510015399</v>
      </c>
      <c r="J405">
        <v>6086.8982740291203</v>
      </c>
    </row>
    <row r="406" spans="1:10">
      <c r="A406">
        <v>23</v>
      </c>
      <c r="B406">
        <v>7</v>
      </c>
      <c r="C406" t="s">
        <v>51</v>
      </c>
      <c r="D406">
        <v>-33.9257597881872</v>
      </c>
      <c r="E406">
        <v>18.888991832106299</v>
      </c>
      <c r="F406">
        <v>4.3799999999999999E-2</v>
      </c>
      <c r="G406">
        <v>0.1096</v>
      </c>
      <c r="H406">
        <v>6.5750000000000003E-2</v>
      </c>
      <c r="I406">
        <v>1970.2268044206801</v>
      </c>
      <c r="J406">
        <v>6720.0704746985202</v>
      </c>
    </row>
    <row r="407" spans="1:10">
      <c r="A407">
        <v>24</v>
      </c>
      <c r="B407">
        <v>7</v>
      </c>
      <c r="C407" t="s">
        <v>51</v>
      </c>
      <c r="D407">
        <v>-33.9257649067751</v>
      </c>
      <c r="E407">
        <v>18.884771773025602</v>
      </c>
      <c r="F407">
        <v>4.3799999999999999E-2</v>
      </c>
      <c r="G407">
        <v>0.1096</v>
      </c>
      <c r="H407">
        <v>6.5750000000000003E-2</v>
      </c>
      <c r="I407">
        <v>1623.7500833440699</v>
      </c>
      <c r="J407">
        <v>6355.6149082517504</v>
      </c>
    </row>
    <row r="408" spans="1:10">
      <c r="A408">
        <v>25</v>
      </c>
      <c r="B408">
        <v>7</v>
      </c>
      <c r="C408" t="s">
        <v>51</v>
      </c>
      <c r="D408">
        <v>-33.918388971616203</v>
      </c>
      <c r="E408">
        <v>18.8766921958842</v>
      </c>
      <c r="F408">
        <v>4.3799999999999999E-2</v>
      </c>
      <c r="G408">
        <v>0.1096</v>
      </c>
      <c r="H408">
        <v>6.5750000000000003E-2</v>
      </c>
      <c r="I408">
        <v>1769.36144884436</v>
      </c>
      <c r="J408">
        <v>6054.8718567945998</v>
      </c>
    </row>
    <row r="409" spans="1:10">
      <c r="A409">
        <v>26</v>
      </c>
      <c r="B409">
        <v>7</v>
      </c>
      <c r="C409" t="s">
        <v>51</v>
      </c>
      <c r="D409">
        <v>-33.923358384909598</v>
      </c>
      <c r="E409">
        <v>18.885271391502201</v>
      </c>
      <c r="F409">
        <v>4.3799999999999999E-2</v>
      </c>
      <c r="G409">
        <v>0.1096</v>
      </c>
      <c r="H409">
        <v>6.5750000000000003E-2</v>
      </c>
      <c r="I409">
        <v>1811.4227288473501</v>
      </c>
      <c r="J409">
        <v>6501.8671516743898</v>
      </c>
    </row>
    <row r="410" spans="1:10">
      <c r="A410">
        <v>27</v>
      </c>
      <c r="B410">
        <v>7</v>
      </c>
      <c r="C410" t="s">
        <v>51</v>
      </c>
      <c r="D410">
        <v>-33.922369950814598</v>
      </c>
      <c r="E410">
        <v>18.879608168351002</v>
      </c>
      <c r="F410">
        <v>4.3799999999999999E-2</v>
      </c>
      <c r="G410">
        <v>0.1096</v>
      </c>
      <c r="H410">
        <v>6.5750000000000003E-2</v>
      </c>
      <c r="I410">
        <v>1514.7980347361599</v>
      </c>
      <c r="J410">
        <v>6074.7058939212202</v>
      </c>
    </row>
    <row r="411" spans="1:10">
      <c r="A411">
        <v>28</v>
      </c>
      <c r="B411">
        <v>7</v>
      </c>
      <c r="C411" t="s">
        <v>51</v>
      </c>
      <c r="D411">
        <v>-33.920405825476699</v>
      </c>
      <c r="E411">
        <v>18.887844735830601</v>
      </c>
      <c r="F411">
        <v>4.3799999999999999E-2</v>
      </c>
      <c r="G411">
        <v>0.1096</v>
      </c>
      <c r="H411">
        <v>6.5750000000000003E-2</v>
      </c>
      <c r="I411">
        <v>2202.4133570873801</v>
      </c>
      <c r="J411">
        <v>6855.2461046082499</v>
      </c>
    </row>
    <row r="412" spans="1:10">
      <c r="A412">
        <v>29</v>
      </c>
      <c r="B412">
        <v>7</v>
      </c>
      <c r="C412" t="s">
        <v>51</v>
      </c>
      <c r="D412">
        <v>-33.921158178955302</v>
      </c>
      <c r="E412">
        <v>18.886143392132499</v>
      </c>
      <c r="F412">
        <v>4.3799999999999999E-2</v>
      </c>
      <c r="G412">
        <v>0.1096</v>
      </c>
      <c r="H412">
        <v>6.5750000000000003E-2</v>
      </c>
      <c r="I412">
        <v>2028.5671518920799</v>
      </c>
      <c r="J412">
        <v>6677.1359277607398</v>
      </c>
    </row>
    <row r="413" spans="1:10">
      <c r="A413">
        <v>30</v>
      </c>
      <c r="B413">
        <v>7</v>
      </c>
      <c r="C413" t="s">
        <v>51</v>
      </c>
      <c r="D413">
        <v>-33.9236309376737</v>
      </c>
      <c r="E413">
        <v>18.891768233374201</v>
      </c>
      <c r="F413">
        <v>4.3799999999999999E-2</v>
      </c>
      <c r="G413">
        <v>0.1096</v>
      </c>
      <c r="H413">
        <v>6.5750000000000003E-2</v>
      </c>
      <c r="I413">
        <v>2305.1973910509801</v>
      </c>
      <c r="J413">
        <v>7044.9359022216504</v>
      </c>
    </row>
    <row r="414" spans="1:10">
      <c r="A414">
        <v>31</v>
      </c>
      <c r="B414">
        <v>7</v>
      </c>
      <c r="C414" t="s">
        <v>51</v>
      </c>
      <c r="D414">
        <v>-33.924588884976998</v>
      </c>
      <c r="E414">
        <v>18.888773714481001</v>
      </c>
      <c r="F414">
        <v>4.3799999999999999E-2</v>
      </c>
      <c r="G414">
        <v>0.1096</v>
      </c>
      <c r="H414">
        <v>6.5750000000000003E-2</v>
      </c>
      <c r="I414">
        <v>2010.4914430598601</v>
      </c>
      <c r="J414">
        <v>6748.0654745708998</v>
      </c>
    </row>
    <row r="415" spans="1:10">
      <c r="A415">
        <v>32</v>
      </c>
      <c r="B415">
        <v>7</v>
      </c>
      <c r="C415" t="s">
        <v>51</v>
      </c>
      <c r="D415">
        <v>-33.923001515412402</v>
      </c>
      <c r="E415">
        <v>18.889533634818399</v>
      </c>
      <c r="F415">
        <v>4.3799999999999999E-2</v>
      </c>
      <c r="G415">
        <v>0.1096</v>
      </c>
      <c r="H415">
        <v>6.5750000000000003E-2</v>
      </c>
      <c r="I415">
        <v>2159.70466967414</v>
      </c>
      <c r="J415">
        <v>6879.8721780039896</v>
      </c>
    </row>
    <row r="416" spans="1:10">
      <c r="A416">
        <v>33</v>
      </c>
      <c r="B416">
        <v>7</v>
      </c>
      <c r="C416" t="s">
        <v>51</v>
      </c>
      <c r="D416">
        <v>-33.919655388966497</v>
      </c>
      <c r="E416">
        <v>18.871546886573</v>
      </c>
      <c r="F416">
        <v>4.3799999999999999E-2</v>
      </c>
      <c r="G416">
        <v>0.1096</v>
      </c>
      <c r="H416">
        <v>6.5750000000000003E-2</v>
      </c>
      <c r="I416">
        <v>1515.1007027117</v>
      </c>
      <c r="J416">
        <v>5577.17847509076</v>
      </c>
    </row>
    <row r="417" spans="1:10">
      <c r="A417">
        <v>34</v>
      </c>
      <c r="B417">
        <v>7</v>
      </c>
      <c r="C417" t="s">
        <v>51</v>
      </c>
      <c r="D417">
        <v>-33.9225842844113</v>
      </c>
      <c r="E417">
        <v>18.880355246510199</v>
      </c>
      <c r="F417">
        <v>4.3799999999999999E-2</v>
      </c>
      <c r="G417">
        <v>0.1096</v>
      </c>
      <c r="H417">
        <v>6.5750000000000003E-2</v>
      </c>
      <c r="I417">
        <v>1539.42923589717</v>
      </c>
      <c r="J417">
        <v>6125.9495469171598</v>
      </c>
    </row>
    <row r="418" spans="1:10">
      <c r="A418">
        <v>35</v>
      </c>
      <c r="B418">
        <v>7</v>
      </c>
      <c r="C418" t="s">
        <v>51</v>
      </c>
      <c r="D418">
        <v>-33.919641238505598</v>
      </c>
      <c r="E418">
        <v>18.8785034600171</v>
      </c>
      <c r="F418">
        <v>4.3799999999999999E-2</v>
      </c>
      <c r="G418">
        <v>0.1096</v>
      </c>
      <c r="H418">
        <v>6.5750000000000003E-2</v>
      </c>
      <c r="I418">
        <v>1714.1326574084901</v>
      </c>
      <c r="J418">
        <v>6128.0696617845197</v>
      </c>
    </row>
    <row r="419" spans="1:10">
      <c r="A419">
        <v>36</v>
      </c>
      <c r="B419">
        <v>7</v>
      </c>
      <c r="C419" t="s">
        <v>51</v>
      </c>
      <c r="D419">
        <v>-33.925160552105403</v>
      </c>
      <c r="E419">
        <v>18.871587961240301</v>
      </c>
      <c r="F419">
        <v>4.3799999999999999E-2</v>
      </c>
      <c r="G419">
        <v>0.1096</v>
      </c>
      <c r="H419">
        <v>6.5750000000000003E-2</v>
      </c>
      <c r="I419">
        <v>911.27394238080797</v>
      </c>
      <c r="J419">
        <v>5272.6494620773601</v>
      </c>
    </row>
    <row r="420" spans="1:10">
      <c r="A420">
        <v>37</v>
      </c>
      <c r="B420">
        <v>7</v>
      </c>
      <c r="C420" t="s">
        <v>51</v>
      </c>
      <c r="D420">
        <v>-33.9200310646453</v>
      </c>
      <c r="E420">
        <v>18.889327767725799</v>
      </c>
      <c r="F420">
        <v>4.3799999999999999E-2</v>
      </c>
      <c r="G420">
        <v>0.1096</v>
      </c>
      <c r="H420">
        <v>6.5750000000000003E-2</v>
      </c>
      <c r="I420">
        <v>2334.80454861826</v>
      </c>
      <c r="J420">
        <v>6997.0879169724003</v>
      </c>
    </row>
    <row r="421" spans="1:10">
      <c r="A421">
        <v>38</v>
      </c>
      <c r="B421">
        <v>7</v>
      </c>
      <c r="C421" t="s">
        <v>51</v>
      </c>
      <c r="D421">
        <v>-33.9178744342803</v>
      </c>
      <c r="E421">
        <v>18.894524345059601</v>
      </c>
      <c r="F421">
        <v>4.3799999999999999E-2</v>
      </c>
      <c r="G421">
        <v>0.1096</v>
      </c>
      <c r="H421">
        <v>6.5750000000000003E-2</v>
      </c>
      <c r="I421">
        <v>2862.01509457569</v>
      </c>
      <c r="J421">
        <v>7534.3417225817602</v>
      </c>
    </row>
    <row r="422" spans="1:10">
      <c r="A422">
        <v>39</v>
      </c>
      <c r="B422">
        <v>7</v>
      </c>
      <c r="C422" t="s">
        <v>51</v>
      </c>
      <c r="D422">
        <v>-33.925168813678098</v>
      </c>
      <c r="E422">
        <v>18.876406621430402</v>
      </c>
      <c r="F422">
        <v>4.3799999999999999E-2</v>
      </c>
      <c r="G422">
        <v>0.1096</v>
      </c>
      <c r="H422">
        <v>6.5750000000000003E-2</v>
      </c>
      <c r="I422">
        <v>1088.9485159636599</v>
      </c>
      <c r="J422">
        <v>5671.9692550012396</v>
      </c>
    </row>
    <row r="423" spans="1:10">
      <c r="A423">
        <v>40</v>
      </c>
      <c r="B423">
        <v>7</v>
      </c>
      <c r="C423" t="s">
        <v>51</v>
      </c>
      <c r="D423">
        <v>-33.921454191143503</v>
      </c>
      <c r="E423">
        <v>18.8767827934767</v>
      </c>
      <c r="F423">
        <v>4.3799999999999999E-2</v>
      </c>
      <c r="G423">
        <v>0.1096</v>
      </c>
      <c r="H423">
        <v>6.5750000000000003E-2</v>
      </c>
      <c r="I423">
        <v>1461.90513675638</v>
      </c>
      <c r="J423">
        <v>5890.7043254153496</v>
      </c>
    </row>
    <row r="424" spans="1:10">
      <c r="A424">
        <v>41</v>
      </c>
      <c r="B424">
        <v>7</v>
      </c>
      <c r="C424" t="s">
        <v>51</v>
      </c>
      <c r="D424">
        <v>-33.919525753824402</v>
      </c>
      <c r="E424">
        <v>18.876592115293999</v>
      </c>
      <c r="F424">
        <v>4.3799999999999999E-2</v>
      </c>
      <c r="G424">
        <v>0.1096</v>
      </c>
      <c r="H424">
        <v>6.5750000000000003E-2</v>
      </c>
      <c r="I424">
        <v>1648.9844073693901</v>
      </c>
      <c r="J424">
        <v>5981.6105116520703</v>
      </c>
    </row>
    <row r="425" spans="1:10">
      <c r="A425">
        <v>42</v>
      </c>
      <c r="B425">
        <v>7</v>
      </c>
      <c r="C425" t="s">
        <v>51</v>
      </c>
      <c r="D425">
        <v>-33.919065944076202</v>
      </c>
      <c r="E425">
        <v>18.8851425204723</v>
      </c>
      <c r="F425">
        <v>4.3799999999999999E-2</v>
      </c>
      <c r="G425">
        <v>0.1096</v>
      </c>
      <c r="H425">
        <v>6.5750000000000003E-2</v>
      </c>
      <c r="I425">
        <v>2125.3287686839199</v>
      </c>
      <c r="J425">
        <v>6698.0397866100602</v>
      </c>
    </row>
    <row r="426" spans="1:10">
      <c r="A426">
        <v>43</v>
      </c>
      <c r="B426">
        <v>7</v>
      </c>
      <c r="C426" t="s">
        <v>51</v>
      </c>
      <c r="D426">
        <v>-33.9257344109906</v>
      </c>
      <c r="E426">
        <v>18.893133675166801</v>
      </c>
      <c r="F426">
        <v>4.3799999999999999E-2</v>
      </c>
      <c r="G426">
        <v>0.1096</v>
      </c>
      <c r="H426">
        <v>6.5750000000000003E-2</v>
      </c>
      <c r="I426">
        <v>2324.7351357779398</v>
      </c>
      <c r="J426">
        <v>7081.23298470999</v>
      </c>
    </row>
    <row r="427" spans="1:10">
      <c r="A427">
        <v>44</v>
      </c>
      <c r="B427">
        <v>7</v>
      </c>
      <c r="C427" t="s">
        <v>51</v>
      </c>
      <c r="D427">
        <v>-33.923652805582201</v>
      </c>
      <c r="E427">
        <v>18.879674885708098</v>
      </c>
      <c r="F427">
        <v>4.3799999999999999E-2</v>
      </c>
      <c r="G427">
        <v>0.1096</v>
      </c>
      <c r="H427">
        <v>6.5750000000000003E-2</v>
      </c>
      <c r="I427">
        <v>1408.3188346089901</v>
      </c>
      <c r="J427">
        <v>6017.4592752545204</v>
      </c>
    </row>
    <row r="428" spans="1:10">
      <c r="A428">
        <v>45</v>
      </c>
      <c r="B428">
        <v>7</v>
      </c>
      <c r="C428" t="s">
        <v>51</v>
      </c>
      <c r="D428">
        <v>-33.922913337068998</v>
      </c>
      <c r="E428">
        <v>18.877138234610999</v>
      </c>
      <c r="F428">
        <v>4.3799999999999999E-2</v>
      </c>
      <c r="G428">
        <v>0.1096</v>
      </c>
      <c r="H428">
        <v>6.5750000000000003E-2</v>
      </c>
      <c r="I428">
        <v>1335.96200920776</v>
      </c>
      <c r="J428">
        <v>5843.6140786135702</v>
      </c>
    </row>
    <row r="429" spans="1:10">
      <c r="A429">
        <v>46</v>
      </c>
      <c r="B429">
        <v>7</v>
      </c>
      <c r="C429" t="s">
        <v>51</v>
      </c>
      <c r="D429">
        <v>-33.925656196991703</v>
      </c>
      <c r="E429">
        <v>18.885314329210999</v>
      </c>
      <c r="F429">
        <v>4.3799999999999999E-2</v>
      </c>
      <c r="G429">
        <v>0.1096</v>
      </c>
      <c r="H429">
        <v>6.5750000000000003E-2</v>
      </c>
      <c r="I429">
        <v>1673.18624029176</v>
      </c>
      <c r="J429">
        <v>6406.7308618880197</v>
      </c>
    </row>
    <row r="430" spans="1:10">
      <c r="A430">
        <v>47</v>
      </c>
      <c r="B430">
        <v>7</v>
      </c>
      <c r="C430" t="s">
        <v>51</v>
      </c>
      <c r="D430">
        <v>-33.920126357851203</v>
      </c>
      <c r="E430">
        <v>18.877436178481101</v>
      </c>
      <c r="F430">
        <v>4.3799999999999999E-2</v>
      </c>
      <c r="G430">
        <v>0.1096</v>
      </c>
      <c r="H430">
        <v>6.5750000000000003E-2</v>
      </c>
      <c r="I430">
        <v>1620.83260159408</v>
      </c>
      <c r="J430">
        <v>6015.5662068944002</v>
      </c>
    </row>
    <row r="431" spans="1:10">
      <c r="A431">
        <v>48</v>
      </c>
      <c r="B431">
        <v>7</v>
      </c>
      <c r="C431" t="s">
        <v>51</v>
      </c>
      <c r="D431">
        <v>-33.9232598814338</v>
      </c>
      <c r="E431">
        <v>18.876255921566202</v>
      </c>
      <c r="F431">
        <v>4.3799999999999999E-2</v>
      </c>
      <c r="G431">
        <v>0.1096</v>
      </c>
      <c r="H431">
        <v>6.5750000000000003E-2</v>
      </c>
      <c r="I431">
        <v>1261.7811102935</v>
      </c>
      <c r="J431">
        <v>5753.3902061203298</v>
      </c>
    </row>
    <row r="432" spans="1:10">
      <c r="A432">
        <v>49</v>
      </c>
      <c r="B432">
        <v>7</v>
      </c>
      <c r="C432" t="s">
        <v>51</v>
      </c>
      <c r="D432">
        <v>-33.919238711242102</v>
      </c>
      <c r="E432">
        <v>18.8830744403236</v>
      </c>
      <c r="F432">
        <v>4.3799999999999999E-2</v>
      </c>
      <c r="G432">
        <v>0.1096</v>
      </c>
      <c r="H432">
        <v>6.5750000000000003E-2</v>
      </c>
      <c r="I432">
        <v>1986.3491268417599</v>
      </c>
      <c r="J432">
        <v>6519.8964506867496</v>
      </c>
    </row>
    <row r="433" spans="1:10">
      <c r="A433">
        <v>50</v>
      </c>
      <c r="B433">
        <v>7</v>
      </c>
      <c r="C433" t="s">
        <v>51</v>
      </c>
      <c r="D433">
        <v>-33.921015990468298</v>
      </c>
      <c r="E433">
        <v>18.887035291637801</v>
      </c>
      <c r="F433">
        <v>4.3799999999999999E-2</v>
      </c>
      <c r="G433">
        <v>0.1096</v>
      </c>
      <c r="H433">
        <v>6.5750000000000003E-2</v>
      </c>
      <c r="I433">
        <v>2101.4561063040001</v>
      </c>
      <c r="J433">
        <v>6758.4950388389898</v>
      </c>
    </row>
    <row r="434" spans="1:10">
      <c r="A434">
        <v>51</v>
      </c>
      <c r="B434">
        <v>7</v>
      </c>
      <c r="C434" t="s">
        <v>51</v>
      </c>
      <c r="D434">
        <v>-33.918051219529701</v>
      </c>
      <c r="E434">
        <v>18.887151887117401</v>
      </c>
      <c r="F434">
        <v>4.3799999999999999E-2</v>
      </c>
      <c r="G434">
        <v>0.1096</v>
      </c>
      <c r="H434">
        <v>6.5750000000000003E-2</v>
      </c>
      <c r="I434">
        <v>2334.7127604524098</v>
      </c>
      <c r="J434">
        <v>6915.0923111663496</v>
      </c>
    </row>
    <row r="435" spans="1:10">
      <c r="A435">
        <v>52</v>
      </c>
      <c r="B435">
        <v>7</v>
      </c>
      <c r="C435" t="s">
        <v>51</v>
      </c>
      <c r="D435">
        <v>-33.920131071826297</v>
      </c>
      <c r="E435">
        <v>18.871540440737899</v>
      </c>
      <c r="F435">
        <v>4.3799999999999999E-2</v>
      </c>
      <c r="G435">
        <v>0.1096</v>
      </c>
      <c r="H435">
        <v>6.5750000000000003E-2</v>
      </c>
      <c r="I435">
        <v>1462.5720205804801</v>
      </c>
      <c r="J435">
        <v>5548.0872779653801</v>
      </c>
    </row>
    <row r="436" spans="1:10">
      <c r="A436">
        <v>53</v>
      </c>
      <c r="B436">
        <v>7</v>
      </c>
      <c r="C436" t="s">
        <v>51</v>
      </c>
      <c r="D436">
        <v>-33.919187404643303</v>
      </c>
      <c r="E436">
        <v>18.874530882050301</v>
      </c>
      <c r="F436">
        <v>4.3799999999999999E-2</v>
      </c>
      <c r="G436">
        <v>0.1096</v>
      </c>
      <c r="H436">
        <v>6.5750000000000003E-2</v>
      </c>
      <c r="I436">
        <v>1620.7273590903501</v>
      </c>
      <c r="J436">
        <v>5838.1194887232396</v>
      </c>
    </row>
    <row r="437" spans="1:10">
      <c r="A437">
        <v>54</v>
      </c>
      <c r="B437">
        <v>7</v>
      </c>
      <c r="C437" t="s">
        <v>51</v>
      </c>
      <c r="D437">
        <v>-33.921508932686301</v>
      </c>
      <c r="E437">
        <v>18.883248713585498</v>
      </c>
      <c r="F437">
        <v>4.3799999999999999E-2</v>
      </c>
      <c r="G437">
        <v>0.1096</v>
      </c>
      <c r="H437">
        <v>6.5750000000000003E-2</v>
      </c>
      <c r="I437">
        <v>1807.5452779034499</v>
      </c>
      <c r="J437">
        <v>6418.9768204723096</v>
      </c>
    </row>
    <row r="438" spans="1:10">
      <c r="A438">
        <v>55</v>
      </c>
      <c r="B438">
        <v>7</v>
      </c>
      <c r="C438" t="s">
        <v>51</v>
      </c>
      <c r="D438">
        <v>-33.925477194639903</v>
      </c>
      <c r="E438">
        <v>18.893627661507999</v>
      </c>
      <c r="F438">
        <v>4.3799999999999999E-2</v>
      </c>
      <c r="G438">
        <v>0.1096</v>
      </c>
      <c r="H438">
        <v>6.5750000000000003E-2</v>
      </c>
      <c r="I438">
        <v>2377.66691503938</v>
      </c>
      <c r="J438">
        <v>7133.8772052821396</v>
      </c>
    </row>
    <row r="439" spans="1:10">
      <c r="A439">
        <v>56</v>
      </c>
      <c r="B439">
        <v>7</v>
      </c>
      <c r="C439" t="s">
        <v>51</v>
      </c>
      <c r="D439">
        <v>-33.925565810808102</v>
      </c>
      <c r="E439">
        <v>18.872075926652801</v>
      </c>
      <c r="F439">
        <v>4.3799999999999999E-2</v>
      </c>
      <c r="G439">
        <v>0.1096</v>
      </c>
      <c r="H439">
        <v>6.5750000000000003E-2</v>
      </c>
      <c r="I439">
        <v>1884.0160000000001</v>
      </c>
      <c r="J439">
        <v>5912.4930000000004</v>
      </c>
    </row>
    <row r="440" spans="1:10">
      <c r="A440">
        <v>57</v>
      </c>
      <c r="B440">
        <v>7</v>
      </c>
      <c r="C440" t="s">
        <v>51</v>
      </c>
      <c r="D440">
        <v>-33.917849626517501</v>
      </c>
      <c r="E440">
        <v>18.879152909708701</v>
      </c>
      <c r="F440">
        <v>4.3799999999999999E-2</v>
      </c>
      <c r="G440">
        <v>0.1096</v>
      </c>
      <c r="H440">
        <v>6.5750000000000003E-2</v>
      </c>
      <c r="I440">
        <v>3134.2779999999998</v>
      </c>
      <c r="J440">
        <v>7834.24</v>
      </c>
    </row>
    <row r="441" spans="1:10">
      <c r="A441">
        <v>58</v>
      </c>
      <c r="B441">
        <v>7</v>
      </c>
      <c r="C441" t="s">
        <v>51</v>
      </c>
      <c r="D441">
        <v>-33.919377146328102</v>
      </c>
      <c r="E441">
        <v>18.873218424416599</v>
      </c>
      <c r="F441">
        <v>4.3799999999999999E-2</v>
      </c>
      <c r="G441">
        <v>0.1096</v>
      </c>
      <c r="H441">
        <v>6.5750000000000003E-2</v>
      </c>
      <c r="I441">
        <v>4039.7649999999999</v>
      </c>
      <c r="J441">
        <v>7265.9650000000001</v>
      </c>
    </row>
    <row r="442" spans="1:10">
      <c r="A442">
        <v>59</v>
      </c>
      <c r="B442">
        <v>7</v>
      </c>
      <c r="C442" t="s">
        <v>51</v>
      </c>
      <c r="D442">
        <v>-33.922990694568199</v>
      </c>
      <c r="E442">
        <v>18.873392671234701</v>
      </c>
      <c r="F442">
        <v>4.3799999999999999E-2</v>
      </c>
      <c r="G442">
        <v>0.1096</v>
      </c>
      <c r="H442">
        <v>6.5750000000000003E-2</v>
      </c>
      <c r="I442">
        <v>1919.2819999999999</v>
      </c>
      <c r="J442">
        <v>6316.2290000000003</v>
      </c>
    </row>
    <row r="443" spans="1:10">
      <c r="A443">
        <v>60</v>
      </c>
      <c r="B443">
        <v>7</v>
      </c>
      <c r="C443" t="s">
        <v>51</v>
      </c>
      <c r="D443">
        <v>-33.918058984262998</v>
      </c>
      <c r="E443">
        <v>18.871487569248799</v>
      </c>
      <c r="F443">
        <v>4.3799999999999999E-2</v>
      </c>
      <c r="G443">
        <v>0.1096</v>
      </c>
      <c r="H443">
        <v>6.5750000000000003E-2</v>
      </c>
      <c r="I443">
        <v>3423.6410000000001</v>
      </c>
      <c r="J443">
        <v>6649.8419999999996</v>
      </c>
    </row>
    <row r="444" spans="1:10">
      <c r="A444">
        <v>61</v>
      </c>
      <c r="B444">
        <v>7</v>
      </c>
      <c r="C444" t="s">
        <v>51</v>
      </c>
      <c r="D444">
        <v>-33.918116250607</v>
      </c>
      <c r="E444">
        <v>18.8730634864867</v>
      </c>
      <c r="F444">
        <v>4.3799999999999999E-2</v>
      </c>
      <c r="G444">
        <v>0.1096</v>
      </c>
      <c r="H444">
        <v>6.5750000000000003E-2</v>
      </c>
      <c r="I444">
        <v>3657.2779999999998</v>
      </c>
      <c r="J444">
        <v>6883.4780000000001</v>
      </c>
    </row>
    <row r="445" spans="1:10">
      <c r="A445">
        <v>62</v>
      </c>
      <c r="B445">
        <v>7</v>
      </c>
      <c r="C445" t="s">
        <v>51</v>
      </c>
      <c r="D445">
        <v>-33.924430783319004</v>
      </c>
      <c r="E445">
        <v>18.890654931745502</v>
      </c>
      <c r="F445">
        <v>4.3799999999999999E-2</v>
      </c>
      <c r="G445">
        <v>0.1096</v>
      </c>
      <c r="H445">
        <v>6.5750000000000003E-2</v>
      </c>
      <c r="I445">
        <v>2634.799</v>
      </c>
      <c r="J445">
        <v>7693.2129999999997</v>
      </c>
    </row>
    <row r="446" spans="1:10">
      <c r="A446">
        <v>63</v>
      </c>
      <c r="B446">
        <v>7</v>
      </c>
      <c r="C446" t="s">
        <v>51</v>
      </c>
      <c r="D446">
        <v>-33.9200536048331</v>
      </c>
      <c r="E446">
        <v>18.8898943880106</v>
      </c>
      <c r="F446">
        <v>4.3799999999999999E-2</v>
      </c>
      <c r="G446">
        <v>0.1096</v>
      </c>
      <c r="H446">
        <v>6.5750000000000003E-2</v>
      </c>
      <c r="I446">
        <v>2905.174</v>
      </c>
      <c r="J446">
        <v>7963.5889999999999</v>
      </c>
    </row>
    <row r="447" spans="1:10">
      <c r="A447">
        <v>64</v>
      </c>
      <c r="B447">
        <v>7</v>
      </c>
      <c r="C447" t="s">
        <v>51</v>
      </c>
      <c r="D447">
        <v>-33.921850160470797</v>
      </c>
      <c r="E447">
        <v>18.888495189529699</v>
      </c>
      <c r="F447">
        <v>4.3799999999999999E-2</v>
      </c>
      <c r="G447">
        <v>0.1096</v>
      </c>
      <c r="H447">
        <v>6.5750000000000003E-2</v>
      </c>
      <c r="I447">
        <v>2598.8580000000002</v>
      </c>
      <c r="J447">
        <v>7657.2730000000001</v>
      </c>
    </row>
    <row r="448" spans="1:10">
      <c r="A448">
        <v>65</v>
      </c>
      <c r="B448">
        <v>7</v>
      </c>
      <c r="C448" t="s">
        <v>51</v>
      </c>
      <c r="D448">
        <v>-33.923094231643503</v>
      </c>
      <c r="E448">
        <v>18.891807141837699</v>
      </c>
      <c r="F448">
        <v>4.3799999999999999E-2</v>
      </c>
      <c r="G448">
        <v>0.1096</v>
      </c>
      <c r="H448">
        <v>6.5750000000000003E-2</v>
      </c>
      <c r="I448">
        <v>2916.32</v>
      </c>
      <c r="J448">
        <v>7974.7349999999997</v>
      </c>
    </row>
    <row r="449" spans="1:10">
      <c r="A449">
        <v>66</v>
      </c>
      <c r="B449">
        <v>7</v>
      </c>
      <c r="C449" t="s">
        <v>51</v>
      </c>
      <c r="D449">
        <v>-33.925678845800803</v>
      </c>
      <c r="E449">
        <v>18.876282496190601</v>
      </c>
      <c r="F449">
        <v>4.3799999999999999E-2</v>
      </c>
      <c r="G449">
        <v>0.1096</v>
      </c>
      <c r="H449">
        <v>6.5750000000000003E-2</v>
      </c>
      <c r="I449">
        <v>1520.0029999999999</v>
      </c>
      <c r="J449">
        <v>6336.3670000000002</v>
      </c>
    </row>
    <row r="450" spans="1:10">
      <c r="A450">
        <v>67</v>
      </c>
      <c r="B450">
        <v>7</v>
      </c>
      <c r="C450" t="s">
        <v>51</v>
      </c>
      <c r="D450">
        <v>-33.923748732083098</v>
      </c>
      <c r="E450">
        <v>18.891884873734</v>
      </c>
      <c r="F450">
        <v>4.3799999999999999E-2</v>
      </c>
      <c r="G450">
        <v>0.1096</v>
      </c>
      <c r="H450">
        <v>6.5750000000000003E-2</v>
      </c>
      <c r="I450">
        <v>2308.7982818718501</v>
      </c>
      <c r="J450">
        <v>7050.16900064533</v>
      </c>
    </row>
    <row r="451" spans="1:10">
      <c r="A451">
        <v>68</v>
      </c>
      <c r="B451">
        <v>7</v>
      </c>
      <c r="C451" t="s">
        <v>51</v>
      </c>
      <c r="D451">
        <v>-33.9247078782982</v>
      </c>
      <c r="E451">
        <v>18.879089836366699</v>
      </c>
      <c r="F451">
        <v>4.3799999999999999E-2</v>
      </c>
      <c r="G451">
        <v>0.1096</v>
      </c>
      <c r="H451">
        <v>6.5750000000000003E-2</v>
      </c>
      <c r="I451">
        <v>1284.9460848936001</v>
      </c>
      <c r="J451">
        <v>5918.6687222107103</v>
      </c>
    </row>
    <row r="452" spans="1:10">
      <c r="A452">
        <v>69</v>
      </c>
      <c r="B452">
        <v>7</v>
      </c>
      <c r="C452" t="s">
        <v>51</v>
      </c>
      <c r="D452">
        <v>-33.919353955623997</v>
      </c>
      <c r="E452">
        <v>18.887662966804498</v>
      </c>
      <c r="F452">
        <v>4.3799999999999999E-2</v>
      </c>
      <c r="G452">
        <v>0.1096</v>
      </c>
      <c r="H452">
        <v>6.5750000000000003E-2</v>
      </c>
      <c r="I452">
        <v>2267.1804299953601</v>
      </c>
      <c r="J452">
        <v>6891.32796109026</v>
      </c>
    </row>
    <row r="453" spans="1:10">
      <c r="A453">
        <v>70</v>
      </c>
      <c r="B453">
        <v>7</v>
      </c>
      <c r="C453" t="s">
        <v>51</v>
      </c>
      <c r="D453">
        <v>-33.925588817043703</v>
      </c>
      <c r="E453">
        <v>18.8822346224349</v>
      </c>
      <c r="F453">
        <v>4.3799999999999999E-2</v>
      </c>
      <c r="G453">
        <v>0.1096</v>
      </c>
      <c r="H453">
        <v>6.5750000000000003E-2</v>
      </c>
      <c r="I453">
        <v>1438.0779685058901</v>
      </c>
      <c r="J453">
        <v>6145.7197740218198</v>
      </c>
    </row>
    <row r="454" spans="1:10">
      <c r="A454">
        <v>71</v>
      </c>
      <c r="B454">
        <v>7</v>
      </c>
      <c r="C454" t="s">
        <v>51</v>
      </c>
      <c r="D454">
        <v>-33.922350933024497</v>
      </c>
      <c r="E454">
        <v>18.8822698620225</v>
      </c>
      <c r="F454">
        <v>4.3799999999999999E-2</v>
      </c>
      <c r="G454">
        <v>0.1096</v>
      </c>
      <c r="H454">
        <v>6.5750000000000003E-2</v>
      </c>
      <c r="I454">
        <v>2045.4090000000001</v>
      </c>
      <c r="J454">
        <v>7103.8230000000003</v>
      </c>
    </row>
    <row r="455" spans="1:10">
      <c r="A455">
        <v>72</v>
      </c>
      <c r="B455">
        <v>7</v>
      </c>
      <c r="C455" t="s">
        <v>51</v>
      </c>
      <c r="D455">
        <v>-33.918511495944799</v>
      </c>
      <c r="E455">
        <v>18.891382549698001</v>
      </c>
      <c r="F455">
        <v>4.3799999999999999E-2</v>
      </c>
      <c r="G455">
        <v>0.1096</v>
      </c>
      <c r="H455">
        <v>6.5750000000000003E-2</v>
      </c>
      <c r="I455">
        <v>3173.16</v>
      </c>
      <c r="J455">
        <v>8231.5750000000007</v>
      </c>
    </row>
    <row r="456" spans="1:10">
      <c r="A456">
        <v>73</v>
      </c>
      <c r="B456">
        <v>7</v>
      </c>
      <c r="C456" t="s">
        <v>51</v>
      </c>
      <c r="D456">
        <v>-33.925171023675198</v>
      </c>
      <c r="E456">
        <v>18.892039156453801</v>
      </c>
      <c r="F456">
        <v>4.3799999999999999E-2</v>
      </c>
      <c r="G456">
        <v>0.1096</v>
      </c>
      <c r="H456">
        <v>6.5750000000000003E-2</v>
      </c>
      <c r="I456">
        <v>2935.6480000000001</v>
      </c>
      <c r="J456">
        <v>7994.0619999999999</v>
      </c>
    </row>
    <row r="457" spans="1:10">
      <c r="A457">
        <v>74</v>
      </c>
      <c r="B457">
        <v>7</v>
      </c>
      <c r="C457" t="s">
        <v>51</v>
      </c>
      <c r="D457">
        <v>-33.920462600931003</v>
      </c>
      <c r="E457">
        <v>18.8831404692544</v>
      </c>
      <c r="F457">
        <v>4.3799999999999999E-2</v>
      </c>
      <c r="G457">
        <v>0.1096</v>
      </c>
      <c r="H457">
        <v>6.5750000000000003E-2</v>
      </c>
      <c r="I457">
        <v>2190.81</v>
      </c>
      <c r="J457">
        <v>7249.2250000000004</v>
      </c>
    </row>
    <row r="458" spans="1:10">
      <c r="A458">
        <v>75</v>
      </c>
      <c r="B458">
        <v>7</v>
      </c>
      <c r="C458" t="s">
        <v>51</v>
      </c>
      <c r="D458">
        <v>-33.922986428076797</v>
      </c>
      <c r="E458">
        <v>18.874933130215801</v>
      </c>
      <c r="F458">
        <v>4.3799999999999999E-2</v>
      </c>
      <c r="G458">
        <v>0.1096</v>
      </c>
      <c r="H458">
        <v>6.5750000000000003E-2</v>
      </c>
      <c r="I458">
        <v>2045.675</v>
      </c>
      <c r="J458">
        <v>6442.6220000000003</v>
      </c>
    </row>
    <row r="459" spans="1:10">
      <c r="A459">
        <v>76</v>
      </c>
      <c r="B459">
        <v>7</v>
      </c>
      <c r="C459" t="s">
        <v>51</v>
      </c>
      <c r="D459">
        <v>-33.918668094980298</v>
      </c>
      <c r="E459">
        <v>18.880637791720599</v>
      </c>
      <c r="F459">
        <v>4.3799999999999999E-2</v>
      </c>
      <c r="G459">
        <v>0.1096</v>
      </c>
      <c r="H459">
        <v>6.5750000000000003E-2</v>
      </c>
      <c r="I459">
        <v>2498.9749999999999</v>
      </c>
      <c r="J459">
        <v>7198.9359999999997</v>
      </c>
    </row>
    <row r="460" spans="1:10">
      <c r="A460">
        <v>77</v>
      </c>
      <c r="B460">
        <v>7</v>
      </c>
      <c r="C460" t="s">
        <v>51</v>
      </c>
      <c r="D460">
        <v>-33.924899969703503</v>
      </c>
      <c r="E460">
        <v>18.8766865900329</v>
      </c>
      <c r="F460">
        <v>4.3799999999999999E-2</v>
      </c>
      <c r="G460">
        <v>0.1096</v>
      </c>
      <c r="H460">
        <v>6.5750000000000003E-2</v>
      </c>
      <c r="I460">
        <v>1468.7470000000001</v>
      </c>
      <c r="J460">
        <v>6327.7629999999999</v>
      </c>
    </row>
    <row r="461" spans="1:10">
      <c r="A461">
        <v>78</v>
      </c>
      <c r="B461">
        <v>7</v>
      </c>
      <c r="C461" t="s">
        <v>51</v>
      </c>
      <c r="D461">
        <v>-33.9185412693015</v>
      </c>
      <c r="E461">
        <v>18.8714896790433</v>
      </c>
      <c r="F461">
        <v>4.3799999999999999E-2</v>
      </c>
      <c r="G461">
        <v>0.1096</v>
      </c>
      <c r="H461">
        <v>6.5750000000000003E-2</v>
      </c>
      <c r="I461">
        <v>3464.0169999999998</v>
      </c>
      <c r="J461">
        <v>6690.2169999999996</v>
      </c>
    </row>
    <row r="462" spans="1:10">
      <c r="A462">
        <v>79</v>
      </c>
      <c r="B462">
        <v>7</v>
      </c>
      <c r="C462" t="s">
        <v>51</v>
      </c>
      <c r="D462">
        <v>-33.9255927974801</v>
      </c>
      <c r="E462">
        <v>18.889173667336198</v>
      </c>
      <c r="F462">
        <v>4.3799999999999999E-2</v>
      </c>
      <c r="G462">
        <v>0.1096</v>
      </c>
      <c r="H462">
        <v>6.5750000000000003E-2</v>
      </c>
      <c r="I462">
        <v>2499.2220000000002</v>
      </c>
      <c r="J462">
        <v>7557.6369999999997</v>
      </c>
    </row>
    <row r="463" spans="1:10">
      <c r="A463">
        <v>80</v>
      </c>
      <c r="B463">
        <v>7</v>
      </c>
      <c r="C463" t="s">
        <v>51</v>
      </c>
      <c r="D463">
        <v>-33.923101946886597</v>
      </c>
      <c r="E463">
        <v>18.885854045188101</v>
      </c>
      <c r="F463">
        <v>4.3799999999999999E-2</v>
      </c>
      <c r="G463">
        <v>0.1096</v>
      </c>
      <c r="H463">
        <v>6.5750000000000003E-2</v>
      </c>
      <c r="I463">
        <v>2293.4050000000002</v>
      </c>
      <c r="J463">
        <v>7351.82</v>
      </c>
    </row>
    <row r="464" spans="1:10">
      <c r="A464">
        <v>81</v>
      </c>
      <c r="B464">
        <v>7</v>
      </c>
      <c r="C464" t="s">
        <v>51</v>
      </c>
      <c r="D464">
        <v>-33.920692411503097</v>
      </c>
      <c r="E464">
        <v>18.872443957528699</v>
      </c>
      <c r="F464">
        <v>4.3799999999999999E-2</v>
      </c>
      <c r="G464">
        <v>0.1096</v>
      </c>
      <c r="H464">
        <v>6.5750000000000003E-2</v>
      </c>
      <c r="I464">
        <v>4283.6670000000004</v>
      </c>
      <c r="J464">
        <v>7509.8680000000004</v>
      </c>
    </row>
    <row r="465" spans="1:10">
      <c r="A465">
        <v>82</v>
      </c>
      <c r="B465">
        <v>7</v>
      </c>
      <c r="C465" t="s">
        <v>51</v>
      </c>
      <c r="D465">
        <v>-33.921676118385399</v>
      </c>
      <c r="E465">
        <v>18.892538118866799</v>
      </c>
      <c r="F465">
        <v>4.3799999999999999E-2</v>
      </c>
      <c r="G465">
        <v>0.1096</v>
      </c>
      <c r="H465">
        <v>6.5750000000000003E-2</v>
      </c>
      <c r="I465">
        <v>3066.0349999999999</v>
      </c>
      <c r="J465">
        <v>8124.45</v>
      </c>
    </row>
    <row r="466" spans="1:10">
      <c r="A466">
        <v>83</v>
      </c>
      <c r="B466">
        <v>7</v>
      </c>
      <c r="C466" t="s">
        <v>51</v>
      </c>
      <c r="D466">
        <v>-33.924792162908098</v>
      </c>
      <c r="E466">
        <v>18.874768133227501</v>
      </c>
      <c r="F466">
        <v>4.3799999999999999E-2</v>
      </c>
      <c r="G466">
        <v>0.1096</v>
      </c>
      <c r="H466">
        <v>6.5750000000000003E-2</v>
      </c>
      <c r="I466">
        <v>1645.77</v>
      </c>
      <c r="J466">
        <v>6150.74</v>
      </c>
    </row>
    <row r="467" spans="1:10">
      <c r="A467">
        <v>84</v>
      </c>
      <c r="B467">
        <v>7</v>
      </c>
      <c r="C467" t="s">
        <v>51</v>
      </c>
      <c r="D467">
        <v>-33.919879034370197</v>
      </c>
      <c r="E467">
        <v>18.890304082536499</v>
      </c>
      <c r="F467">
        <v>4.3799999999999999E-2</v>
      </c>
      <c r="G467">
        <v>0.1096</v>
      </c>
      <c r="H467">
        <v>6.5750000000000003E-2</v>
      </c>
      <c r="I467">
        <v>2962.8270000000002</v>
      </c>
      <c r="J467">
        <v>8021.2420000000002</v>
      </c>
    </row>
    <row r="468" spans="1:10">
      <c r="A468">
        <v>85</v>
      </c>
      <c r="B468">
        <v>7</v>
      </c>
      <c r="C468" t="s">
        <v>51</v>
      </c>
      <c r="D468">
        <v>-33.922697134998401</v>
      </c>
      <c r="E468">
        <v>18.881901927846499</v>
      </c>
      <c r="F468">
        <v>4.3799999999999999E-2</v>
      </c>
      <c r="G468">
        <v>0.1096</v>
      </c>
      <c r="H468">
        <v>6.5750000000000003E-2</v>
      </c>
      <c r="I468">
        <v>1943.1</v>
      </c>
      <c r="J468">
        <v>7001.5150000000003</v>
      </c>
    </row>
    <row r="469" spans="1:10">
      <c r="A469">
        <v>86</v>
      </c>
      <c r="B469">
        <v>7</v>
      </c>
      <c r="C469" t="s">
        <v>51</v>
      </c>
      <c r="D469">
        <v>-33.9185535338775</v>
      </c>
      <c r="E469">
        <v>18.887992050222302</v>
      </c>
      <c r="F469">
        <v>4.3799999999999999E-2</v>
      </c>
      <c r="G469">
        <v>0.1096</v>
      </c>
      <c r="H469">
        <v>6.5750000000000003E-2</v>
      </c>
      <c r="I469">
        <v>2678.3069999999998</v>
      </c>
      <c r="J469">
        <v>7736.7209999999995</v>
      </c>
    </row>
    <row r="470" spans="1:10">
      <c r="A470">
        <v>87</v>
      </c>
      <c r="B470">
        <v>7</v>
      </c>
      <c r="C470" t="s">
        <v>51</v>
      </c>
      <c r="D470">
        <v>-33.917865050233502</v>
      </c>
      <c r="E470">
        <v>18.888621111171901</v>
      </c>
      <c r="F470">
        <v>4.3799999999999999E-2</v>
      </c>
      <c r="G470">
        <v>0.1096</v>
      </c>
      <c r="H470">
        <v>6.5750000000000003E-2</v>
      </c>
      <c r="I470">
        <v>3224.5189999999998</v>
      </c>
      <c r="J470">
        <v>8282.9339999999993</v>
      </c>
    </row>
    <row r="471" spans="1:10">
      <c r="A471">
        <v>88</v>
      </c>
      <c r="B471">
        <v>7</v>
      </c>
      <c r="C471" t="s">
        <v>51</v>
      </c>
      <c r="D471">
        <v>-33.921654134790401</v>
      </c>
      <c r="E471">
        <v>18.8771973982176</v>
      </c>
      <c r="F471">
        <v>4.3799999999999999E-2</v>
      </c>
      <c r="G471">
        <v>0.1096</v>
      </c>
      <c r="H471">
        <v>6.5750000000000003E-2</v>
      </c>
      <c r="I471">
        <v>2306.0680000000002</v>
      </c>
      <c r="J471">
        <v>7006.03</v>
      </c>
    </row>
    <row r="472" spans="1:10">
      <c r="A472">
        <v>89</v>
      </c>
      <c r="B472">
        <v>7</v>
      </c>
      <c r="C472" t="s">
        <v>51</v>
      </c>
      <c r="D472">
        <v>-33.925729613375999</v>
      </c>
      <c r="E472">
        <v>18.883173860910301</v>
      </c>
      <c r="F472">
        <v>4.3799999999999999E-2</v>
      </c>
      <c r="G472">
        <v>0.1096</v>
      </c>
      <c r="H472">
        <v>6.5750000000000003E-2</v>
      </c>
      <c r="I472">
        <v>1881.098</v>
      </c>
      <c r="J472">
        <v>6939.5129999999999</v>
      </c>
    </row>
    <row r="473" spans="1:10">
      <c r="A473">
        <v>90</v>
      </c>
      <c r="B473">
        <v>7</v>
      </c>
      <c r="C473" t="s">
        <v>51</v>
      </c>
      <c r="D473">
        <v>-33.9200111647135</v>
      </c>
      <c r="E473">
        <v>18.883408205014</v>
      </c>
      <c r="F473">
        <v>4.3799999999999999E-2</v>
      </c>
      <c r="G473">
        <v>0.1096</v>
      </c>
      <c r="H473">
        <v>6.5750000000000003E-2</v>
      </c>
      <c r="I473">
        <v>2246.6370000000002</v>
      </c>
      <c r="J473">
        <v>7305.0510000000004</v>
      </c>
    </row>
    <row r="474" spans="1:10">
      <c r="A474">
        <v>91</v>
      </c>
      <c r="B474">
        <v>7</v>
      </c>
      <c r="C474" t="s">
        <v>51</v>
      </c>
      <c r="D474">
        <v>-33.923187437540598</v>
      </c>
      <c r="E474">
        <v>18.892965652392999</v>
      </c>
      <c r="F474">
        <v>4.3799999999999999E-2</v>
      </c>
      <c r="G474">
        <v>0.1096</v>
      </c>
      <c r="H474">
        <v>6.5750000000000003E-2</v>
      </c>
      <c r="I474">
        <v>2933.5279999999998</v>
      </c>
      <c r="J474">
        <v>7991.9430000000002</v>
      </c>
    </row>
    <row r="475" spans="1:10">
      <c r="A475">
        <v>92</v>
      </c>
      <c r="B475">
        <v>7</v>
      </c>
      <c r="C475" t="s">
        <v>51</v>
      </c>
      <c r="D475">
        <v>-33.917877959397899</v>
      </c>
      <c r="E475">
        <v>18.8783773154031</v>
      </c>
      <c r="F475">
        <v>4.3799999999999999E-2</v>
      </c>
      <c r="G475">
        <v>0.1096</v>
      </c>
      <c r="H475">
        <v>6.5750000000000003E-2</v>
      </c>
      <c r="I475">
        <v>2544.0079999999998</v>
      </c>
      <c r="J475">
        <v>7243.9690000000001</v>
      </c>
    </row>
    <row r="476" spans="1:10">
      <c r="A476">
        <v>93</v>
      </c>
      <c r="B476">
        <v>7</v>
      </c>
      <c r="C476" t="s">
        <v>51</v>
      </c>
      <c r="D476">
        <v>-33.920398458180401</v>
      </c>
      <c r="E476">
        <v>18.889110562091901</v>
      </c>
      <c r="F476">
        <v>4.3799999999999999E-2</v>
      </c>
      <c r="G476">
        <v>0.1096</v>
      </c>
      <c r="H476">
        <v>6.5750000000000003E-2</v>
      </c>
      <c r="I476">
        <v>2774.415</v>
      </c>
      <c r="J476">
        <v>7832.83</v>
      </c>
    </row>
    <row r="477" spans="1:10">
      <c r="A477">
        <v>94</v>
      </c>
      <c r="B477">
        <v>7</v>
      </c>
      <c r="C477" t="s">
        <v>51</v>
      </c>
      <c r="D477">
        <v>-33.918657904704602</v>
      </c>
      <c r="E477">
        <v>18.889272289527302</v>
      </c>
      <c r="F477">
        <v>4.3799999999999999E-2</v>
      </c>
      <c r="G477">
        <v>0.1096</v>
      </c>
      <c r="H477">
        <v>6.5750000000000003E-2</v>
      </c>
      <c r="I477">
        <v>3165.0790000000002</v>
      </c>
      <c r="J477">
        <v>8223.4940000000006</v>
      </c>
    </row>
    <row r="478" spans="1:10">
      <c r="A478">
        <v>95</v>
      </c>
      <c r="B478">
        <v>7</v>
      </c>
      <c r="C478" t="s">
        <v>51</v>
      </c>
      <c r="D478">
        <v>-33.926243486627897</v>
      </c>
      <c r="E478">
        <v>18.876476616872001</v>
      </c>
      <c r="F478">
        <v>4.3799999999999999E-2</v>
      </c>
      <c r="G478">
        <v>0.1096</v>
      </c>
      <c r="H478">
        <v>6.5750000000000003E-2</v>
      </c>
      <c r="I478">
        <v>1220.6659999999999</v>
      </c>
      <c r="J478">
        <v>6266.29</v>
      </c>
    </row>
    <row r="479" spans="1:10">
      <c r="A479">
        <v>96</v>
      </c>
      <c r="B479">
        <v>7</v>
      </c>
      <c r="C479" t="s">
        <v>51</v>
      </c>
      <c r="D479">
        <v>-33.9236268526085</v>
      </c>
      <c r="E479">
        <v>18.8852902527093</v>
      </c>
      <c r="F479">
        <v>4.3799999999999999E-2</v>
      </c>
      <c r="G479">
        <v>0.1096</v>
      </c>
      <c r="H479">
        <v>6.5750000000000003E-2</v>
      </c>
      <c r="I479">
        <v>2194.991</v>
      </c>
      <c r="J479">
        <v>7253.4059999999999</v>
      </c>
    </row>
    <row r="480" spans="1:10">
      <c r="A480">
        <v>97</v>
      </c>
      <c r="B480">
        <v>7</v>
      </c>
      <c r="C480" t="s">
        <v>51</v>
      </c>
      <c r="D480">
        <v>-33.925601305169401</v>
      </c>
      <c r="E480">
        <v>18.883646579144699</v>
      </c>
      <c r="F480">
        <v>4.3799999999999999E-2</v>
      </c>
      <c r="G480">
        <v>0.1096</v>
      </c>
      <c r="H480">
        <v>6.5750000000000003E-2</v>
      </c>
      <c r="I480">
        <v>1922.452</v>
      </c>
      <c r="J480">
        <v>6980.8670000000002</v>
      </c>
    </row>
    <row r="481" spans="1:10">
      <c r="A481">
        <v>98</v>
      </c>
      <c r="B481">
        <v>7</v>
      </c>
      <c r="C481" t="s">
        <v>51</v>
      </c>
      <c r="D481">
        <v>-33.9254851836547</v>
      </c>
      <c r="E481">
        <v>18.8842683992216</v>
      </c>
      <c r="F481">
        <v>4.3799999999999999E-2</v>
      </c>
      <c r="G481">
        <v>0.1096</v>
      </c>
      <c r="H481">
        <v>6.5750000000000003E-2</v>
      </c>
      <c r="I481">
        <v>2025.55</v>
      </c>
      <c r="J481">
        <v>7083.9650000000001</v>
      </c>
    </row>
    <row r="482" spans="1:10">
      <c r="A482">
        <v>99</v>
      </c>
      <c r="B482">
        <v>7</v>
      </c>
      <c r="C482" t="s">
        <v>51</v>
      </c>
      <c r="D482">
        <v>-33.9233514571592</v>
      </c>
      <c r="E482">
        <v>18.8822343017973</v>
      </c>
      <c r="F482">
        <v>4.3799999999999999E-2</v>
      </c>
      <c r="G482">
        <v>0.1096</v>
      </c>
      <c r="H482">
        <v>6.5750000000000003E-2</v>
      </c>
      <c r="I482">
        <v>2025.799</v>
      </c>
      <c r="J482">
        <v>7084.2139999999999</v>
      </c>
    </row>
    <row r="483" spans="1:10">
      <c r="A483">
        <v>100</v>
      </c>
      <c r="B483">
        <v>7</v>
      </c>
      <c r="C483" t="s">
        <v>51</v>
      </c>
      <c r="D483">
        <v>-33.920017549557301</v>
      </c>
      <c r="E483">
        <v>18.871864668125198</v>
      </c>
      <c r="F483">
        <v>4.3799999999999999E-2</v>
      </c>
      <c r="G483">
        <v>0.1096</v>
      </c>
      <c r="H483">
        <v>6.5750000000000003E-2</v>
      </c>
      <c r="I483">
        <v>3597.0430000000001</v>
      </c>
      <c r="J483">
        <v>6823.2439999999997</v>
      </c>
    </row>
    <row r="484" spans="1:10">
      <c r="A484">
        <v>101</v>
      </c>
      <c r="B484">
        <v>7</v>
      </c>
      <c r="C484" t="s">
        <v>51</v>
      </c>
      <c r="D484">
        <v>-33.924602633173301</v>
      </c>
      <c r="E484">
        <v>18.884915542174099</v>
      </c>
      <c r="F484">
        <v>4.3799999999999999E-2</v>
      </c>
      <c r="G484">
        <v>0.1096</v>
      </c>
      <c r="H484">
        <v>6.5750000000000003E-2</v>
      </c>
      <c r="I484">
        <v>2112.3879999999999</v>
      </c>
      <c r="J484">
        <v>7170.8019999999997</v>
      </c>
    </row>
    <row r="485" spans="1:10">
      <c r="A485">
        <v>102</v>
      </c>
      <c r="B485">
        <v>7</v>
      </c>
      <c r="C485" t="s">
        <v>51</v>
      </c>
      <c r="D485">
        <v>-33.922057066595201</v>
      </c>
      <c r="E485">
        <v>18.8926268547931</v>
      </c>
      <c r="F485">
        <v>4.3799999999999999E-2</v>
      </c>
      <c r="G485">
        <v>0.1096</v>
      </c>
      <c r="H485">
        <v>6.5750000000000003E-2</v>
      </c>
      <c r="I485">
        <v>3016.8119999999999</v>
      </c>
      <c r="J485">
        <v>8075.2269999999999</v>
      </c>
    </row>
    <row r="486" spans="1:10">
      <c r="A486">
        <v>103</v>
      </c>
      <c r="B486">
        <v>7</v>
      </c>
      <c r="C486" t="s">
        <v>51</v>
      </c>
      <c r="D486">
        <v>-33.919140305735603</v>
      </c>
      <c r="E486">
        <v>18.8831008684548</v>
      </c>
      <c r="F486">
        <v>4.3799999999999999E-2</v>
      </c>
      <c r="G486">
        <v>0.1096</v>
      </c>
      <c r="H486">
        <v>6.5750000000000003E-2</v>
      </c>
      <c r="I486">
        <v>2241.3809999999999</v>
      </c>
      <c r="J486">
        <v>7299.7960000000003</v>
      </c>
    </row>
    <row r="487" spans="1:10">
      <c r="A487">
        <v>104</v>
      </c>
      <c r="B487">
        <v>7</v>
      </c>
      <c r="C487" t="s">
        <v>51</v>
      </c>
      <c r="D487">
        <v>-33.926144492389199</v>
      </c>
      <c r="E487">
        <v>18.893637161898599</v>
      </c>
      <c r="F487">
        <v>4.3799999999999999E-2</v>
      </c>
      <c r="G487">
        <v>0.1096</v>
      </c>
      <c r="H487">
        <v>6.5750000000000003E-2</v>
      </c>
      <c r="I487">
        <v>2881.134</v>
      </c>
      <c r="J487">
        <v>7939.5479999999998</v>
      </c>
    </row>
    <row r="488" spans="1:10">
      <c r="A488">
        <v>105</v>
      </c>
      <c r="B488">
        <v>7</v>
      </c>
      <c r="C488" t="s">
        <v>51</v>
      </c>
      <c r="D488">
        <v>-33.918456016802999</v>
      </c>
      <c r="E488">
        <v>18.885497048947201</v>
      </c>
      <c r="F488">
        <v>4.3799999999999999E-2</v>
      </c>
      <c r="G488">
        <v>0.1096</v>
      </c>
      <c r="H488">
        <v>6.5750000000000003E-2</v>
      </c>
      <c r="I488">
        <v>2462.2759999999998</v>
      </c>
      <c r="J488">
        <v>7520.6909999999998</v>
      </c>
    </row>
    <row r="489" spans="1:10">
      <c r="A489">
        <v>106</v>
      </c>
      <c r="B489">
        <v>7</v>
      </c>
      <c r="C489" t="s">
        <v>51</v>
      </c>
      <c r="D489">
        <v>-33.924591661463701</v>
      </c>
      <c r="E489">
        <v>18.8821379579115</v>
      </c>
      <c r="F489">
        <v>4.3799999999999999E-2</v>
      </c>
      <c r="G489">
        <v>0.1096</v>
      </c>
      <c r="H489">
        <v>6.5750000000000003E-2</v>
      </c>
      <c r="I489">
        <v>1820.46</v>
      </c>
      <c r="J489">
        <v>6878.875</v>
      </c>
    </row>
    <row r="490" spans="1:10">
      <c r="A490">
        <v>107</v>
      </c>
      <c r="B490">
        <v>7</v>
      </c>
      <c r="C490" t="s">
        <v>51</v>
      </c>
      <c r="D490">
        <v>-33.9257644670937</v>
      </c>
      <c r="E490">
        <v>18.873022058521698</v>
      </c>
      <c r="F490">
        <v>4.3799999999999999E-2</v>
      </c>
      <c r="G490">
        <v>0.1096</v>
      </c>
      <c r="H490">
        <v>6.5750000000000003E-2</v>
      </c>
      <c r="I490">
        <v>1795.3230000000001</v>
      </c>
      <c r="J490">
        <v>6071.2190000000001</v>
      </c>
    </row>
    <row r="491" spans="1:10">
      <c r="A491">
        <v>108</v>
      </c>
      <c r="B491">
        <v>7</v>
      </c>
      <c r="C491" t="s">
        <v>51</v>
      </c>
      <c r="D491">
        <v>-33.918977204958303</v>
      </c>
      <c r="E491">
        <v>18.870838253792002</v>
      </c>
      <c r="F491">
        <v>4.3799999999999999E-2</v>
      </c>
      <c r="G491">
        <v>0.1096</v>
      </c>
      <c r="H491">
        <v>6.5750000000000003E-2</v>
      </c>
      <c r="I491">
        <v>3538.8609999999999</v>
      </c>
      <c r="J491">
        <v>6765.0619999999999</v>
      </c>
    </row>
    <row r="492" spans="1:10">
      <c r="A492">
        <v>109</v>
      </c>
      <c r="B492">
        <v>7</v>
      </c>
      <c r="C492" t="s">
        <v>51</v>
      </c>
      <c r="D492">
        <v>-33.917908312943297</v>
      </c>
      <c r="E492">
        <v>18.8718825896967</v>
      </c>
      <c r="F492">
        <v>4.3799999999999999E-2</v>
      </c>
      <c r="G492">
        <v>0.1096</v>
      </c>
      <c r="H492">
        <v>6.5750000000000003E-2</v>
      </c>
      <c r="I492">
        <v>3608.2649999999999</v>
      </c>
      <c r="J492">
        <v>6834.4660000000003</v>
      </c>
    </row>
    <row r="493" spans="1:10">
      <c r="A493">
        <v>110</v>
      </c>
      <c r="B493">
        <v>7</v>
      </c>
      <c r="C493" t="s">
        <v>51</v>
      </c>
      <c r="D493">
        <v>-33.919996336329497</v>
      </c>
      <c r="E493">
        <v>18.8751191586617</v>
      </c>
      <c r="F493">
        <v>4.3799999999999999E-2</v>
      </c>
      <c r="G493">
        <v>0.1096</v>
      </c>
      <c r="H493">
        <v>6.5750000000000003E-2</v>
      </c>
      <c r="I493">
        <v>4171.183</v>
      </c>
      <c r="J493">
        <v>7397.384</v>
      </c>
    </row>
    <row r="494" spans="1:10">
      <c r="A494">
        <v>111</v>
      </c>
      <c r="B494">
        <v>7</v>
      </c>
      <c r="C494" t="s">
        <v>51</v>
      </c>
      <c r="D494">
        <v>-33.924594320226397</v>
      </c>
      <c r="E494">
        <v>18.877066704195201</v>
      </c>
      <c r="F494">
        <v>4.3799999999999999E-2</v>
      </c>
      <c r="G494">
        <v>0.1096</v>
      </c>
      <c r="H494">
        <v>6.5750000000000003E-2</v>
      </c>
      <c r="I494">
        <v>1526.43</v>
      </c>
      <c r="J494">
        <v>6584.8450000000003</v>
      </c>
    </row>
    <row r="495" spans="1:10">
      <c r="A495">
        <v>112</v>
      </c>
      <c r="B495">
        <v>7</v>
      </c>
      <c r="C495" t="s">
        <v>51</v>
      </c>
      <c r="D495">
        <v>-33.919680225483702</v>
      </c>
      <c r="E495">
        <v>18.8756753253193</v>
      </c>
      <c r="F495">
        <v>4.3799999999999999E-2</v>
      </c>
      <c r="G495">
        <v>0.1096</v>
      </c>
      <c r="H495">
        <v>6.5750000000000003E-2</v>
      </c>
      <c r="I495">
        <v>2377.8229999999999</v>
      </c>
      <c r="J495">
        <v>7077.7849999999999</v>
      </c>
    </row>
    <row r="496" spans="1:10">
      <c r="A496">
        <v>113</v>
      </c>
      <c r="B496">
        <v>7</v>
      </c>
      <c r="C496" t="s">
        <v>51</v>
      </c>
      <c r="D496">
        <v>-33.921773280184098</v>
      </c>
      <c r="E496">
        <v>18.887498015492401</v>
      </c>
      <c r="F496">
        <v>4.3799999999999999E-2</v>
      </c>
      <c r="G496">
        <v>0.1096</v>
      </c>
      <c r="H496">
        <v>6.5750000000000003E-2</v>
      </c>
      <c r="I496">
        <v>2497.5630000000001</v>
      </c>
      <c r="J496">
        <v>7555.9780000000001</v>
      </c>
    </row>
    <row r="497" spans="1:10">
      <c r="A497">
        <v>114</v>
      </c>
      <c r="B497">
        <v>7</v>
      </c>
      <c r="C497" t="s">
        <v>51</v>
      </c>
      <c r="D497">
        <v>-33.922519243503203</v>
      </c>
      <c r="E497">
        <v>18.880048149036899</v>
      </c>
      <c r="F497">
        <v>4.3799999999999999E-2</v>
      </c>
      <c r="G497">
        <v>0.1096</v>
      </c>
      <c r="H497">
        <v>6.5750000000000003E-2</v>
      </c>
      <c r="I497">
        <v>1746.579</v>
      </c>
      <c r="J497">
        <v>6804.9930000000004</v>
      </c>
    </row>
    <row r="498" spans="1:10">
      <c r="A498">
        <v>115</v>
      </c>
      <c r="B498">
        <v>7</v>
      </c>
      <c r="C498" t="s">
        <v>51</v>
      </c>
      <c r="D498">
        <v>-33.925619837279697</v>
      </c>
      <c r="E498">
        <v>18.892091531977002</v>
      </c>
      <c r="F498">
        <v>4.3799999999999999E-2</v>
      </c>
      <c r="G498">
        <v>0.1096</v>
      </c>
      <c r="H498">
        <v>6.5750000000000003E-2</v>
      </c>
      <c r="I498">
        <v>2923.8130000000001</v>
      </c>
      <c r="J498">
        <v>7982.2280000000001</v>
      </c>
    </row>
    <row r="499" spans="1:10">
      <c r="A499">
        <v>116</v>
      </c>
      <c r="B499">
        <v>7</v>
      </c>
      <c r="C499" t="s">
        <v>51</v>
      </c>
      <c r="D499">
        <v>-33.919168099696002</v>
      </c>
      <c r="E499">
        <v>18.889600230682699</v>
      </c>
      <c r="F499">
        <v>4.3799999999999999E-2</v>
      </c>
      <c r="G499">
        <v>0.1096</v>
      </c>
      <c r="H499">
        <v>6.5750000000000003E-2</v>
      </c>
      <c r="I499">
        <v>2989.1550000000002</v>
      </c>
      <c r="J499">
        <v>8047.57</v>
      </c>
    </row>
    <row r="500" spans="1:10">
      <c r="A500">
        <v>117</v>
      </c>
      <c r="B500">
        <v>7</v>
      </c>
      <c r="C500" t="s">
        <v>51</v>
      </c>
      <c r="D500">
        <v>-33.921037132816998</v>
      </c>
      <c r="E500">
        <v>18.8896450542547</v>
      </c>
      <c r="F500">
        <v>4.3799999999999999E-2</v>
      </c>
      <c r="G500">
        <v>0.1096</v>
      </c>
      <c r="H500">
        <v>6.5750000000000003E-2</v>
      </c>
      <c r="I500">
        <v>2818.7750000000001</v>
      </c>
      <c r="J500">
        <v>7877.19</v>
      </c>
    </row>
    <row r="501" spans="1:10">
      <c r="A501">
        <v>118</v>
      </c>
      <c r="B501">
        <v>7</v>
      </c>
      <c r="C501" t="s">
        <v>51</v>
      </c>
      <c r="D501">
        <v>-33.919804654232799</v>
      </c>
      <c r="E501">
        <v>18.893499367072799</v>
      </c>
      <c r="F501">
        <v>4.3799999999999999E-2</v>
      </c>
      <c r="G501">
        <v>0.1096</v>
      </c>
      <c r="H501">
        <v>6.5750000000000003E-2</v>
      </c>
      <c r="I501">
        <v>3478.0709999999999</v>
      </c>
      <c r="J501">
        <v>8536.4850000000006</v>
      </c>
    </row>
    <row r="502" spans="1:10">
      <c r="A502">
        <v>119</v>
      </c>
      <c r="B502">
        <v>7</v>
      </c>
      <c r="C502" t="s">
        <v>51</v>
      </c>
      <c r="D502">
        <v>-33.919529916201498</v>
      </c>
      <c r="E502">
        <v>18.888793759583699</v>
      </c>
      <c r="F502">
        <v>4.3799999999999999E-2</v>
      </c>
      <c r="G502">
        <v>0.1096</v>
      </c>
      <c r="H502">
        <v>6.5750000000000003E-2</v>
      </c>
      <c r="I502">
        <v>2678.3069999999998</v>
      </c>
      <c r="J502">
        <v>7736.7209999999995</v>
      </c>
    </row>
    <row r="503" spans="1:10">
      <c r="A503">
        <v>120</v>
      </c>
      <c r="B503">
        <v>7</v>
      </c>
      <c r="C503" t="s">
        <v>51</v>
      </c>
      <c r="D503">
        <v>-33.917732929728203</v>
      </c>
      <c r="E503">
        <v>18.874574076234001</v>
      </c>
      <c r="F503">
        <v>4.3799999999999999E-2</v>
      </c>
      <c r="G503">
        <v>0.1096</v>
      </c>
      <c r="H503">
        <v>6.5750000000000003E-2</v>
      </c>
      <c r="I503">
        <v>3041.53</v>
      </c>
      <c r="J503">
        <v>7741.4920000000002</v>
      </c>
    </row>
    <row r="504" spans="1:10">
      <c r="A504">
        <v>121</v>
      </c>
      <c r="B504">
        <v>7</v>
      </c>
      <c r="C504" t="s">
        <v>51</v>
      </c>
      <c r="D504">
        <v>-33.924333526860003</v>
      </c>
      <c r="E504">
        <v>18.887749361833901</v>
      </c>
      <c r="F504">
        <v>4.3799999999999999E-2</v>
      </c>
      <c r="G504">
        <v>0.1096</v>
      </c>
      <c r="H504">
        <v>6.5750000000000003E-2</v>
      </c>
      <c r="I504">
        <v>2370.203</v>
      </c>
      <c r="J504">
        <v>7428.6180000000004</v>
      </c>
    </row>
    <row r="505" spans="1:10">
      <c r="A505">
        <v>122</v>
      </c>
      <c r="B505">
        <v>7</v>
      </c>
      <c r="C505" t="s">
        <v>51</v>
      </c>
      <c r="D505">
        <v>-33.922114600414297</v>
      </c>
      <c r="E505">
        <v>18.889171424908401</v>
      </c>
      <c r="F505">
        <v>4.3799999999999999E-2</v>
      </c>
      <c r="G505">
        <v>0.1096</v>
      </c>
      <c r="H505">
        <v>6.5750000000000003E-2</v>
      </c>
      <c r="I505">
        <v>2671.6680000000001</v>
      </c>
      <c r="J505">
        <v>7730.0829999999996</v>
      </c>
    </row>
    <row r="506" spans="1:10">
      <c r="A506">
        <v>123</v>
      </c>
      <c r="B506">
        <v>7</v>
      </c>
      <c r="C506" t="s">
        <v>51</v>
      </c>
      <c r="D506">
        <v>-33.918779897337103</v>
      </c>
      <c r="E506">
        <v>18.887038982615898</v>
      </c>
      <c r="F506">
        <v>4.3799999999999999E-2</v>
      </c>
      <c r="G506">
        <v>0.1096</v>
      </c>
      <c r="H506">
        <v>6.5750000000000003E-2</v>
      </c>
      <c r="I506">
        <v>2678.3069999999998</v>
      </c>
      <c r="J506">
        <v>7736.7209999999995</v>
      </c>
    </row>
    <row r="507" spans="1:10">
      <c r="A507">
        <v>124</v>
      </c>
      <c r="B507">
        <v>7</v>
      </c>
      <c r="C507" t="s">
        <v>51</v>
      </c>
      <c r="D507">
        <v>-33.926056985188197</v>
      </c>
      <c r="E507">
        <v>18.884916666511199</v>
      </c>
      <c r="F507">
        <v>4.3799999999999999E-2</v>
      </c>
      <c r="G507">
        <v>0.1096</v>
      </c>
      <c r="H507">
        <v>6.5750000000000003E-2</v>
      </c>
      <c r="I507">
        <v>2045.277</v>
      </c>
      <c r="J507">
        <v>7103.692</v>
      </c>
    </row>
    <row r="508" spans="1:10">
      <c r="A508">
        <v>125</v>
      </c>
      <c r="B508">
        <v>7</v>
      </c>
      <c r="C508" t="s">
        <v>51</v>
      </c>
      <c r="D508">
        <v>-33.921900482077199</v>
      </c>
      <c r="E508">
        <v>18.875527621794401</v>
      </c>
      <c r="F508">
        <v>4.3799999999999999E-2</v>
      </c>
      <c r="G508">
        <v>0.1096</v>
      </c>
      <c r="H508">
        <v>6.5750000000000003E-2</v>
      </c>
      <c r="I508">
        <v>2159.5949999999998</v>
      </c>
      <c r="J508">
        <v>6556.5420000000004</v>
      </c>
    </row>
    <row r="509" spans="1:10">
      <c r="A509">
        <v>126</v>
      </c>
      <c r="B509">
        <v>7</v>
      </c>
      <c r="C509" t="s">
        <v>51</v>
      </c>
      <c r="D509">
        <v>-33.918404325328801</v>
      </c>
      <c r="E509">
        <v>18.877217950321999</v>
      </c>
      <c r="F509">
        <v>4.3799999999999999E-2</v>
      </c>
      <c r="G509">
        <v>0.1096</v>
      </c>
      <c r="H509">
        <v>6.5750000000000003E-2</v>
      </c>
      <c r="I509">
        <v>2422.6979999999999</v>
      </c>
      <c r="J509">
        <v>7122.66</v>
      </c>
    </row>
    <row r="510" spans="1:10">
      <c r="A510">
        <v>127</v>
      </c>
      <c r="B510">
        <v>7</v>
      </c>
      <c r="C510" t="s">
        <v>51</v>
      </c>
      <c r="D510">
        <v>-33.926234763126203</v>
      </c>
      <c r="E510">
        <v>18.878601860730001</v>
      </c>
      <c r="F510">
        <v>4.3799999999999999E-2</v>
      </c>
      <c r="G510">
        <v>0.1096</v>
      </c>
      <c r="H510">
        <v>6.5750000000000003E-2</v>
      </c>
      <c r="I510">
        <v>1411.8520000000001</v>
      </c>
      <c r="J510">
        <v>6457.4769999999999</v>
      </c>
    </row>
    <row r="511" spans="1:10">
      <c r="A511">
        <v>128</v>
      </c>
      <c r="B511">
        <v>7</v>
      </c>
      <c r="C511" t="s">
        <v>51</v>
      </c>
      <c r="D511">
        <v>-33.923247869195698</v>
      </c>
      <c r="E511">
        <v>18.8750031195062</v>
      </c>
      <c r="F511">
        <v>4.3799999999999999E-2</v>
      </c>
      <c r="G511">
        <v>0.1096</v>
      </c>
      <c r="H511">
        <v>6.5750000000000003E-2</v>
      </c>
      <c r="I511">
        <v>1932.93</v>
      </c>
      <c r="J511">
        <v>6329.8770000000004</v>
      </c>
    </row>
    <row r="512" spans="1:10">
      <c r="A512">
        <v>129</v>
      </c>
      <c r="B512">
        <v>7</v>
      </c>
      <c r="C512" t="s">
        <v>51</v>
      </c>
      <c r="D512">
        <v>-33.923256734987099</v>
      </c>
      <c r="E512">
        <v>18.878036188766298</v>
      </c>
      <c r="F512">
        <v>4.3799999999999999E-2</v>
      </c>
      <c r="G512">
        <v>0.1096</v>
      </c>
      <c r="H512">
        <v>6.5750000000000003E-2</v>
      </c>
      <c r="I512">
        <v>1699.943</v>
      </c>
      <c r="J512">
        <v>6758.357</v>
      </c>
    </row>
    <row r="513" spans="1:10">
      <c r="A513">
        <v>130</v>
      </c>
      <c r="B513">
        <v>7</v>
      </c>
      <c r="C513" t="s">
        <v>51</v>
      </c>
      <c r="D513">
        <v>-33.918114044253699</v>
      </c>
      <c r="E513">
        <v>18.879344349005098</v>
      </c>
      <c r="F513">
        <v>4.3799999999999999E-2</v>
      </c>
      <c r="G513">
        <v>0.1096</v>
      </c>
      <c r="H513">
        <v>6.5750000000000003E-2</v>
      </c>
      <c r="I513">
        <v>2435.7849999999999</v>
      </c>
      <c r="J513">
        <v>7135.7460000000001</v>
      </c>
    </row>
    <row r="514" spans="1:10">
      <c r="A514">
        <v>131</v>
      </c>
      <c r="B514">
        <v>7</v>
      </c>
      <c r="C514" t="s">
        <v>51</v>
      </c>
      <c r="D514">
        <v>-33.923000521486699</v>
      </c>
      <c r="E514">
        <v>18.894507089317699</v>
      </c>
      <c r="F514">
        <v>4.3799999999999999E-2</v>
      </c>
      <c r="G514">
        <v>0.1096</v>
      </c>
      <c r="H514">
        <v>6.5750000000000003E-2</v>
      </c>
      <c r="I514">
        <v>3270.0659999999998</v>
      </c>
      <c r="J514">
        <v>8328.4809999999998</v>
      </c>
    </row>
    <row r="515" spans="1:10">
      <c r="A515">
        <v>132</v>
      </c>
      <c r="B515">
        <v>7</v>
      </c>
      <c r="C515" t="s">
        <v>51</v>
      </c>
      <c r="D515">
        <v>-33.924583745040003</v>
      </c>
      <c r="E515">
        <v>18.880395148863499</v>
      </c>
      <c r="F515">
        <v>4.3799999999999999E-2</v>
      </c>
      <c r="G515">
        <v>0.1096</v>
      </c>
      <c r="H515">
        <v>6.5750000000000003E-2</v>
      </c>
      <c r="I515">
        <v>1667.27</v>
      </c>
      <c r="J515">
        <v>6725.6850000000004</v>
      </c>
    </row>
    <row r="516" spans="1:10">
      <c r="A516">
        <v>133</v>
      </c>
      <c r="B516">
        <v>7</v>
      </c>
      <c r="C516" t="s">
        <v>51</v>
      </c>
      <c r="D516">
        <v>-33.924635027215402</v>
      </c>
      <c r="E516">
        <v>18.887738768457499</v>
      </c>
      <c r="F516">
        <v>4.3799999999999999E-2</v>
      </c>
      <c r="G516">
        <v>0.1096</v>
      </c>
      <c r="H516">
        <v>6.5750000000000003E-2</v>
      </c>
      <c r="I516">
        <v>2372.1819999999998</v>
      </c>
      <c r="J516">
        <v>7430.5969999999998</v>
      </c>
    </row>
    <row r="517" spans="1:10">
      <c r="A517">
        <v>134</v>
      </c>
      <c r="B517">
        <v>7</v>
      </c>
      <c r="C517" t="s">
        <v>51</v>
      </c>
      <c r="D517">
        <v>-33.925989510591002</v>
      </c>
      <c r="E517">
        <v>18.879107982791599</v>
      </c>
      <c r="F517">
        <v>4.3799999999999999E-2</v>
      </c>
      <c r="G517">
        <v>0.1096</v>
      </c>
      <c r="H517">
        <v>6.5750000000000003E-2</v>
      </c>
      <c r="I517">
        <v>1502.395</v>
      </c>
      <c r="J517">
        <v>6548.0190000000002</v>
      </c>
    </row>
    <row r="518" spans="1:10">
      <c r="A518">
        <v>135</v>
      </c>
      <c r="B518">
        <v>7</v>
      </c>
      <c r="C518" t="s">
        <v>51</v>
      </c>
      <c r="D518">
        <v>-33.923431273859997</v>
      </c>
      <c r="E518">
        <v>18.872233169271102</v>
      </c>
      <c r="F518">
        <v>4.3799999999999999E-2</v>
      </c>
      <c r="G518">
        <v>0.1096</v>
      </c>
      <c r="H518">
        <v>6.5750000000000003E-2</v>
      </c>
      <c r="I518">
        <v>1935.451</v>
      </c>
      <c r="J518">
        <v>6332.3980000000001</v>
      </c>
    </row>
    <row r="519" spans="1:10">
      <c r="A519">
        <v>136</v>
      </c>
      <c r="B519">
        <v>7</v>
      </c>
      <c r="C519" t="s">
        <v>51</v>
      </c>
      <c r="D519">
        <v>-33.919031121833498</v>
      </c>
      <c r="E519">
        <v>18.871044517081199</v>
      </c>
      <c r="F519">
        <v>4.3799999999999999E-2</v>
      </c>
      <c r="G519">
        <v>0.1096</v>
      </c>
      <c r="H519">
        <v>6.5750000000000003E-2</v>
      </c>
      <c r="I519">
        <v>3553.7339999999999</v>
      </c>
      <c r="J519">
        <v>6779.9350000000004</v>
      </c>
    </row>
    <row r="520" spans="1:10">
      <c r="A520">
        <v>137</v>
      </c>
      <c r="B520">
        <v>7</v>
      </c>
      <c r="C520" t="s">
        <v>51</v>
      </c>
      <c r="D520">
        <v>-33.923959827047199</v>
      </c>
      <c r="E520">
        <v>18.891680648672899</v>
      </c>
      <c r="F520">
        <v>4.3799999999999999E-2</v>
      </c>
      <c r="G520">
        <v>0.1096</v>
      </c>
      <c r="H520">
        <v>6.5750000000000003E-2</v>
      </c>
      <c r="I520">
        <v>2821.261</v>
      </c>
      <c r="J520">
        <v>7879.6760000000004</v>
      </c>
    </row>
    <row r="521" spans="1:10">
      <c r="A521">
        <v>138</v>
      </c>
      <c r="B521">
        <v>7</v>
      </c>
      <c r="C521" t="s">
        <v>51</v>
      </c>
      <c r="D521">
        <v>-33.924093894729197</v>
      </c>
      <c r="E521">
        <v>18.8781842682701</v>
      </c>
      <c r="F521">
        <v>4.3799999999999999E-2</v>
      </c>
      <c r="G521">
        <v>0.1096</v>
      </c>
      <c r="H521">
        <v>6.5750000000000003E-2</v>
      </c>
      <c r="I521">
        <v>1538.306</v>
      </c>
      <c r="J521">
        <v>6596.7209999999995</v>
      </c>
    </row>
    <row r="522" spans="1:10">
      <c r="A522">
        <v>139</v>
      </c>
      <c r="B522">
        <v>7</v>
      </c>
      <c r="C522" t="s">
        <v>51</v>
      </c>
      <c r="D522">
        <v>-33.918449464083501</v>
      </c>
      <c r="E522">
        <v>18.881491467923698</v>
      </c>
      <c r="F522">
        <v>4.3799999999999999E-2</v>
      </c>
      <c r="G522">
        <v>0.1096</v>
      </c>
      <c r="H522">
        <v>6.5750000000000003E-2</v>
      </c>
      <c r="I522">
        <v>2604.0709999999999</v>
      </c>
      <c r="J522">
        <v>7304.0320000000002</v>
      </c>
    </row>
    <row r="523" spans="1:10">
      <c r="A523">
        <v>140</v>
      </c>
      <c r="B523">
        <v>7</v>
      </c>
      <c r="C523" t="s">
        <v>51</v>
      </c>
      <c r="D523">
        <v>-33.925197697405203</v>
      </c>
      <c r="E523">
        <v>18.882831150682399</v>
      </c>
      <c r="F523">
        <v>4.3799999999999999E-2</v>
      </c>
      <c r="G523">
        <v>0.1096</v>
      </c>
      <c r="H523">
        <v>6.5750000000000003E-2</v>
      </c>
      <c r="I523">
        <v>1889.135</v>
      </c>
      <c r="J523">
        <v>6947.55</v>
      </c>
    </row>
    <row r="524" spans="1:10">
      <c r="A524">
        <v>141</v>
      </c>
      <c r="B524">
        <v>7</v>
      </c>
      <c r="C524" t="s">
        <v>51</v>
      </c>
      <c r="D524">
        <v>-33.917931983982797</v>
      </c>
      <c r="E524">
        <v>18.8827819669931</v>
      </c>
      <c r="F524">
        <v>4.3799999999999999E-2</v>
      </c>
      <c r="G524">
        <v>0.1096</v>
      </c>
      <c r="H524">
        <v>6.5750000000000003E-2</v>
      </c>
      <c r="I524">
        <v>2612.23</v>
      </c>
      <c r="J524">
        <v>7312.192</v>
      </c>
    </row>
    <row r="525" spans="1:10">
      <c r="A525">
        <v>142</v>
      </c>
      <c r="B525">
        <v>7</v>
      </c>
      <c r="C525" t="s">
        <v>51</v>
      </c>
      <c r="D525">
        <v>-33.917723467772397</v>
      </c>
      <c r="E525">
        <v>18.880286191706698</v>
      </c>
      <c r="F525">
        <v>4.3799999999999999E-2</v>
      </c>
      <c r="G525">
        <v>0.1096</v>
      </c>
      <c r="H525">
        <v>6.5750000000000003E-2</v>
      </c>
      <c r="I525">
        <v>2555.2359999999999</v>
      </c>
      <c r="J525">
        <v>7255.1980000000003</v>
      </c>
    </row>
    <row r="526" spans="1:10">
      <c r="A526">
        <v>143</v>
      </c>
      <c r="B526">
        <v>7</v>
      </c>
      <c r="C526" t="s">
        <v>51</v>
      </c>
      <c r="D526">
        <v>-33.920941814653801</v>
      </c>
      <c r="E526">
        <v>18.888343073825599</v>
      </c>
      <c r="F526">
        <v>4.3799999999999999E-2</v>
      </c>
      <c r="G526">
        <v>0.1096</v>
      </c>
      <c r="H526">
        <v>6.5750000000000003E-2</v>
      </c>
      <c r="I526">
        <v>2683.1170000000002</v>
      </c>
      <c r="J526">
        <v>7741.5320000000002</v>
      </c>
    </row>
    <row r="527" spans="1:10">
      <c r="A527">
        <v>144</v>
      </c>
      <c r="B527">
        <v>7</v>
      </c>
      <c r="C527" t="s">
        <v>51</v>
      </c>
      <c r="D527">
        <v>-33.925782760059697</v>
      </c>
      <c r="E527">
        <v>18.8924984285158</v>
      </c>
      <c r="F527">
        <v>4.3799999999999999E-2</v>
      </c>
      <c r="G527">
        <v>0.1096</v>
      </c>
      <c r="H527">
        <v>6.5750000000000003E-2</v>
      </c>
      <c r="I527">
        <v>2804.6979999999999</v>
      </c>
      <c r="J527">
        <v>7863.1120000000001</v>
      </c>
    </row>
    <row r="528" spans="1:10">
      <c r="A528">
        <v>145</v>
      </c>
      <c r="B528">
        <v>7</v>
      </c>
      <c r="C528" t="s">
        <v>51</v>
      </c>
      <c r="D528">
        <v>-33.920482817662702</v>
      </c>
      <c r="E528">
        <v>18.890912525210499</v>
      </c>
      <c r="F528">
        <v>4.3799999999999999E-2</v>
      </c>
      <c r="G528">
        <v>0.1096</v>
      </c>
      <c r="H528">
        <v>6.5750000000000003E-2</v>
      </c>
      <c r="I528">
        <v>2971.442</v>
      </c>
      <c r="J528">
        <v>8029.857</v>
      </c>
    </row>
    <row r="529" spans="1:10">
      <c r="A529">
        <v>146</v>
      </c>
      <c r="B529">
        <v>7</v>
      </c>
      <c r="C529" t="s">
        <v>51</v>
      </c>
      <c r="D529">
        <v>-33.918714595792601</v>
      </c>
      <c r="E529">
        <v>18.885949740807298</v>
      </c>
      <c r="F529">
        <v>4.3799999999999999E-2</v>
      </c>
      <c r="G529">
        <v>0.1096</v>
      </c>
      <c r="H529">
        <v>6.5750000000000003E-2</v>
      </c>
      <c r="I529">
        <v>2397.4209999999998</v>
      </c>
      <c r="J529">
        <v>7455.835</v>
      </c>
    </row>
    <row r="530" spans="1:10">
      <c r="A530">
        <v>147</v>
      </c>
      <c r="B530">
        <v>7</v>
      </c>
      <c r="C530" t="s">
        <v>51</v>
      </c>
      <c r="D530">
        <v>-33.925643443427802</v>
      </c>
      <c r="E530">
        <v>18.877890941986902</v>
      </c>
      <c r="F530">
        <v>4.3799999999999999E-2</v>
      </c>
      <c r="G530">
        <v>0.1096</v>
      </c>
      <c r="H530">
        <v>6.5750000000000003E-2</v>
      </c>
      <c r="I530">
        <v>1389.6079999999999</v>
      </c>
      <c r="J530">
        <v>6435.2330000000002</v>
      </c>
    </row>
    <row r="531" spans="1:10">
      <c r="A531">
        <v>148</v>
      </c>
      <c r="B531">
        <v>7</v>
      </c>
      <c r="C531" t="s">
        <v>51</v>
      </c>
      <c r="D531">
        <v>-33.920462649656599</v>
      </c>
      <c r="E531">
        <v>18.875823137693502</v>
      </c>
      <c r="F531">
        <v>4.3799999999999999E-2</v>
      </c>
      <c r="G531">
        <v>0.1096</v>
      </c>
      <c r="H531">
        <v>6.5750000000000003E-2</v>
      </c>
      <c r="I531">
        <v>2326.14</v>
      </c>
      <c r="J531">
        <v>7026.1019999999999</v>
      </c>
    </row>
    <row r="532" spans="1:10">
      <c r="A532">
        <v>149</v>
      </c>
      <c r="B532">
        <v>7</v>
      </c>
      <c r="C532" t="s">
        <v>51</v>
      </c>
      <c r="D532">
        <v>-33.9197101397978</v>
      </c>
      <c r="E532">
        <v>18.8792106436122</v>
      </c>
      <c r="F532">
        <v>4.3799999999999999E-2</v>
      </c>
      <c r="G532">
        <v>0.1096</v>
      </c>
      <c r="H532">
        <v>6.5750000000000003E-2</v>
      </c>
      <c r="I532">
        <v>2298.652</v>
      </c>
      <c r="J532">
        <v>6998.6139999999996</v>
      </c>
    </row>
    <row r="533" spans="1:10">
      <c r="A533">
        <v>150</v>
      </c>
      <c r="B533">
        <v>7</v>
      </c>
      <c r="C533" t="s">
        <v>51</v>
      </c>
      <c r="D533">
        <v>-33.9228545428507</v>
      </c>
      <c r="E533">
        <v>18.886297758105002</v>
      </c>
      <c r="F533">
        <v>4.3799999999999999E-2</v>
      </c>
      <c r="G533">
        <v>0.1096</v>
      </c>
      <c r="H533">
        <v>6.5750000000000003E-2</v>
      </c>
      <c r="I533">
        <v>2337.8389999999999</v>
      </c>
      <c r="J533">
        <v>7396.2539999999999</v>
      </c>
    </row>
    <row r="534" spans="1:10">
      <c r="A534">
        <v>151</v>
      </c>
      <c r="B534">
        <v>7</v>
      </c>
      <c r="C534" t="s">
        <v>51</v>
      </c>
      <c r="D534">
        <v>-33.918747665374603</v>
      </c>
      <c r="E534">
        <v>18.871934835433901</v>
      </c>
      <c r="F534">
        <v>4.3799999999999999E-2</v>
      </c>
      <c r="G534">
        <v>0.1096</v>
      </c>
      <c r="H534">
        <v>6.5750000000000003E-2</v>
      </c>
      <c r="I534">
        <v>3510.8029999999999</v>
      </c>
      <c r="J534">
        <v>6737.0039999999999</v>
      </c>
    </row>
    <row r="535" spans="1:10">
      <c r="A535">
        <v>152</v>
      </c>
      <c r="B535">
        <v>7</v>
      </c>
      <c r="C535" t="s">
        <v>51</v>
      </c>
      <c r="D535">
        <v>-33.918348777165903</v>
      </c>
      <c r="E535">
        <v>18.894482594865199</v>
      </c>
      <c r="F535">
        <v>4.3799999999999999E-2</v>
      </c>
      <c r="G535">
        <v>0.1096</v>
      </c>
      <c r="H535">
        <v>6.5750000000000003E-2</v>
      </c>
      <c r="I535">
        <v>5427.8149999999996</v>
      </c>
      <c r="J535">
        <v>10486.23</v>
      </c>
    </row>
    <row r="536" spans="1:10">
      <c r="A536">
        <v>153</v>
      </c>
      <c r="B536">
        <v>7</v>
      </c>
      <c r="C536" t="s">
        <v>51</v>
      </c>
      <c r="D536">
        <v>-33.925983710207298</v>
      </c>
      <c r="E536">
        <v>18.874158562729001</v>
      </c>
      <c r="F536">
        <v>4.3799999999999999E-2</v>
      </c>
      <c r="G536">
        <v>0.1096</v>
      </c>
      <c r="H536">
        <v>6.5750000000000003E-2</v>
      </c>
      <c r="I536">
        <v>1493.0119999999999</v>
      </c>
      <c r="J536">
        <v>6329.4530000000004</v>
      </c>
    </row>
    <row r="537" spans="1:10">
      <c r="A537">
        <v>154</v>
      </c>
      <c r="B537">
        <v>7</v>
      </c>
      <c r="C537" t="s">
        <v>51</v>
      </c>
      <c r="D537">
        <v>-33.920658581289302</v>
      </c>
      <c r="E537">
        <v>18.891444708353099</v>
      </c>
      <c r="F537">
        <v>4.3799999999999999E-2</v>
      </c>
      <c r="G537">
        <v>0.1096</v>
      </c>
      <c r="H537">
        <v>6.5750000000000003E-2</v>
      </c>
      <c r="I537">
        <v>3024.223</v>
      </c>
      <c r="J537">
        <v>8082.6379999999999</v>
      </c>
    </row>
    <row r="538" spans="1:10">
      <c r="A538">
        <v>155</v>
      </c>
      <c r="B538">
        <v>7</v>
      </c>
      <c r="C538" t="s">
        <v>51</v>
      </c>
      <c r="D538">
        <v>-33.924153977624101</v>
      </c>
      <c r="E538">
        <v>18.877251558651199</v>
      </c>
      <c r="F538">
        <v>4.3799999999999999E-2</v>
      </c>
      <c r="G538">
        <v>0.1096</v>
      </c>
      <c r="H538">
        <v>6.5750000000000003E-2</v>
      </c>
      <c r="I538">
        <v>1577.367</v>
      </c>
      <c r="J538">
        <v>6635.7820000000002</v>
      </c>
    </row>
    <row r="539" spans="1:10">
      <c r="A539">
        <v>156</v>
      </c>
      <c r="B539">
        <v>7</v>
      </c>
      <c r="C539" t="s">
        <v>51</v>
      </c>
      <c r="D539">
        <v>-33.918005701592797</v>
      </c>
      <c r="E539">
        <v>18.890656436192401</v>
      </c>
      <c r="F539">
        <v>4.3799999999999999E-2</v>
      </c>
      <c r="G539">
        <v>0.1096</v>
      </c>
      <c r="H539">
        <v>6.5750000000000003E-2</v>
      </c>
      <c r="I539">
        <v>3190.8440000000001</v>
      </c>
      <c r="J539">
        <v>8249.259</v>
      </c>
    </row>
    <row r="540" spans="1:10">
      <c r="A540">
        <v>157</v>
      </c>
      <c r="B540">
        <v>7</v>
      </c>
      <c r="C540" t="s">
        <v>51</v>
      </c>
      <c r="D540">
        <v>-33.923632626252001</v>
      </c>
      <c r="E540">
        <v>18.889576883160299</v>
      </c>
      <c r="F540">
        <v>4.3799999999999999E-2</v>
      </c>
      <c r="G540">
        <v>0.1096</v>
      </c>
      <c r="H540">
        <v>6.5750000000000003E-2</v>
      </c>
      <c r="I540">
        <v>2594.9989999999998</v>
      </c>
      <c r="J540">
        <v>7653.4129999999996</v>
      </c>
    </row>
    <row r="541" spans="1:10">
      <c r="A541">
        <v>158</v>
      </c>
      <c r="B541">
        <v>7</v>
      </c>
      <c r="C541" t="s">
        <v>51</v>
      </c>
      <c r="D541">
        <v>-33.919700911573699</v>
      </c>
      <c r="E541">
        <v>18.886554866124801</v>
      </c>
      <c r="F541">
        <v>4.3799999999999999E-2</v>
      </c>
      <c r="G541">
        <v>0.1096</v>
      </c>
      <c r="H541">
        <v>6.5750000000000003E-2</v>
      </c>
      <c r="I541">
        <v>2449.7510000000002</v>
      </c>
      <c r="J541">
        <v>7508.1660000000002</v>
      </c>
    </row>
    <row r="542" spans="1:10">
      <c r="A542">
        <v>159</v>
      </c>
      <c r="B542">
        <v>7</v>
      </c>
      <c r="C542" t="s">
        <v>51</v>
      </c>
      <c r="D542">
        <v>-33.924941728527997</v>
      </c>
      <c r="E542">
        <v>18.871487980960499</v>
      </c>
      <c r="F542">
        <v>4.3799999999999999E-2</v>
      </c>
      <c r="G542">
        <v>0.1096</v>
      </c>
      <c r="H542">
        <v>6.5750000000000003E-2</v>
      </c>
      <c r="I542">
        <v>1938.1869999999999</v>
      </c>
      <c r="J542">
        <v>5858.3230000000003</v>
      </c>
    </row>
    <row r="543" spans="1:10">
      <c r="A543">
        <v>160</v>
      </c>
      <c r="B543">
        <v>7</v>
      </c>
      <c r="C543" t="s">
        <v>51</v>
      </c>
      <c r="D543">
        <v>-33.923016767718799</v>
      </c>
      <c r="E543">
        <v>18.8907255779724</v>
      </c>
      <c r="F543">
        <v>4.3799999999999999E-2</v>
      </c>
      <c r="G543">
        <v>0.1096</v>
      </c>
      <c r="H543">
        <v>6.5750000000000003E-2</v>
      </c>
      <c r="I543">
        <v>2781.7159999999999</v>
      </c>
      <c r="J543">
        <v>7840.1310000000003</v>
      </c>
    </row>
    <row r="544" spans="1:10">
      <c r="A544">
        <v>161</v>
      </c>
      <c r="B544">
        <v>7</v>
      </c>
      <c r="C544" t="s">
        <v>51</v>
      </c>
      <c r="D544">
        <v>-33.922527145465999</v>
      </c>
      <c r="E544">
        <v>18.894175550384698</v>
      </c>
      <c r="F544">
        <v>4.3799999999999999E-2</v>
      </c>
      <c r="G544">
        <v>0.1096</v>
      </c>
      <c r="H544">
        <v>6.5750000000000003E-2</v>
      </c>
      <c r="I544">
        <v>3312.3470000000002</v>
      </c>
      <c r="J544">
        <v>8370.7610000000004</v>
      </c>
    </row>
    <row r="545" spans="1:10">
      <c r="A545">
        <v>162</v>
      </c>
      <c r="B545">
        <v>7</v>
      </c>
      <c r="C545" t="s">
        <v>51</v>
      </c>
      <c r="D545">
        <v>-33.921786890966402</v>
      </c>
      <c r="E545">
        <v>18.893866421671401</v>
      </c>
      <c r="F545">
        <v>4.3799999999999999E-2</v>
      </c>
      <c r="G545">
        <v>0.1096</v>
      </c>
      <c r="H545">
        <v>6.5750000000000003E-2</v>
      </c>
      <c r="I545">
        <v>3172.2930000000001</v>
      </c>
      <c r="J545">
        <v>8230.7080000000005</v>
      </c>
    </row>
    <row r="546" spans="1:10">
      <c r="A546">
        <v>163</v>
      </c>
      <c r="B546">
        <v>7</v>
      </c>
      <c r="C546" t="s">
        <v>51</v>
      </c>
      <c r="D546">
        <v>-33.926181969496803</v>
      </c>
      <c r="E546">
        <v>18.886104358160701</v>
      </c>
      <c r="F546">
        <v>4.3799999999999999E-2</v>
      </c>
      <c r="G546">
        <v>0.1096</v>
      </c>
      <c r="H546">
        <v>6.5750000000000003E-2</v>
      </c>
      <c r="I546">
        <v>2155.7359999999999</v>
      </c>
      <c r="J546">
        <v>7214.1509999999998</v>
      </c>
    </row>
    <row r="547" spans="1:10">
      <c r="A547">
        <v>164</v>
      </c>
      <c r="B547">
        <v>7</v>
      </c>
      <c r="C547" t="s">
        <v>51</v>
      </c>
      <c r="D547">
        <v>-33.918934799522603</v>
      </c>
      <c r="E547">
        <v>18.892930841002499</v>
      </c>
      <c r="F547">
        <v>4.3799999999999999E-2</v>
      </c>
      <c r="G547">
        <v>0.1096</v>
      </c>
      <c r="H547">
        <v>6.5750000000000003E-2</v>
      </c>
      <c r="I547">
        <v>3327.7739999999999</v>
      </c>
      <c r="J547">
        <v>8386.1890000000003</v>
      </c>
    </row>
    <row r="548" spans="1:10">
      <c r="A548">
        <v>165</v>
      </c>
      <c r="B548">
        <v>7</v>
      </c>
      <c r="C548" t="s">
        <v>51</v>
      </c>
      <c r="D548">
        <v>-33.921967441973003</v>
      </c>
      <c r="E548">
        <v>18.882098885440801</v>
      </c>
      <c r="F548">
        <v>4.3799999999999999E-2</v>
      </c>
      <c r="G548">
        <v>0.1096</v>
      </c>
      <c r="H548">
        <v>6.5750000000000003E-2</v>
      </c>
      <c r="I548">
        <v>1998.0119999999999</v>
      </c>
      <c r="J548">
        <v>7056.4260000000004</v>
      </c>
    </row>
    <row r="549" spans="1:10">
      <c r="A549">
        <v>166</v>
      </c>
      <c r="B549">
        <v>7</v>
      </c>
      <c r="C549" t="s">
        <v>51</v>
      </c>
      <c r="D549">
        <v>-33.920404069929198</v>
      </c>
      <c r="E549">
        <v>18.891044003089199</v>
      </c>
      <c r="F549">
        <v>4.3799999999999999E-2</v>
      </c>
      <c r="G549">
        <v>0.1096</v>
      </c>
      <c r="H549">
        <v>6.5750000000000003E-2</v>
      </c>
      <c r="I549">
        <v>2980.1129999999998</v>
      </c>
      <c r="J549">
        <v>8038.5280000000002</v>
      </c>
    </row>
    <row r="550" spans="1:10">
      <c r="A550">
        <v>167</v>
      </c>
      <c r="B550">
        <v>7</v>
      </c>
      <c r="C550" t="s">
        <v>51</v>
      </c>
      <c r="D550">
        <v>-33.919149990718502</v>
      </c>
      <c r="E550">
        <v>18.889180444460099</v>
      </c>
      <c r="F550">
        <v>4.3799999999999999E-2</v>
      </c>
      <c r="G550">
        <v>0.1096</v>
      </c>
      <c r="H550">
        <v>6.5750000000000003E-2</v>
      </c>
      <c r="I550">
        <v>2978.3919999999998</v>
      </c>
      <c r="J550">
        <v>8036.8069999999998</v>
      </c>
    </row>
    <row r="551" spans="1:10">
      <c r="A551">
        <v>168</v>
      </c>
      <c r="B551">
        <v>7</v>
      </c>
      <c r="C551" t="s">
        <v>51</v>
      </c>
      <c r="D551">
        <v>-33.920680355457399</v>
      </c>
      <c r="E551">
        <v>18.878828747011902</v>
      </c>
      <c r="F551">
        <v>4.3799999999999999E-2</v>
      </c>
      <c r="G551">
        <v>0.1096</v>
      </c>
      <c r="H551">
        <v>6.5750000000000003E-2</v>
      </c>
      <c r="I551">
        <v>2100.11</v>
      </c>
      <c r="J551">
        <v>6800.0709999999999</v>
      </c>
    </row>
    <row r="552" spans="1:10">
      <c r="A552">
        <v>169</v>
      </c>
      <c r="B552">
        <v>7</v>
      </c>
      <c r="C552" t="s">
        <v>51</v>
      </c>
      <c r="D552">
        <v>-33.922116797401401</v>
      </c>
      <c r="E552">
        <v>18.891927151736599</v>
      </c>
      <c r="F552">
        <v>4.3799999999999999E-2</v>
      </c>
      <c r="G552">
        <v>0.1096</v>
      </c>
      <c r="H552">
        <v>6.5750000000000003E-2</v>
      </c>
      <c r="I552">
        <v>2957.9250000000002</v>
      </c>
      <c r="J552">
        <v>8016.34</v>
      </c>
    </row>
    <row r="553" spans="1:10">
      <c r="A553">
        <v>170</v>
      </c>
      <c r="B553">
        <v>7</v>
      </c>
      <c r="C553" t="s">
        <v>51</v>
      </c>
      <c r="D553">
        <v>-33.922814537877997</v>
      </c>
      <c r="E553">
        <v>18.883047116390799</v>
      </c>
      <c r="F553">
        <v>4.3799999999999999E-2</v>
      </c>
      <c r="G553">
        <v>0.1096</v>
      </c>
      <c r="H553">
        <v>6.5750000000000003E-2</v>
      </c>
      <c r="I553">
        <v>2027.376</v>
      </c>
      <c r="J553">
        <v>7085.7910000000002</v>
      </c>
    </row>
    <row r="554" spans="1:10">
      <c r="A554">
        <v>171</v>
      </c>
      <c r="B554">
        <v>7</v>
      </c>
      <c r="C554" t="s">
        <v>51</v>
      </c>
      <c r="D554">
        <v>-33.925801041084299</v>
      </c>
      <c r="E554">
        <v>18.8841468941669</v>
      </c>
      <c r="F554">
        <v>4.3799999999999999E-2</v>
      </c>
      <c r="G554">
        <v>0.1096</v>
      </c>
      <c r="H554">
        <v>6.5750000000000003E-2</v>
      </c>
      <c r="I554">
        <v>1971.134</v>
      </c>
      <c r="J554">
        <v>7029.549</v>
      </c>
    </row>
    <row r="555" spans="1:10">
      <c r="A555">
        <v>172</v>
      </c>
      <c r="B555">
        <v>7</v>
      </c>
      <c r="C555" t="s">
        <v>51</v>
      </c>
      <c r="D555">
        <v>-33.920250039667302</v>
      </c>
      <c r="E555">
        <v>18.889106980250698</v>
      </c>
      <c r="F555">
        <v>4.3799999999999999E-2</v>
      </c>
      <c r="G555">
        <v>0.1096</v>
      </c>
      <c r="H555">
        <v>6.5750000000000003E-2</v>
      </c>
      <c r="I555">
        <v>2768.84</v>
      </c>
      <c r="J555">
        <v>7827.2550000000001</v>
      </c>
    </row>
    <row r="556" spans="1:10">
      <c r="A556">
        <v>173</v>
      </c>
      <c r="B556">
        <v>7</v>
      </c>
      <c r="C556" t="s">
        <v>51</v>
      </c>
      <c r="D556">
        <v>-33.926266724024501</v>
      </c>
      <c r="E556">
        <v>18.890922172335301</v>
      </c>
      <c r="F556">
        <v>4.3799999999999999E-2</v>
      </c>
      <c r="G556">
        <v>0.1096</v>
      </c>
      <c r="H556">
        <v>6.5750000000000003E-2</v>
      </c>
      <c r="I556">
        <v>2597.6439999999998</v>
      </c>
      <c r="J556">
        <v>7656.0590000000002</v>
      </c>
    </row>
    <row r="557" spans="1:10">
      <c r="A557">
        <v>174</v>
      </c>
      <c r="B557">
        <v>7</v>
      </c>
      <c r="C557" t="s">
        <v>51</v>
      </c>
      <c r="D557">
        <v>-33.9226260764054</v>
      </c>
      <c r="E557">
        <v>18.877877007908001</v>
      </c>
      <c r="F557">
        <v>4.3799999999999999E-2</v>
      </c>
      <c r="G557">
        <v>0.1096</v>
      </c>
      <c r="H557">
        <v>6.5750000000000003E-2</v>
      </c>
      <c r="I557">
        <v>1877.575</v>
      </c>
      <c r="J557">
        <v>6677.0519999999997</v>
      </c>
    </row>
    <row r="558" spans="1:10">
      <c r="A558">
        <v>175</v>
      </c>
      <c r="B558">
        <v>7</v>
      </c>
      <c r="C558" t="s">
        <v>51</v>
      </c>
      <c r="D558">
        <v>-33.918471730955901</v>
      </c>
      <c r="E558">
        <v>18.879704463237299</v>
      </c>
      <c r="F558">
        <v>4.3799999999999999E-2</v>
      </c>
      <c r="G558">
        <v>0.1096</v>
      </c>
      <c r="H558">
        <v>6.5750000000000003E-2</v>
      </c>
      <c r="I558">
        <v>2428.2849999999999</v>
      </c>
      <c r="J558">
        <v>7128.2470000000003</v>
      </c>
    </row>
    <row r="559" spans="1:10">
      <c r="A559">
        <v>176</v>
      </c>
      <c r="B559">
        <v>7</v>
      </c>
      <c r="C559" t="s">
        <v>51</v>
      </c>
      <c r="D559">
        <v>-33.922322372849997</v>
      </c>
      <c r="E559">
        <v>18.890347016539899</v>
      </c>
      <c r="F559">
        <v>4.3799999999999999E-2</v>
      </c>
      <c r="G559">
        <v>0.1096</v>
      </c>
      <c r="H559">
        <v>6.5750000000000003E-2</v>
      </c>
      <c r="I559">
        <v>2780.4470000000001</v>
      </c>
      <c r="J559">
        <v>7838.8620000000001</v>
      </c>
    </row>
    <row r="560" spans="1:10">
      <c r="A560">
        <v>177</v>
      </c>
      <c r="B560">
        <v>7</v>
      </c>
      <c r="C560" t="s">
        <v>51</v>
      </c>
      <c r="D560">
        <v>-33.920846522528201</v>
      </c>
      <c r="E560">
        <v>18.893029484785899</v>
      </c>
      <c r="F560">
        <v>4.3799999999999999E-2</v>
      </c>
      <c r="G560">
        <v>0.1096</v>
      </c>
      <c r="H560">
        <v>6.5750000000000003E-2</v>
      </c>
      <c r="I560">
        <v>3232.2139999999999</v>
      </c>
      <c r="J560">
        <v>8290.6290000000008</v>
      </c>
    </row>
    <row r="561" spans="1:10">
      <c r="A561">
        <v>178</v>
      </c>
      <c r="B561">
        <v>7</v>
      </c>
      <c r="C561" t="s">
        <v>51</v>
      </c>
      <c r="D561">
        <v>-33.923179623157303</v>
      </c>
      <c r="E561">
        <v>18.873189437159201</v>
      </c>
      <c r="F561">
        <v>4.3799999999999999E-2</v>
      </c>
      <c r="G561">
        <v>0.1096</v>
      </c>
      <c r="H561">
        <v>6.5750000000000003E-2</v>
      </c>
      <c r="I561">
        <v>1898.3679999999999</v>
      </c>
      <c r="J561">
        <v>6295.3140000000003</v>
      </c>
    </row>
    <row r="562" spans="1:10">
      <c r="A562">
        <v>179</v>
      </c>
      <c r="B562">
        <v>7</v>
      </c>
      <c r="C562" t="s">
        <v>51</v>
      </c>
      <c r="D562">
        <v>-33.924544618879501</v>
      </c>
      <c r="E562">
        <v>18.885468498456099</v>
      </c>
      <c r="F562">
        <v>4.3799999999999999E-2</v>
      </c>
      <c r="G562">
        <v>0.1096</v>
      </c>
      <c r="H562">
        <v>6.5750000000000003E-2</v>
      </c>
      <c r="I562">
        <v>2162.6410000000001</v>
      </c>
      <c r="J562">
        <v>7221.0559999999996</v>
      </c>
    </row>
    <row r="563" spans="1:10">
      <c r="A563">
        <v>180</v>
      </c>
      <c r="B563">
        <v>7</v>
      </c>
      <c r="C563" t="s">
        <v>51</v>
      </c>
      <c r="D563">
        <v>-33.923798721919901</v>
      </c>
      <c r="E563">
        <v>18.872571425627999</v>
      </c>
      <c r="F563">
        <v>4.3799999999999999E-2</v>
      </c>
      <c r="G563">
        <v>0.1096</v>
      </c>
      <c r="H563">
        <v>6.5750000000000003E-2</v>
      </c>
      <c r="I563">
        <v>1912.8019999999999</v>
      </c>
      <c r="J563">
        <v>6309.7489999999998</v>
      </c>
    </row>
    <row r="564" spans="1:10">
      <c r="A564">
        <v>181</v>
      </c>
      <c r="B564">
        <v>7</v>
      </c>
      <c r="C564" t="s">
        <v>51</v>
      </c>
      <c r="D564">
        <v>-33.924789772135</v>
      </c>
      <c r="E564">
        <v>18.894574541824898</v>
      </c>
      <c r="F564">
        <v>4.3799999999999999E-2</v>
      </c>
      <c r="G564">
        <v>0.1096</v>
      </c>
      <c r="H564">
        <v>6.5750000000000003E-2</v>
      </c>
      <c r="I564">
        <v>3498.4630000000002</v>
      </c>
      <c r="J564">
        <v>8556.8780000000006</v>
      </c>
    </row>
    <row r="565" spans="1:10">
      <c r="A565">
        <v>182</v>
      </c>
      <c r="B565">
        <v>7</v>
      </c>
      <c r="C565" t="s">
        <v>51</v>
      </c>
      <c r="D565">
        <v>-33.920140541876101</v>
      </c>
      <c r="E565">
        <v>18.889435873819501</v>
      </c>
      <c r="F565">
        <v>4.3799999999999999E-2</v>
      </c>
      <c r="G565">
        <v>0.1096</v>
      </c>
      <c r="H565">
        <v>6.5750000000000003E-2</v>
      </c>
      <c r="I565">
        <v>2883.5770000000002</v>
      </c>
      <c r="J565">
        <v>7941.991</v>
      </c>
    </row>
    <row r="566" spans="1:10">
      <c r="A566">
        <v>183</v>
      </c>
      <c r="B566">
        <v>7</v>
      </c>
      <c r="C566" t="s">
        <v>51</v>
      </c>
      <c r="D566">
        <v>-33.9190884819212</v>
      </c>
      <c r="E566">
        <v>18.873901220806701</v>
      </c>
      <c r="F566">
        <v>4.3799999999999999E-2</v>
      </c>
      <c r="G566">
        <v>0.1096</v>
      </c>
      <c r="H566">
        <v>6.5750000000000003E-2</v>
      </c>
      <c r="I566">
        <v>4043.2359999999999</v>
      </c>
      <c r="J566">
        <v>7269.4369999999999</v>
      </c>
    </row>
    <row r="567" spans="1:10">
      <c r="A567">
        <v>184</v>
      </c>
      <c r="B567">
        <v>7</v>
      </c>
      <c r="C567" t="s">
        <v>51</v>
      </c>
      <c r="D567">
        <v>-33.920166788146503</v>
      </c>
      <c r="E567">
        <v>18.880388333214501</v>
      </c>
      <c r="F567">
        <v>4.3799999999999999E-2</v>
      </c>
      <c r="G567">
        <v>0.1096</v>
      </c>
      <c r="H567">
        <v>6.5750000000000003E-2</v>
      </c>
      <c r="I567">
        <v>2077.0500000000002</v>
      </c>
      <c r="J567">
        <v>6883.7939999999999</v>
      </c>
    </row>
    <row r="568" spans="1:10">
      <c r="A568">
        <v>185</v>
      </c>
      <c r="B568">
        <v>7</v>
      </c>
      <c r="C568" t="s">
        <v>51</v>
      </c>
      <c r="D568">
        <v>-33.920670256134898</v>
      </c>
      <c r="E568">
        <v>18.877290454229101</v>
      </c>
      <c r="F568">
        <v>4.3799999999999999E-2</v>
      </c>
      <c r="G568">
        <v>0.1096</v>
      </c>
      <c r="H568">
        <v>6.5750000000000003E-2</v>
      </c>
      <c r="I568">
        <v>2294.81</v>
      </c>
      <c r="J568">
        <v>6994.7719999999999</v>
      </c>
    </row>
    <row r="569" spans="1:10">
      <c r="A569">
        <v>186</v>
      </c>
      <c r="B569">
        <v>7</v>
      </c>
      <c r="C569" t="s">
        <v>51</v>
      </c>
      <c r="D569">
        <v>-33.9261812032276</v>
      </c>
      <c r="E569">
        <v>18.871220611178401</v>
      </c>
      <c r="F569">
        <v>4.3799999999999999E-2</v>
      </c>
      <c r="G569">
        <v>0.1096</v>
      </c>
      <c r="H569">
        <v>6.5750000000000003E-2</v>
      </c>
      <c r="I569">
        <v>2056.34</v>
      </c>
      <c r="J569">
        <v>5793.1540000000005</v>
      </c>
    </row>
    <row r="570" spans="1:10">
      <c r="A570">
        <v>187</v>
      </c>
      <c r="B570">
        <v>7</v>
      </c>
      <c r="C570" t="s">
        <v>51</v>
      </c>
      <c r="D570">
        <v>-33.919911769039302</v>
      </c>
      <c r="E570">
        <v>18.886844303204899</v>
      </c>
      <c r="F570">
        <v>4.3799999999999999E-2</v>
      </c>
      <c r="G570">
        <v>0.1096</v>
      </c>
      <c r="H570">
        <v>6.5750000000000003E-2</v>
      </c>
      <c r="I570">
        <v>2482.134</v>
      </c>
      <c r="J570">
        <v>7540.549</v>
      </c>
    </row>
    <row r="571" spans="1:10">
      <c r="A571">
        <v>188</v>
      </c>
      <c r="B571">
        <v>7</v>
      </c>
      <c r="C571" t="s">
        <v>51</v>
      </c>
      <c r="D571">
        <v>-33.925599153572797</v>
      </c>
      <c r="E571">
        <v>18.894520558050999</v>
      </c>
      <c r="F571">
        <v>4.3799999999999999E-2</v>
      </c>
      <c r="G571">
        <v>0.1096</v>
      </c>
      <c r="H571">
        <v>6.5750000000000003E-2</v>
      </c>
      <c r="I571">
        <v>3477.7069999999999</v>
      </c>
      <c r="J571">
        <v>8536.1219999999994</v>
      </c>
    </row>
    <row r="572" spans="1:10">
      <c r="A572">
        <v>189</v>
      </c>
      <c r="B572">
        <v>7</v>
      </c>
      <c r="C572" t="s">
        <v>51</v>
      </c>
      <c r="D572">
        <v>-33.924994819252802</v>
      </c>
      <c r="E572">
        <v>18.8905647756417</v>
      </c>
      <c r="F572">
        <v>4.3799999999999999E-2</v>
      </c>
      <c r="G572">
        <v>0.1096</v>
      </c>
      <c r="H572">
        <v>6.5750000000000003E-2</v>
      </c>
      <c r="I572">
        <v>3025.076</v>
      </c>
      <c r="J572">
        <v>8083.49</v>
      </c>
    </row>
    <row r="573" spans="1:10">
      <c r="A573">
        <v>190</v>
      </c>
      <c r="B573">
        <v>7</v>
      </c>
      <c r="C573" t="s">
        <v>51</v>
      </c>
      <c r="D573">
        <v>-33.919967372055503</v>
      </c>
      <c r="E573">
        <v>18.8729362959062</v>
      </c>
      <c r="F573">
        <v>4.3799999999999999E-2</v>
      </c>
      <c r="G573">
        <v>0.1096</v>
      </c>
      <c r="H573">
        <v>6.5750000000000003E-2</v>
      </c>
      <c r="I573">
        <v>4242.4219999999996</v>
      </c>
      <c r="J573">
        <v>7468.6229999999996</v>
      </c>
    </row>
    <row r="574" spans="1:10">
      <c r="A574">
        <v>191</v>
      </c>
      <c r="B574">
        <v>7</v>
      </c>
      <c r="C574" t="s">
        <v>51</v>
      </c>
      <c r="D574">
        <v>-33.922941739248401</v>
      </c>
      <c r="E574">
        <v>18.8943642399414</v>
      </c>
      <c r="F574">
        <v>4.3799999999999999E-2</v>
      </c>
      <c r="G574">
        <v>0.1096</v>
      </c>
      <c r="H574">
        <v>6.5750000000000003E-2</v>
      </c>
      <c r="I574">
        <v>3284.6889999999999</v>
      </c>
      <c r="J574">
        <v>8343.1039999999994</v>
      </c>
    </row>
    <row r="575" spans="1:10">
      <c r="A575">
        <v>192</v>
      </c>
      <c r="B575">
        <v>7</v>
      </c>
      <c r="C575" t="s">
        <v>51</v>
      </c>
      <c r="D575">
        <v>-33.923899385909898</v>
      </c>
      <c r="E575">
        <v>18.8846819129602</v>
      </c>
      <c r="F575">
        <v>4.3799999999999999E-2</v>
      </c>
      <c r="G575">
        <v>0.1096</v>
      </c>
      <c r="H575">
        <v>6.5750000000000003E-2</v>
      </c>
      <c r="I575">
        <v>2095.5050000000001</v>
      </c>
      <c r="J575">
        <v>7153.92</v>
      </c>
    </row>
    <row r="576" spans="1:10">
      <c r="A576">
        <v>193</v>
      </c>
      <c r="B576">
        <v>7</v>
      </c>
      <c r="C576" t="s">
        <v>51</v>
      </c>
      <c r="D576">
        <v>-33.922815659772901</v>
      </c>
      <c r="E576">
        <v>18.891942833091999</v>
      </c>
      <c r="F576">
        <v>4.3799999999999999E-2</v>
      </c>
      <c r="G576">
        <v>0.1096</v>
      </c>
      <c r="H576">
        <v>6.5750000000000003E-2</v>
      </c>
      <c r="I576">
        <v>2918.3</v>
      </c>
      <c r="J576">
        <v>7976.7150000000001</v>
      </c>
    </row>
    <row r="577" spans="1:10">
      <c r="A577">
        <v>194</v>
      </c>
      <c r="B577">
        <v>7</v>
      </c>
      <c r="C577" t="s">
        <v>51</v>
      </c>
      <c r="D577">
        <v>-33.924485905549297</v>
      </c>
      <c r="E577">
        <v>18.8748653757245</v>
      </c>
      <c r="F577">
        <v>4.3799999999999999E-2</v>
      </c>
      <c r="G577">
        <v>0.1096</v>
      </c>
      <c r="H577">
        <v>6.5750000000000003E-2</v>
      </c>
      <c r="I577">
        <v>1727.7860000000001</v>
      </c>
      <c r="J577">
        <v>6786.201</v>
      </c>
    </row>
    <row r="578" spans="1:10">
      <c r="A578">
        <v>195</v>
      </c>
      <c r="B578">
        <v>7</v>
      </c>
      <c r="C578" t="s">
        <v>51</v>
      </c>
      <c r="D578">
        <v>-33.9178667817799</v>
      </c>
      <c r="E578">
        <v>18.893298008364098</v>
      </c>
      <c r="F578">
        <v>4.3799999999999999E-2</v>
      </c>
      <c r="G578">
        <v>0.1096</v>
      </c>
      <c r="H578">
        <v>6.5750000000000003E-2</v>
      </c>
      <c r="I578">
        <v>3428.9879999999998</v>
      </c>
      <c r="J578">
        <v>8487.4030000000002</v>
      </c>
    </row>
    <row r="579" spans="1:10">
      <c r="A579">
        <v>196</v>
      </c>
      <c r="B579">
        <v>7</v>
      </c>
      <c r="C579" t="s">
        <v>51</v>
      </c>
      <c r="D579">
        <v>-33.920433203271699</v>
      </c>
      <c r="E579">
        <v>18.879263175973598</v>
      </c>
      <c r="F579">
        <v>4.3799999999999999E-2</v>
      </c>
      <c r="G579">
        <v>0.1096</v>
      </c>
      <c r="H579">
        <v>6.5750000000000003E-2</v>
      </c>
      <c r="I579">
        <v>2147.819</v>
      </c>
      <c r="J579">
        <v>6847.7809999999999</v>
      </c>
    </row>
    <row r="580" spans="1:10">
      <c r="A580">
        <v>197</v>
      </c>
      <c r="B580">
        <v>7</v>
      </c>
      <c r="C580" t="s">
        <v>51</v>
      </c>
      <c r="D580">
        <v>-33.924049555059199</v>
      </c>
      <c r="E580">
        <v>18.880825095592499</v>
      </c>
      <c r="F580">
        <v>4.3799999999999999E-2</v>
      </c>
      <c r="G580">
        <v>0.1096</v>
      </c>
      <c r="H580">
        <v>6.5750000000000003E-2</v>
      </c>
      <c r="I580">
        <v>1738.5519999999999</v>
      </c>
      <c r="J580">
        <v>6796.9669999999996</v>
      </c>
    </row>
    <row r="581" spans="1:10">
      <c r="A581">
        <v>198</v>
      </c>
      <c r="B581">
        <v>7</v>
      </c>
      <c r="C581" t="s">
        <v>51</v>
      </c>
      <c r="D581">
        <v>-33.9224262580992</v>
      </c>
      <c r="E581">
        <v>18.883559970116998</v>
      </c>
      <c r="F581">
        <v>4.3799999999999999E-2</v>
      </c>
      <c r="G581">
        <v>0.1096</v>
      </c>
      <c r="H581">
        <v>6.5750000000000003E-2</v>
      </c>
      <c r="I581">
        <v>2088.6410000000001</v>
      </c>
      <c r="J581">
        <v>7147.0559999999996</v>
      </c>
    </row>
    <row r="582" spans="1:10">
      <c r="A582">
        <v>199</v>
      </c>
      <c r="B582">
        <v>7</v>
      </c>
      <c r="C582" t="s">
        <v>51</v>
      </c>
      <c r="D582">
        <v>-33.918604421554299</v>
      </c>
      <c r="E582">
        <v>18.876986525455699</v>
      </c>
      <c r="F582">
        <v>4.3799999999999999E-2</v>
      </c>
      <c r="G582">
        <v>0.1096</v>
      </c>
      <c r="H582">
        <v>6.5750000000000003E-2</v>
      </c>
      <c r="I582">
        <v>2405.6669999999999</v>
      </c>
      <c r="J582">
        <v>7105.6289999999999</v>
      </c>
    </row>
    <row r="583" spans="1:10">
      <c r="A583">
        <v>200</v>
      </c>
      <c r="B583">
        <v>7</v>
      </c>
      <c r="C583" t="s">
        <v>51</v>
      </c>
      <c r="D583">
        <v>-33.924907195174399</v>
      </c>
      <c r="E583">
        <v>18.873515228220199</v>
      </c>
      <c r="F583">
        <v>4.3799999999999999E-2</v>
      </c>
      <c r="G583">
        <v>0.1096</v>
      </c>
      <c r="H583">
        <v>6.5750000000000003E-2</v>
      </c>
      <c r="I583">
        <v>1774.6420000000001</v>
      </c>
      <c r="J583">
        <v>6050.5379999999996</v>
      </c>
    </row>
    <row r="584" spans="1:10">
      <c r="A584">
        <v>201</v>
      </c>
      <c r="B584">
        <v>7</v>
      </c>
      <c r="C584" t="s">
        <v>51</v>
      </c>
      <c r="D584">
        <v>-33.919016519753498</v>
      </c>
      <c r="E584">
        <v>18.885521091971398</v>
      </c>
      <c r="F584">
        <v>4.3799999999999999E-2</v>
      </c>
      <c r="G584">
        <v>0.1096</v>
      </c>
      <c r="H584">
        <v>6.5750000000000003E-2</v>
      </c>
      <c r="I584">
        <v>2397.4209999999998</v>
      </c>
      <c r="J584">
        <v>7455.835</v>
      </c>
    </row>
    <row r="585" spans="1:10">
      <c r="A585">
        <v>202</v>
      </c>
      <c r="B585">
        <v>7</v>
      </c>
      <c r="C585" t="s">
        <v>51</v>
      </c>
      <c r="D585">
        <v>-33.918353295245304</v>
      </c>
      <c r="E585">
        <v>18.8766626504421</v>
      </c>
      <c r="F585">
        <v>4.3799999999999999E-2</v>
      </c>
      <c r="G585">
        <v>0.1096</v>
      </c>
      <c r="H585">
        <v>6.5750000000000003E-2</v>
      </c>
      <c r="I585">
        <v>2441.9879999999998</v>
      </c>
      <c r="J585">
        <v>7141.95</v>
      </c>
    </row>
    <row r="586" spans="1:10">
      <c r="A586">
        <v>203</v>
      </c>
      <c r="B586">
        <v>7</v>
      </c>
      <c r="C586" t="s">
        <v>51</v>
      </c>
      <c r="D586">
        <v>-33.925707506780697</v>
      </c>
      <c r="E586">
        <v>18.8782833980692</v>
      </c>
      <c r="F586">
        <v>4.3799999999999999E-2</v>
      </c>
      <c r="G586">
        <v>0.1096</v>
      </c>
      <c r="H586">
        <v>6.5750000000000003E-2</v>
      </c>
      <c r="I586">
        <v>1414.74</v>
      </c>
      <c r="J586">
        <v>6460.3649999999998</v>
      </c>
    </row>
    <row r="587" spans="1:10">
      <c r="A587">
        <v>204</v>
      </c>
      <c r="B587">
        <v>7</v>
      </c>
      <c r="C587" t="s">
        <v>51</v>
      </c>
      <c r="D587">
        <v>-33.921707604417897</v>
      </c>
      <c r="E587">
        <v>18.873416860517601</v>
      </c>
      <c r="F587">
        <v>4.3799999999999999E-2</v>
      </c>
      <c r="G587">
        <v>0.1096</v>
      </c>
      <c r="H587">
        <v>6.5750000000000003E-2</v>
      </c>
      <c r="I587">
        <v>4354.7030000000004</v>
      </c>
      <c r="J587">
        <v>7580.9040000000005</v>
      </c>
    </row>
    <row r="588" spans="1:10">
      <c r="A588">
        <v>205</v>
      </c>
      <c r="B588">
        <v>7</v>
      </c>
      <c r="C588" t="s">
        <v>51</v>
      </c>
      <c r="D588">
        <v>-33.920785398538897</v>
      </c>
      <c r="E588">
        <v>18.886872367136899</v>
      </c>
      <c r="F588">
        <v>4.3799999999999999E-2</v>
      </c>
      <c r="G588">
        <v>0.1096</v>
      </c>
      <c r="H588">
        <v>6.5750000000000003E-2</v>
      </c>
      <c r="I588">
        <v>2509.424</v>
      </c>
      <c r="J588">
        <v>7567.8389999999999</v>
      </c>
    </row>
    <row r="589" spans="1:10">
      <c r="A589">
        <v>206</v>
      </c>
      <c r="B589">
        <v>7</v>
      </c>
      <c r="C589" t="s">
        <v>51</v>
      </c>
      <c r="D589">
        <v>-33.925183917563203</v>
      </c>
      <c r="E589">
        <v>18.8893556459198</v>
      </c>
      <c r="F589">
        <v>4.3799999999999999E-2</v>
      </c>
      <c r="G589">
        <v>0.1096</v>
      </c>
      <c r="H589">
        <v>6.5750000000000003E-2</v>
      </c>
      <c r="I589">
        <v>2542.7420000000002</v>
      </c>
      <c r="J589">
        <v>7601.1570000000002</v>
      </c>
    </row>
    <row r="590" spans="1:10">
      <c r="A590">
        <v>207</v>
      </c>
      <c r="B590">
        <v>7</v>
      </c>
      <c r="C590" t="s">
        <v>51</v>
      </c>
      <c r="D590">
        <v>-33.9210460808264</v>
      </c>
      <c r="E590">
        <v>18.883751460619202</v>
      </c>
      <c r="F590">
        <v>4.3799999999999999E-2</v>
      </c>
      <c r="G590">
        <v>0.1096</v>
      </c>
      <c r="H590">
        <v>6.5750000000000003E-2</v>
      </c>
      <c r="I590">
        <v>2240.3780000000002</v>
      </c>
      <c r="J590">
        <v>7298.7929999999997</v>
      </c>
    </row>
    <row r="591" spans="1:10">
      <c r="A591">
        <v>208</v>
      </c>
      <c r="B591">
        <v>7</v>
      </c>
      <c r="C591" t="s">
        <v>51</v>
      </c>
      <c r="D591">
        <v>-33.9194116669211</v>
      </c>
      <c r="E591">
        <v>18.8731397463599</v>
      </c>
      <c r="F591">
        <v>4.3799999999999999E-2</v>
      </c>
      <c r="G591">
        <v>0.1096</v>
      </c>
      <c r="H591">
        <v>6.5750000000000003E-2</v>
      </c>
      <c r="I591">
        <v>4038.9319999999998</v>
      </c>
      <c r="J591">
        <v>7265.1329999999998</v>
      </c>
    </row>
    <row r="592" spans="1:10">
      <c r="A592">
        <v>209</v>
      </c>
      <c r="B592">
        <v>7</v>
      </c>
      <c r="C592" t="s">
        <v>51</v>
      </c>
      <c r="D592">
        <v>-33.924188892881901</v>
      </c>
      <c r="E592">
        <v>18.880531982263101</v>
      </c>
      <c r="F592">
        <v>4.3799999999999999E-2</v>
      </c>
      <c r="G592">
        <v>0.1096</v>
      </c>
      <c r="H592">
        <v>6.5750000000000003E-2</v>
      </c>
      <c r="I592">
        <v>1711.5920000000001</v>
      </c>
      <c r="J592">
        <v>6770.0069999999996</v>
      </c>
    </row>
    <row r="593" spans="1:10">
      <c r="A593">
        <v>210</v>
      </c>
      <c r="B593">
        <v>7</v>
      </c>
      <c r="C593" t="s">
        <v>51</v>
      </c>
      <c r="D593">
        <v>-33.922954990653899</v>
      </c>
      <c r="E593">
        <v>18.873925962562499</v>
      </c>
      <c r="F593">
        <v>4.3799999999999999E-2</v>
      </c>
      <c r="G593">
        <v>0.1096</v>
      </c>
      <c r="H593">
        <v>6.5750000000000003E-2</v>
      </c>
      <c r="I593">
        <v>1960.5260000000001</v>
      </c>
      <c r="J593">
        <v>6357.473</v>
      </c>
    </row>
    <row r="594" spans="1:10">
      <c r="A594">
        <v>211</v>
      </c>
      <c r="B594">
        <v>7</v>
      </c>
      <c r="C594" t="s">
        <v>51</v>
      </c>
      <c r="D594">
        <v>-33.9253024379056</v>
      </c>
      <c r="E594">
        <v>18.892459612807102</v>
      </c>
      <c r="F594">
        <v>4.3799999999999999E-2</v>
      </c>
      <c r="G594">
        <v>0.1096</v>
      </c>
      <c r="H594">
        <v>6.5750000000000003E-2</v>
      </c>
      <c r="I594">
        <v>2935.6480000000001</v>
      </c>
      <c r="J594">
        <v>7994.0619999999999</v>
      </c>
    </row>
    <row r="595" spans="1:10">
      <c r="A595">
        <v>212</v>
      </c>
      <c r="B595">
        <v>7</v>
      </c>
      <c r="C595" t="s">
        <v>51</v>
      </c>
      <c r="D595">
        <v>-33.918059008928203</v>
      </c>
      <c r="E595">
        <v>18.873098086087001</v>
      </c>
      <c r="F595">
        <v>4.3799999999999999E-2</v>
      </c>
      <c r="G595">
        <v>0.1096</v>
      </c>
      <c r="H595">
        <v>6.5750000000000003E-2</v>
      </c>
      <c r="I595">
        <v>3663.74</v>
      </c>
      <c r="J595">
        <v>6889.9409999999998</v>
      </c>
    </row>
    <row r="596" spans="1:10">
      <c r="A596">
        <v>0</v>
      </c>
      <c r="B596">
        <v>8</v>
      </c>
      <c r="C596" t="s">
        <v>11</v>
      </c>
      <c r="D596">
        <v>-33.90845831483</v>
      </c>
      <c r="E596">
        <v>18.8521130056046</v>
      </c>
      <c r="F596">
        <v>6.5750000000000003E-2</v>
      </c>
      <c r="G596">
        <v>0.1643</v>
      </c>
      <c r="H596">
        <v>9.8599999999999993E-2</v>
      </c>
      <c r="I596">
        <v>5052.2330000000002</v>
      </c>
      <c r="J596">
        <v>6969.7740000000003</v>
      </c>
    </row>
    <row r="597" spans="1:10">
      <c r="A597">
        <v>1</v>
      </c>
      <c r="B597">
        <v>8</v>
      </c>
      <c r="C597" t="s">
        <v>11</v>
      </c>
      <c r="D597">
        <v>-33.905068410556296</v>
      </c>
      <c r="E597">
        <v>18.8464069003305</v>
      </c>
      <c r="F597">
        <v>6.5750000000000003E-2</v>
      </c>
      <c r="G597">
        <v>0.1643</v>
      </c>
      <c r="H597">
        <v>9.8599999999999993E-2</v>
      </c>
      <c r="I597">
        <v>6153.0770000000002</v>
      </c>
      <c r="J597">
        <v>8070.6170000000002</v>
      </c>
    </row>
    <row r="598" spans="1:10">
      <c r="A598">
        <v>2</v>
      </c>
      <c r="B598">
        <v>8</v>
      </c>
      <c r="C598" t="s">
        <v>11</v>
      </c>
      <c r="D598">
        <v>-33.915726435300499</v>
      </c>
      <c r="E598">
        <v>18.852047076256198</v>
      </c>
      <c r="F598">
        <v>6.5750000000000003E-2</v>
      </c>
      <c r="G598">
        <v>0.1643</v>
      </c>
      <c r="H598">
        <v>9.8599999999999993E-2</v>
      </c>
      <c r="I598">
        <v>3824.848</v>
      </c>
      <c r="J598">
        <v>5742.3890000000001</v>
      </c>
    </row>
    <row r="599" spans="1:10">
      <c r="A599">
        <v>3</v>
      </c>
      <c r="B599">
        <v>8</v>
      </c>
      <c r="C599" t="s">
        <v>11</v>
      </c>
      <c r="D599">
        <v>-33.910545536628703</v>
      </c>
      <c r="E599">
        <v>18.8469285168946</v>
      </c>
      <c r="F599">
        <v>6.5750000000000003E-2</v>
      </c>
      <c r="G599">
        <v>0.1643</v>
      </c>
      <c r="H599">
        <v>9.8599999999999993E-2</v>
      </c>
      <c r="I599">
        <v>4552.2129999999997</v>
      </c>
      <c r="J599">
        <v>6469.7539999999999</v>
      </c>
    </row>
    <row r="600" spans="1:10">
      <c r="A600">
        <v>4</v>
      </c>
      <c r="B600">
        <v>8</v>
      </c>
      <c r="C600" t="s">
        <v>11</v>
      </c>
      <c r="D600">
        <v>-33.898688923937797</v>
      </c>
      <c r="E600">
        <v>18.8440857495473</v>
      </c>
      <c r="F600">
        <v>6.5750000000000003E-2</v>
      </c>
      <c r="G600">
        <v>0.1643</v>
      </c>
      <c r="H600">
        <v>9.8599999999999993E-2</v>
      </c>
      <c r="I600">
        <v>6392.2520000000004</v>
      </c>
      <c r="J600">
        <v>8309.7929999999997</v>
      </c>
    </row>
    <row r="601" spans="1:10">
      <c r="A601">
        <v>5</v>
      </c>
      <c r="B601">
        <v>8</v>
      </c>
      <c r="C601" t="s">
        <v>11</v>
      </c>
      <c r="D601">
        <v>-33.917119772361403</v>
      </c>
      <c r="E601">
        <v>18.8538243231412</v>
      </c>
      <c r="F601">
        <v>6.5750000000000003E-2</v>
      </c>
      <c r="G601">
        <v>0.1643</v>
      </c>
      <c r="H601">
        <v>9.8599999999999993E-2</v>
      </c>
      <c r="I601">
        <v>3885.0050000000001</v>
      </c>
      <c r="J601">
        <v>5802.5450000000001</v>
      </c>
    </row>
    <row r="602" spans="1:10">
      <c r="A602">
        <v>6</v>
      </c>
      <c r="B602">
        <v>8</v>
      </c>
      <c r="C602" t="s">
        <v>11</v>
      </c>
      <c r="D602">
        <v>-33.911021138859901</v>
      </c>
      <c r="E602">
        <v>18.850825337581401</v>
      </c>
      <c r="F602">
        <v>6.5750000000000003E-2</v>
      </c>
      <c r="G602">
        <v>0.1643</v>
      </c>
      <c r="H602">
        <v>9.8599999999999993E-2</v>
      </c>
      <c r="I602">
        <v>5077.7280000000001</v>
      </c>
      <c r="J602">
        <v>6995.2690000000002</v>
      </c>
    </row>
    <row r="603" spans="1:10">
      <c r="A603">
        <v>7</v>
      </c>
      <c r="B603">
        <v>8</v>
      </c>
      <c r="C603" t="s">
        <v>11</v>
      </c>
      <c r="D603">
        <v>-33.907922019346401</v>
      </c>
      <c r="E603">
        <v>18.8593188387797</v>
      </c>
      <c r="F603">
        <v>6.5750000000000003E-2</v>
      </c>
      <c r="G603">
        <v>0.1643</v>
      </c>
      <c r="H603">
        <v>9.8599999999999993E-2</v>
      </c>
      <c r="I603">
        <v>4758.5820000000003</v>
      </c>
      <c r="J603">
        <v>6676.1229999999996</v>
      </c>
    </row>
    <row r="604" spans="1:10">
      <c r="A604">
        <v>8</v>
      </c>
      <c r="B604">
        <v>8</v>
      </c>
      <c r="C604" t="s">
        <v>11</v>
      </c>
      <c r="D604">
        <v>-33.9078376675687</v>
      </c>
      <c r="E604">
        <v>18.851270941766501</v>
      </c>
      <c r="F604">
        <v>6.5750000000000003E-2</v>
      </c>
      <c r="G604">
        <v>0.1643</v>
      </c>
      <c r="H604">
        <v>9.8599999999999993E-2</v>
      </c>
      <c r="I604">
        <v>5136.9279999999999</v>
      </c>
      <c r="J604">
        <v>7054.4690000000001</v>
      </c>
    </row>
    <row r="605" spans="1:10">
      <c r="A605">
        <v>9</v>
      </c>
      <c r="B605">
        <v>8</v>
      </c>
      <c r="C605" t="s">
        <v>11</v>
      </c>
      <c r="D605">
        <v>-33.9028196056395</v>
      </c>
      <c r="E605">
        <v>18.858739008196899</v>
      </c>
      <c r="F605">
        <v>6.5750000000000003E-2</v>
      </c>
      <c r="G605">
        <v>0.1643</v>
      </c>
      <c r="H605">
        <v>9.8599999999999993E-2</v>
      </c>
      <c r="I605">
        <v>5930.9290000000001</v>
      </c>
      <c r="J605">
        <v>7848.47</v>
      </c>
    </row>
    <row r="606" spans="1:10">
      <c r="A606">
        <v>10</v>
      </c>
      <c r="B606">
        <v>8</v>
      </c>
      <c r="C606" t="s">
        <v>11</v>
      </c>
      <c r="D606">
        <v>-33.906849370459703</v>
      </c>
      <c r="E606">
        <v>18.852286062134699</v>
      </c>
      <c r="F606">
        <v>6.5750000000000003E-2</v>
      </c>
      <c r="G606">
        <v>0.1643</v>
      </c>
      <c r="H606">
        <v>9.8599999999999993E-2</v>
      </c>
      <c r="I606">
        <v>5059.3890000000001</v>
      </c>
      <c r="J606">
        <v>6976.93</v>
      </c>
    </row>
    <row r="607" spans="1:10">
      <c r="A607">
        <v>11</v>
      </c>
      <c r="B607">
        <v>8</v>
      </c>
      <c r="C607" t="s">
        <v>11</v>
      </c>
      <c r="D607">
        <v>-33.903257975498597</v>
      </c>
      <c r="E607">
        <v>18.8467229059513</v>
      </c>
      <c r="F607">
        <v>6.5750000000000003E-2</v>
      </c>
      <c r="G607">
        <v>0.1643</v>
      </c>
      <c r="H607">
        <v>9.8599999999999993E-2</v>
      </c>
      <c r="I607">
        <v>5702.5190000000002</v>
      </c>
      <c r="J607">
        <v>7620.06</v>
      </c>
    </row>
    <row r="608" spans="1:10">
      <c r="A608">
        <v>12</v>
      </c>
      <c r="B608">
        <v>8</v>
      </c>
      <c r="C608" t="s">
        <v>11</v>
      </c>
      <c r="D608">
        <v>-33.914602314213198</v>
      </c>
      <c r="E608">
        <v>18.859067067201899</v>
      </c>
      <c r="F608">
        <v>6.5750000000000003E-2</v>
      </c>
      <c r="G608">
        <v>0.1643</v>
      </c>
      <c r="H608">
        <v>9.8599999999999993E-2</v>
      </c>
      <c r="I608">
        <v>4052.0569999999998</v>
      </c>
      <c r="J608">
        <v>5969.5969999999998</v>
      </c>
    </row>
    <row r="609" spans="1:10">
      <c r="A609">
        <v>13</v>
      </c>
      <c r="B609">
        <v>8</v>
      </c>
      <c r="C609" t="s">
        <v>11</v>
      </c>
      <c r="D609">
        <v>-33.916084280175397</v>
      </c>
      <c r="E609">
        <v>18.853586796745201</v>
      </c>
      <c r="F609">
        <v>6.5750000000000003E-2</v>
      </c>
      <c r="G609">
        <v>0.1643</v>
      </c>
      <c r="H609">
        <v>9.8599999999999993E-2</v>
      </c>
      <c r="I609">
        <v>3962.904</v>
      </c>
      <c r="J609">
        <v>5880.4449999999997</v>
      </c>
    </row>
    <row r="610" spans="1:10">
      <c r="A610">
        <v>14</v>
      </c>
      <c r="B610">
        <v>8</v>
      </c>
      <c r="C610" t="s">
        <v>11</v>
      </c>
      <c r="D610">
        <v>-33.915010255049502</v>
      </c>
      <c r="E610">
        <v>18.8574378254667</v>
      </c>
      <c r="F610">
        <v>6.5750000000000003E-2</v>
      </c>
      <c r="G610">
        <v>0.1643</v>
      </c>
      <c r="H610">
        <v>9.8599999999999993E-2</v>
      </c>
      <c r="I610">
        <v>4024.6869999999999</v>
      </c>
      <c r="J610">
        <v>5942.2280000000001</v>
      </c>
    </row>
    <row r="611" spans="1:10">
      <c r="A611">
        <v>15</v>
      </c>
      <c r="B611">
        <v>8</v>
      </c>
      <c r="C611" t="s">
        <v>11</v>
      </c>
      <c r="D611">
        <v>-33.907793796460602</v>
      </c>
      <c r="E611">
        <v>18.859130478603699</v>
      </c>
      <c r="F611">
        <v>6.5750000000000003E-2</v>
      </c>
      <c r="G611">
        <v>0.1643</v>
      </c>
      <c r="H611">
        <v>9.8599999999999993E-2</v>
      </c>
      <c r="I611">
        <v>4774.0929999999998</v>
      </c>
      <c r="J611">
        <v>6691.634</v>
      </c>
    </row>
    <row r="612" spans="1:10">
      <c r="A612">
        <v>16</v>
      </c>
      <c r="B612">
        <v>8</v>
      </c>
      <c r="C612" t="s">
        <v>11</v>
      </c>
      <c r="D612">
        <v>-33.900266841726904</v>
      </c>
      <c r="E612">
        <v>18.845439054670301</v>
      </c>
      <c r="F612">
        <v>6.5750000000000003E-2</v>
      </c>
      <c r="G612">
        <v>0.1643</v>
      </c>
      <c r="H612">
        <v>9.8599999999999993E-2</v>
      </c>
      <c r="I612">
        <v>6363.2839999999997</v>
      </c>
      <c r="J612">
        <v>8280.8250000000007</v>
      </c>
    </row>
    <row r="613" spans="1:10">
      <c r="A613">
        <v>17</v>
      </c>
      <c r="B613">
        <v>8</v>
      </c>
      <c r="C613" t="s">
        <v>11</v>
      </c>
      <c r="D613">
        <v>-33.917600576766702</v>
      </c>
      <c r="E613">
        <v>18.8532640823755</v>
      </c>
      <c r="F613">
        <v>6.5750000000000003E-2</v>
      </c>
      <c r="G613">
        <v>0.1643</v>
      </c>
      <c r="H613">
        <v>9.8599999999999993E-2</v>
      </c>
      <c r="I613">
        <v>3890.8510000000001</v>
      </c>
      <c r="J613">
        <v>5808.3909999999996</v>
      </c>
    </row>
    <row r="614" spans="1:10">
      <c r="A614">
        <v>18</v>
      </c>
      <c r="B614">
        <v>8</v>
      </c>
      <c r="C614" t="s">
        <v>11</v>
      </c>
      <c r="D614">
        <v>-33.918240195232201</v>
      </c>
      <c r="E614">
        <v>18.844652177982699</v>
      </c>
      <c r="F614">
        <v>6.5750000000000003E-2</v>
      </c>
      <c r="G614">
        <v>0.1643</v>
      </c>
      <c r="H614">
        <v>9.8599999999999993E-2</v>
      </c>
      <c r="I614">
        <v>4592.4690000000001</v>
      </c>
      <c r="J614">
        <v>6510.01</v>
      </c>
    </row>
    <row r="615" spans="1:10">
      <c r="A615">
        <v>19</v>
      </c>
      <c r="B615">
        <v>8</v>
      </c>
      <c r="C615" t="s">
        <v>11</v>
      </c>
      <c r="D615">
        <v>-33.905532254418901</v>
      </c>
      <c r="E615">
        <v>18.856950754276799</v>
      </c>
      <c r="F615">
        <v>6.5750000000000003E-2</v>
      </c>
      <c r="G615">
        <v>0.1643</v>
      </c>
      <c r="H615">
        <v>9.8599999999999993E-2</v>
      </c>
      <c r="I615">
        <v>5418.2259999999997</v>
      </c>
      <c r="J615">
        <v>7335.7659999999996</v>
      </c>
    </row>
    <row r="616" spans="1:10">
      <c r="A616">
        <v>20</v>
      </c>
      <c r="B616">
        <v>8</v>
      </c>
      <c r="C616" t="s">
        <v>11</v>
      </c>
      <c r="D616">
        <v>-33.912997036292502</v>
      </c>
      <c r="E616">
        <v>18.8573757511537</v>
      </c>
      <c r="F616">
        <v>6.5750000000000003E-2</v>
      </c>
      <c r="G616">
        <v>0.1643</v>
      </c>
      <c r="H616">
        <v>9.8599999999999993E-2</v>
      </c>
      <c r="I616">
        <v>4304.7889999999998</v>
      </c>
      <c r="J616">
        <v>6222.33</v>
      </c>
    </row>
    <row r="617" spans="1:10">
      <c r="A617">
        <v>21</v>
      </c>
      <c r="B617">
        <v>8</v>
      </c>
      <c r="C617" t="s">
        <v>11</v>
      </c>
      <c r="D617">
        <v>-33.910993406331897</v>
      </c>
      <c r="E617">
        <v>18.847779898257201</v>
      </c>
      <c r="F617">
        <v>6.5750000000000003E-2</v>
      </c>
      <c r="G617">
        <v>0.1643</v>
      </c>
      <c r="H617">
        <v>9.8599999999999993E-2</v>
      </c>
      <c r="I617">
        <v>4479.2460000000001</v>
      </c>
      <c r="J617">
        <v>6396.7870000000003</v>
      </c>
    </row>
    <row r="618" spans="1:10">
      <c r="A618">
        <v>22</v>
      </c>
      <c r="B618">
        <v>8</v>
      </c>
      <c r="C618" t="s">
        <v>11</v>
      </c>
      <c r="D618">
        <v>-33.918942019618903</v>
      </c>
      <c r="E618">
        <v>18.850735751802901</v>
      </c>
      <c r="F618">
        <v>6.5750000000000003E-2</v>
      </c>
      <c r="G618">
        <v>0.1643</v>
      </c>
      <c r="H618">
        <v>9.8599999999999993E-2</v>
      </c>
      <c r="I618">
        <v>3958.8380000000002</v>
      </c>
      <c r="J618">
        <v>5876.3789999999999</v>
      </c>
    </row>
    <row r="619" spans="1:10">
      <c r="A619">
        <v>23</v>
      </c>
      <c r="B619">
        <v>8</v>
      </c>
      <c r="C619" t="s">
        <v>11</v>
      </c>
      <c r="D619">
        <v>-33.918492401200403</v>
      </c>
      <c r="E619">
        <v>18.855589901480901</v>
      </c>
      <c r="F619">
        <v>6.5750000000000003E-2</v>
      </c>
      <c r="G619">
        <v>0.1643</v>
      </c>
      <c r="H619">
        <v>9.8599999999999993E-2</v>
      </c>
      <c r="I619">
        <v>3647.7280000000001</v>
      </c>
      <c r="J619">
        <v>5565.2690000000002</v>
      </c>
    </row>
    <row r="620" spans="1:10">
      <c r="A620">
        <v>24</v>
      </c>
      <c r="B620">
        <v>8</v>
      </c>
      <c r="C620" t="s">
        <v>11</v>
      </c>
      <c r="D620">
        <v>-33.918506442264203</v>
      </c>
      <c r="E620">
        <v>18.852775286261501</v>
      </c>
      <c r="F620">
        <v>6.5750000000000003E-2</v>
      </c>
      <c r="G620">
        <v>0.1643</v>
      </c>
      <c r="H620">
        <v>9.8599999999999993E-2</v>
      </c>
      <c r="I620">
        <v>3931.4769999999999</v>
      </c>
      <c r="J620">
        <v>5849.018</v>
      </c>
    </row>
    <row r="621" spans="1:10">
      <c r="A621">
        <v>25</v>
      </c>
      <c r="B621">
        <v>8</v>
      </c>
      <c r="C621" t="s">
        <v>11</v>
      </c>
      <c r="D621">
        <v>-33.898273131995701</v>
      </c>
      <c r="E621">
        <v>18.847386522655501</v>
      </c>
      <c r="F621">
        <v>6.5750000000000003E-2</v>
      </c>
      <c r="G621">
        <v>0.1643</v>
      </c>
      <c r="H621">
        <v>9.8599999999999993E-2</v>
      </c>
      <c r="I621">
        <v>6512.87</v>
      </c>
      <c r="J621">
        <v>8430.4110000000001</v>
      </c>
    </row>
    <row r="622" spans="1:10">
      <c r="A622">
        <v>26</v>
      </c>
      <c r="B622">
        <v>8</v>
      </c>
      <c r="C622" t="s">
        <v>11</v>
      </c>
      <c r="D622">
        <v>-33.9119049873268</v>
      </c>
      <c r="E622">
        <v>18.853108512346999</v>
      </c>
      <c r="F622">
        <v>6.5750000000000003E-2</v>
      </c>
      <c r="G622">
        <v>0.1643</v>
      </c>
      <c r="H622">
        <v>9.8599999999999993E-2</v>
      </c>
      <c r="I622">
        <v>4779.0259999999998</v>
      </c>
      <c r="J622">
        <v>6696.5659999999998</v>
      </c>
    </row>
    <row r="623" spans="1:10">
      <c r="A623">
        <v>27</v>
      </c>
      <c r="B623">
        <v>8</v>
      </c>
      <c r="C623" t="s">
        <v>11</v>
      </c>
      <c r="D623">
        <v>-33.909193562498402</v>
      </c>
      <c r="E623">
        <v>18.8493313628409</v>
      </c>
      <c r="F623">
        <v>6.5750000000000003E-2</v>
      </c>
      <c r="G623">
        <v>0.1643</v>
      </c>
      <c r="H623">
        <v>9.8599999999999993E-2</v>
      </c>
      <c r="I623">
        <v>5366.2309999999998</v>
      </c>
      <c r="J623">
        <v>7283.7719999999999</v>
      </c>
    </row>
    <row r="624" spans="1:10">
      <c r="A624">
        <v>28</v>
      </c>
      <c r="B624">
        <v>8</v>
      </c>
      <c r="C624" t="s">
        <v>11</v>
      </c>
      <c r="D624">
        <v>-33.903805668419501</v>
      </c>
      <c r="E624">
        <v>18.854824832894501</v>
      </c>
      <c r="F624">
        <v>6.5750000000000003E-2</v>
      </c>
      <c r="G624">
        <v>0.1643</v>
      </c>
      <c r="H624">
        <v>9.8599999999999993E-2</v>
      </c>
      <c r="I624">
        <v>5943.0339999999997</v>
      </c>
      <c r="J624">
        <v>7860.5739999999996</v>
      </c>
    </row>
    <row r="625" spans="1:10">
      <c r="A625">
        <v>29</v>
      </c>
      <c r="B625">
        <v>8</v>
      </c>
      <c r="C625" t="s">
        <v>11</v>
      </c>
      <c r="D625">
        <v>-33.905869488265601</v>
      </c>
      <c r="E625">
        <v>18.853690102841</v>
      </c>
      <c r="F625">
        <v>6.5750000000000003E-2</v>
      </c>
      <c r="G625">
        <v>0.1643</v>
      </c>
      <c r="H625">
        <v>9.8599999999999993E-2</v>
      </c>
      <c r="I625">
        <v>5415.3010000000004</v>
      </c>
      <c r="J625">
        <v>7332.8419999999996</v>
      </c>
    </row>
    <row r="626" spans="1:10">
      <c r="A626">
        <v>30</v>
      </c>
      <c r="B626">
        <v>8</v>
      </c>
      <c r="C626" t="s">
        <v>11</v>
      </c>
      <c r="D626">
        <v>-33.912652640949403</v>
      </c>
      <c r="E626">
        <v>18.8574416531068</v>
      </c>
      <c r="F626">
        <v>6.5750000000000003E-2</v>
      </c>
      <c r="G626">
        <v>0.1643</v>
      </c>
      <c r="H626">
        <v>9.8599999999999993E-2</v>
      </c>
      <c r="I626">
        <v>4340.1850000000004</v>
      </c>
      <c r="J626">
        <v>6257.7259999999997</v>
      </c>
    </row>
    <row r="627" spans="1:10">
      <c r="A627">
        <v>31</v>
      </c>
      <c r="B627">
        <v>8</v>
      </c>
      <c r="C627" t="s">
        <v>11</v>
      </c>
      <c r="D627">
        <v>-33.9152804358786</v>
      </c>
      <c r="E627">
        <v>18.855444425511099</v>
      </c>
      <c r="F627">
        <v>6.5750000000000003E-2</v>
      </c>
      <c r="G627">
        <v>0.1643</v>
      </c>
      <c r="H627">
        <v>9.8599999999999993E-2</v>
      </c>
      <c r="I627">
        <v>4224.2969999999996</v>
      </c>
      <c r="J627">
        <v>6141.8370000000004</v>
      </c>
    </row>
    <row r="628" spans="1:10">
      <c r="A628">
        <v>32</v>
      </c>
      <c r="B628">
        <v>8</v>
      </c>
      <c r="C628" t="s">
        <v>11</v>
      </c>
      <c r="D628">
        <v>-33.910926040101103</v>
      </c>
      <c r="E628">
        <v>18.855951262810301</v>
      </c>
      <c r="F628">
        <v>6.5750000000000003E-2</v>
      </c>
      <c r="G628">
        <v>0.1643</v>
      </c>
      <c r="H628">
        <v>9.8599999999999993E-2</v>
      </c>
      <c r="I628">
        <v>4497.6689999999999</v>
      </c>
      <c r="J628">
        <v>6415.21</v>
      </c>
    </row>
    <row r="629" spans="1:10">
      <c r="A629">
        <v>33</v>
      </c>
      <c r="B629">
        <v>8</v>
      </c>
      <c r="C629" t="s">
        <v>11</v>
      </c>
      <c r="D629">
        <v>-33.901747107108797</v>
      </c>
      <c r="E629">
        <v>18.843954801530501</v>
      </c>
      <c r="F629">
        <v>6.5750000000000003E-2</v>
      </c>
      <c r="G629">
        <v>0.1643</v>
      </c>
      <c r="H629">
        <v>9.8599999999999993E-2</v>
      </c>
      <c r="I629">
        <v>6124.268</v>
      </c>
      <c r="J629">
        <v>8041.8090000000002</v>
      </c>
    </row>
    <row r="630" spans="1:10">
      <c r="A630">
        <v>34</v>
      </c>
      <c r="B630">
        <v>8</v>
      </c>
      <c r="C630" t="s">
        <v>11</v>
      </c>
      <c r="D630">
        <v>-33.909781512103301</v>
      </c>
      <c r="E630">
        <v>18.8498296349069</v>
      </c>
      <c r="F630">
        <v>6.5750000000000003E-2</v>
      </c>
      <c r="G630">
        <v>0.1643</v>
      </c>
      <c r="H630">
        <v>9.8599999999999993E-2</v>
      </c>
      <c r="I630">
        <v>5276.0860000000002</v>
      </c>
      <c r="J630">
        <v>7193.6260000000002</v>
      </c>
    </row>
    <row r="631" spans="1:10">
      <c r="A631">
        <v>35</v>
      </c>
      <c r="B631">
        <v>8</v>
      </c>
      <c r="C631" t="s">
        <v>11</v>
      </c>
      <c r="D631">
        <v>-33.901708290245601</v>
      </c>
      <c r="E631">
        <v>18.848594565362401</v>
      </c>
      <c r="F631">
        <v>6.5750000000000003E-2</v>
      </c>
      <c r="G631">
        <v>0.1643</v>
      </c>
      <c r="H631">
        <v>9.8599999999999993E-2</v>
      </c>
      <c r="I631">
        <v>5910.9530000000004</v>
      </c>
      <c r="J631">
        <v>7828.4939999999997</v>
      </c>
    </row>
    <row r="632" spans="1:10">
      <c r="A632">
        <v>36</v>
      </c>
      <c r="B632">
        <v>8</v>
      </c>
      <c r="C632" t="s">
        <v>11</v>
      </c>
      <c r="D632">
        <v>-33.916848605626598</v>
      </c>
      <c r="E632">
        <v>18.843982196735499</v>
      </c>
      <c r="F632">
        <v>6.5750000000000003E-2</v>
      </c>
      <c r="G632">
        <v>0.1643</v>
      </c>
      <c r="H632">
        <v>9.8599999999999993E-2</v>
      </c>
      <c r="I632">
        <v>4903.7560000000003</v>
      </c>
      <c r="J632">
        <v>6821.2969999999996</v>
      </c>
    </row>
    <row r="633" spans="1:10">
      <c r="A633">
        <v>37</v>
      </c>
      <c r="B633">
        <v>8</v>
      </c>
      <c r="C633" t="s">
        <v>11</v>
      </c>
      <c r="D633">
        <v>-33.902777642546901</v>
      </c>
      <c r="E633">
        <v>18.855813957469099</v>
      </c>
      <c r="F633">
        <v>6.5750000000000003E-2</v>
      </c>
      <c r="G633">
        <v>0.1643</v>
      </c>
      <c r="H633">
        <v>9.8599999999999993E-2</v>
      </c>
      <c r="I633">
        <v>5951.0709999999999</v>
      </c>
      <c r="J633">
        <v>7868.6120000000001</v>
      </c>
    </row>
    <row r="634" spans="1:10">
      <c r="A634">
        <v>38</v>
      </c>
      <c r="B634">
        <v>8</v>
      </c>
      <c r="C634" t="s">
        <v>11</v>
      </c>
      <c r="D634">
        <v>-33.896861677944301</v>
      </c>
      <c r="E634">
        <v>18.8592798723706</v>
      </c>
      <c r="F634">
        <v>6.5750000000000003E-2</v>
      </c>
      <c r="G634">
        <v>0.1643</v>
      </c>
      <c r="H634">
        <v>9.8599999999999993E-2</v>
      </c>
      <c r="I634">
        <v>5989.8779999999997</v>
      </c>
      <c r="J634">
        <v>7907.4189999999999</v>
      </c>
    </row>
    <row r="635" spans="1:10">
      <c r="A635">
        <v>39</v>
      </c>
      <c r="B635">
        <v>8</v>
      </c>
      <c r="C635" t="s">
        <v>11</v>
      </c>
      <c r="D635">
        <v>-33.916871268374898</v>
      </c>
      <c r="E635">
        <v>18.847196055605501</v>
      </c>
      <c r="F635">
        <v>6.5750000000000003E-2</v>
      </c>
      <c r="G635">
        <v>0.1643</v>
      </c>
      <c r="H635">
        <v>9.8599999999999993E-2</v>
      </c>
      <c r="I635">
        <v>4119.29</v>
      </c>
      <c r="J635">
        <v>6036.83</v>
      </c>
    </row>
    <row r="636" spans="1:10">
      <c r="A636">
        <v>40</v>
      </c>
      <c r="B636">
        <v>8</v>
      </c>
      <c r="C636" t="s">
        <v>11</v>
      </c>
      <c r="D636">
        <v>-33.906681494650897</v>
      </c>
      <c r="E636">
        <v>18.847446947724901</v>
      </c>
      <c r="F636">
        <v>6.5750000000000003E-2</v>
      </c>
      <c r="G636">
        <v>0.1643</v>
      </c>
      <c r="H636">
        <v>9.8599999999999993E-2</v>
      </c>
      <c r="I636">
        <v>5674.4290000000001</v>
      </c>
      <c r="J636">
        <v>7591.9690000000001</v>
      </c>
    </row>
    <row r="637" spans="1:10">
      <c r="A637">
        <v>41</v>
      </c>
      <c r="B637">
        <v>8</v>
      </c>
      <c r="C637" t="s">
        <v>11</v>
      </c>
      <c r="D637">
        <v>-33.901391498227397</v>
      </c>
      <c r="E637">
        <v>18.8473197727957</v>
      </c>
      <c r="F637">
        <v>6.5750000000000003E-2</v>
      </c>
      <c r="G637">
        <v>0.1643</v>
      </c>
      <c r="H637">
        <v>9.8599999999999993E-2</v>
      </c>
      <c r="I637">
        <v>5984.9579999999996</v>
      </c>
      <c r="J637">
        <v>7902.4989999999998</v>
      </c>
    </row>
    <row r="638" spans="1:10">
      <c r="A638">
        <v>42</v>
      </c>
      <c r="B638">
        <v>8</v>
      </c>
      <c r="C638" t="s">
        <v>11</v>
      </c>
      <c r="D638">
        <v>-33.900130170260297</v>
      </c>
      <c r="E638">
        <v>18.853022560384002</v>
      </c>
      <c r="F638">
        <v>6.5750000000000003E-2</v>
      </c>
      <c r="G638">
        <v>0.1643</v>
      </c>
      <c r="H638">
        <v>9.8599999999999993E-2</v>
      </c>
      <c r="I638">
        <v>7004.4279999999999</v>
      </c>
      <c r="J638">
        <v>8921.9680000000008</v>
      </c>
    </row>
    <row r="639" spans="1:10">
      <c r="A639">
        <v>43</v>
      </c>
      <c r="B639">
        <v>8</v>
      </c>
      <c r="C639" t="s">
        <v>11</v>
      </c>
      <c r="D639">
        <v>-33.918422787696301</v>
      </c>
      <c r="E639">
        <v>18.858352349657999</v>
      </c>
      <c r="F639">
        <v>6.5750000000000003E-2</v>
      </c>
      <c r="G639">
        <v>0.1643</v>
      </c>
      <c r="H639">
        <v>9.8599999999999993E-2</v>
      </c>
      <c r="I639">
        <v>4013.9769999999999</v>
      </c>
      <c r="J639">
        <v>6311.7340000000004</v>
      </c>
    </row>
    <row r="640" spans="1:10">
      <c r="A640">
        <v>44</v>
      </c>
      <c r="B640">
        <v>8</v>
      </c>
      <c r="C640" t="s">
        <v>11</v>
      </c>
      <c r="D640">
        <v>-33.9127126279433</v>
      </c>
      <c r="E640">
        <v>18.849375860722301</v>
      </c>
      <c r="F640">
        <v>6.5750000000000003E-2</v>
      </c>
      <c r="G640">
        <v>0.1643</v>
      </c>
      <c r="H640">
        <v>9.8599999999999993E-2</v>
      </c>
      <c r="I640">
        <v>4305.6450000000004</v>
      </c>
      <c r="J640">
        <v>6223.1859999999997</v>
      </c>
    </row>
    <row r="641" spans="1:10">
      <c r="A641">
        <v>45</v>
      </c>
      <c r="B641">
        <v>8</v>
      </c>
      <c r="C641" t="s">
        <v>11</v>
      </c>
      <c r="D641">
        <v>-33.910684153514097</v>
      </c>
      <c r="E641">
        <v>18.847684013132501</v>
      </c>
      <c r="F641">
        <v>6.5750000000000003E-2</v>
      </c>
      <c r="G641">
        <v>0.1643</v>
      </c>
      <c r="H641">
        <v>9.8599999999999993E-2</v>
      </c>
      <c r="I641">
        <v>4514.7160000000003</v>
      </c>
      <c r="J641">
        <v>6432.2569999999996</v>
      </c>
    </row>
    <row r="642" spans="1:10">
      <c r="A642">
        <v>46</v>
      </c>
      <c r="B642">
        <v>8</v>
      </c>
      <c r="C642" t="s">
        <v>11</v>
      </c>
      <c r="D642">
        <v>-33.918208234819602</v>
      </c>
      <c r="E642">
        <v>18.853137150128202</v>
      </c>
      <c r="F642">
        <v>6.5750000000000003E-2</v>
      </c>
      <c r="G642">
        <v>0.1643</v>
      </c>
      <c r="H642">
        <v>9.8599999999999993E-2</v>
      </c>
      <c r="I642">
        <v>3914.1840000000002</v>
      </c>
      <c r="J642">
        <v>5831.7250000000004</v>
      </c>
    </row>
    <row r="643" spans="1:10">
      <c r="A643">
        <v>47</v>
      </c>
      <c r="B643">
        <v>8</v>
      </c>
      <c r="C643" t="s">
        <v>11</v>
      </c>
      <c r="D643">
        <v>-33.903039046281997</v>
      </c>
      <c r="E643">
        <v>18.847882730102</v>
      </c>
      <c r="F643">
        <v>6.5750000000000003E-2</v>
      </c>
      <c r="G643">
        <v>0.1643</v>
      </c>
      <c r="H643">
        <v>9.8599999999999993E-2</v>
      </c>
      <c r="I643">
        <v>5726.6229999999996</v>
      </c>
      <c r="J643">
        <v>7644.1639999999998</v>
      </c>
    </row>
    <row r="644" spans="1:10">
      <c r="A644">
        <v>48</v>
      </c>
      <c r="B644">
        <v>8</v>
      </c>
      <c r="C644" t="s">
        <v>11</v>
      </c>
      <c r="D644">
        <v>-33.911634777333902</v>
      </c>
      <c r="E644">
        <v>18.8470955446593</v>
      </c>
      <c r="F644">
        <v>6.5750000000000003E-2</v>
      </c>
      <c r="G644">
        <v>0.1643</v>
      </c>
      <c r="H644">
        <v>9.8599999999999993E-2</v>
      </c>
      <c r="I644">
        <v>4535.9989999999998</v>
      </c>
      <c r="J644">
        <v>6453.54</v>
      </c>
    </row>
    <row r="645" spans="1:10">
      <c r="A645">
        <v>49</v>
      </c>
      <c r="B645">
        <v>8</v>
      </c>
      <c r="C645" t="s">
        <v>11</v>
      </c>
      <c r="D645">
        <v>-33.900604096833099</v>
      </c>
      <c r="E645">
        <v>18.851643231386401</v>
      </c>
      <c r="F645">
        <v>6.5750000000000003E-2</v>
      </c>
      <c r="G645">
        <v>0.1643</v>
      </c>
      <c r="H645">
        <v>9.8599999999999993E-2</v>
      </c>
      <c r="I645">
        <v>7004.4279999999999</v>
      </c>
      <c r="J645">
        <v>8921.9680000000008</v>
      </c>
    </row>
    <row r="646" spans="1:10">
      <c r="A646">
        <v>50</v>
      </c>
      <c r="B646">
        <v>8</v>
      </c>
      <c r="C646" t="s">
        <v>11</v>
      </c>
      <c r="D646">
        <v>-33.905479443652503</v>
      </c>
      <c r="E646">
        <v>18.854284965110399</v>
      </c>
      <c r="F646">
        <v>6.5750000000000003E-2</v>
      </c>
      <c r="G646">
        <v>0.1643</v>
      </c>
      <c r="H646">
        <v>9.8599999999999993E-2</v>
      </c>
      <c r="I646">
        <v>5385.0780000000004</v>
      </c>
      <c r="J646">
        <v>7302.6189999999997</v>
      </c>
    </row>
    <row r="647" spans="1:10">
      <c r="A647">
        <v>51</v>
      </c>
      <c r="B647">
        <v>8</v>
      </c>
      <c r="C647" t="s">
        <v>11</v>
      </c>
      <c r="D647">
        <v>-33.897346626730602</v>
      </c>
      <c r="E647">
        <v>18.854362729759</v>
      </c>
      <c r="F647">
        <v>6.5750000000000003E-2</v>
      </c>
      <c r="G647">
        <v>0.1643</v>
      </c>
      <c r="H647">
        <v>9.8599999999999993E-2</v>
      </c>
      <c r="I647">
        <v>6906.085</v>
      </c>
      <c r="J647">
        <v>8823.6260000000002</v>
      </c>
    </row>
    <row r="648" spans="1:10">
      <c r="A648">
        <v>52</v>
      </c>
      <c r="B648">
        <v>8</v>
      </c>
      <c r="C648" t="s">
        <v>11</v>
      </c>
      <c r="D648">
        <v>-33.903051977431801</v>
      </c>
      <c r="E648">
        <v>18.8439505024092</v>
      </c>
      <c r="F648">
        <v>6.5750000000000003E-2</v>
      </c>
      <c r="G648">
        <v>0.1643</v>
      </c>
      <c r="H648">
        <v>9.8599999999999993E-2</v>
      </c>
      <c r="I648">
        <v>6001.576</v>
      </c>
      <c r="J648">
        <v>7919.1170000000002</v>
      </c>
    </row>
    <row r="649" spans="1:10">
      <c r="A649">
        <v>53</v>
      </c>
      <c r="B649">
        <v>8</v>
      </c>
      <c r="C649" t="s">
        <v>11</v>
      </c>
      <c r="D649">
        <v>-33.900463355041097</v>
      </c>
      <c r="E649">
        <v>18.845945010417299</v>
      </c>
      <c r="F649">
        <v>6.5750000000000003E-2</v>
      </c>
      <c r="G649">
        <v>0.1643</v>
      </c>
      <c r="H649">
        <v>9.8599999999999993E-2</v>
      </c>
      <c r="I649">
        <v>6019.4250000000002</v>
      </c>
      <c r="J649">
        <v>7936.9650000000001</v>
      </c>
    </row>
    <row r="650" spans="1:10">
      <c r="A650">
        <v>54</v>
      </c>
      <c r="B650">
        <v>8</v>
      </c>
      <c r="C650" t="s">
        <v>11</v>
      </c>
      <c r="D650">
        <v>-33.906831659015999</v>
      </c>
      <c r="E650">
        <v>18.851759464871702</v>
      </c>
      <c r="F650">
        <v>6.5750000000000003E-2</v>
      </c>
      <c r="G650">
        <v>0.1643</v>
      </c>
      <c r="H650">
        <v>9.8599999999999993E-2</v>
      </c>
      <c r="I650">
        <v>5093.4229999999998</v>
      </c>
      <c r="J650">
        <v>7010.9639999999999</v>
      </c>
    </row>
    <row r="651" spans="1:10">
      <c r="A651">
        <v>55</v>
      </c>
      <c r="B651">
        <v>8</v>
      </c>
      <c r="C651" t="s">
        <v>11</v>
      </c>
      <c r="D651">
        <v>-33.917717204184903</v>
      </c>
      <c r="E651">
        <v>18.8586818193283</v>
      </c>
      <c r="F651">
        <v>6.5750000000000003E-2</v>
      </c>
      <c r="G651">
        <v>0.1643</v>
      </c>
      <c r="H651">
        <v>9.8599999999999993E-2</v>
      </c>
      <c r="I651">
        <v>4095.788</v>
      </c>
      <c r="J651">
        <v>6848.8609999999999</v>
      </c>
    </row>
    <row r="652" spans="1:10">
      <c r="A652">
        <v>56</v>
      </c>
      <c r="B652">
        <v>8</v>
      </c>
      <c r="C652" t="s">
        <v>11</v>
      </c>
      <c r="D652">
        <v>-33.917960291791601</v>
      </c>
      <c r="E652">
        <v>18.844307650680701</v>
      </c>
      <c r="F652">
        <v>6.5750000000000003E-2</v>
      </c>
      <c r="G652">
        <v>0.1643</v>
      </c>
      <c r="H652">
        <v>9.8599999999999993E-2</v>
      </c>
      <c r="I652">
        <v>4662.3869999999997</v>
      </c>
      <c r="J652">
        <v>6579.9279999999999</v>
      </c>
    </row>
    <row r="653" spans="1:10">
      <c r="A653">
        <v>57</v>
      </c>
      <c r="B653">
        <v>8</v>
      </c>
      <c r="C653" t="s">
        <v>11</v>
      </c>
      <c r="D653">
        <v>-33.8967936264836</v>
      </c>
      <c r="E653">
        <v>18.849027723038901</v>
      </c>
      <c r="F653">
        <v>6.5750000000000003E-2</v>
      </c>
      <c r="G653">
        <v>0.1643</v>
      </c>
      <c r="H653">
        <v>9.8599999999999993E-2</v>
      </c>
      <c r="I653">
        <v>6851.3580000000002</v>
      </c>
      <c r="J653">
        <v>8768.8989999999994</v>
      </c>
    </row>
    <row r="654" spans="1:10">
      <c r="A654">
        <v>58</v>
      </c>
      <c r="B654">
        <v>8</v>
      </c>
      <c r="C654" t="s">
        <v>11</v>
      </c>
      <c r="D654">
        <v>-33.900983845297198</v>
      </c>
      <c r="E654">
        <v>18.8450696522386</v>
      </c>
      <c r="F654">
        <v>6.5750000000000003E-2</v>
      </c>
      <c r="G654">
        <v>0.1643</v>
      </c>
      <c r="H654">
        <v>9.8599999999999993E-2</v>
      </c>
      <c r="I654">
        <v>6055.6210000000001</v>
      </c>
      <c r="J654">
        <v>7973.1620000000003</v>
      </c>
    </row>
    <row r="655" spans="1:10">
      <c r="A655">
        <v>59</v>
      </c>
      <c r="B655">
        <v>8</v>
      </c>
      <c r="C655" t="s">
        <v>11</v>
      </c>
      <c r="D655">
        <v>-33.910896356881999</v>
      </c>
      <c r="E655">
        <v>18.845185868087</v>
      </c>
      <c r="F655">
        <v>6.5750000000000003E-2</v>
      </c>
      <c r="G655">
        <v>0.1643</v>
      </c>
      <c r="H655">
        <v>9.8599999999999993E-2</v>
      </c>
      <c r="I655">
        <v>4727.7879999999996</v>
      </c>
      <c r="J655">
        <v>6645.3289999999997</v>
      </c>
    </row>
    <row r="656" spans="1:10">
      <c r="A656">
        <v>60</v>
      </c>
      <c r="B656">
        <v>8</v>
      </c>
      <c r="C656" t="s">
        <v>11</v>
      </c>
      <c r="D656">
        <v>-33.897367926573303</v>
      </c>
      <c r="E656">
        <v>18.843915239183101</v>
      </c>
      <c r="F656">
        <v>6.5750000000000003E-2</v>
      </c>
      <c r="G656">
        <v>0.1643</v>
      </c>
      <c r="H656">
        <v>9.8599999999999993E-2</v>
      </c>
      <c r="I656">
        <v>6522.08</v>
      </c>
      <c r="J656">
        <v>8439.6200000000008</v>
      </c>
    </row>
    <row r="657" spans="1:10">
      <c r="A657">
        <v>61</v>
      </c>
      <c r="B657">
        <v>8</v>
      </c>
      <c r="C657" t="s">
        <v>11</v>
      </c>
      <c r="D657">
        <v>-33.897525016851397</v>
      </c>
      <c r="E657">
        <v>18.844966314667499</v>
      </c>
      <c r="F657">
        <v>6.5750000000000003E-2</v>
      </c>
      <c r="G657">
        <v>0.1643</v>
      </c>
      <c r="H657">
        <v>9.8599999999999993E-2</v>
      </c>
      <c r="I657">
        <v>6648.8180000000002</v>
      </c>
      <c r="J657">
        <v>8566.3580000000002</v>
      </c>
    </row>
    <row r="658" spans="1:10">
      <c r="A658">
        <v>62</v>
      </c>
      <c r="B658">
        <v>8</v>
      </c>
      <c r="C658" t="s">
        <v>11</v>
      </c>
      <c r="D658">
        <v>-33.914846739021002</v>
      </c>
      <c r="E658">
        <v>18.856699124235099</v>
      </c>
      <c r="F658">
        <v>6.5750000000000003E-2</v>
      </c>
      <c r="G658">
        <v>0.1643</v>
      </c>
      <c r="H658">
        <v>9.8599999999999993E-2</v>
      </c>
      <c r="I658">
        <v>4127.4080000000004</v>
      </c>
      <c r="J658">
        <v>6044.9489999999996</v>
      </c>
    </row>
    <row r="659" spans="1:10">
      <c r="A659">
        <v>63</v>
      </c>
      <c r="B659">
        <v>8</v>
      </c>
      <c r="C659" t="s">
        <v>11</v>
      </c>
      <c r="D659">
        <v>-33.9028394737051</v>
      </c>
      <c r="E659">
        <v>18.8561918711539</v>
      </c>
      <c r="F659">
        <v>6.5750000000000003E-2</v>
      </c>
      <c r="G659">
        <v>0.1643</v>
      </c>
      <c r="H659">
        <v>9.8599999999999993E-2</v>
      </c>
      <c r="I659">
        <v>5858</v>
      </c>
      <c r="J659">
        <v>7775.5410000000002</v>
      </c>
    </row>
    <row r="660" spans="1:10">
      <c r="A660">
        <v>64</v>
      </c>
      <c r="B660">
        <v>8</v>
      </c>
      <c r="C660" t="s">
        <v>11</v>
      </c>
      <c r="D660">
        <v>-33.907767698648698</v>
      </c>
      <c r="E660">
        <v>18.8552586602049</v>
      </c>
      <c r="F660">
        <v>6.5750000000000003E-2</v>
      </c>
      <c r="G660">
        <v>0.1643</v>
      </c>
      <c r="H660">
        <v>9.8599999999999993E-2</v>
      </c>
      <c r="I660">
        <v>4999.0469999999996</v>
      </c>
      <c r="J660">
        <v>6916.5879999999997</v>
      </c>
    </row>
    <row r="661" spans="1:10">
      <c r="A661">
        <v>65</v>
      </c>
      <c r="B661">
        <v>8</v>
      </c>
      <c r="C661" t="s">
        <v>11</v>
      </c>
      <c r="D661">
        <v>-33.911180374803102</v>
      </c>
      <c r="E661">
        <v>18.857467603538201</v>
      </c>
      <c r="F661">
        <v>6.5750000000000003E-2</v>
      </c>
      <c r="G661">
        <v>0.1643</v>
      </c>
      <c r="H661">
        <v>9.8599999999999993E-2</v>
      </c>
      <c r="I661">
        <v>4519.3649999999998</v>
      </c>
      <c r="J661">
        <v>6436.9059999999999</v>
      </c>
    </row>
    <row r="662" spans="1:10">
      <c r="A662">
        <v>66</v>
      </c>
      <c r="B662">
        <v>8</v>
      </c>
      <c r="C662" t="s">
        <v>11</v>
      </c>
      <c r="D662">
        <v>-33.918270363942398</v>
      </c>
      <c r="E662">
        <v>18.8471132688998</v>
      </c>
      <c r="F662">
        <v>6.5750000000000003E-2</v>
      </c>
      <c r="G662">
        <v>0.1643</v>
      </c>
      <c r="H662">
        <v>9.8599999999999993E-2</v>
      </c>
      <c r="I662">
        <v>4194.335</v>
      </c>
      <c r="J662">
        <v>6111.875</v>
      </c>
    </row>
    <row r="663" spans="1:10">
      <c r="A663">
        <v>67</v>
      </c>
      <c r="B663">
        <v>8</v>
      </c>
      <c r="C663" t="s">
        <v>11</v>
      </c>
      <c r="D663">
        <v>-33.912975768902903</v>
      </c>
      <c r="E663">
        <v>18.857519447688698</v>
      </c>
      <c r="F663">
        <v>6.5750000000000003E-2</v>
      </c>
      <c r="G663">
        <v>0.1643</v>
      </c>
      <c r="H663">
        <v>9.8599999999999993E-2</v>
      </c>
      <c r="I663">
        <v>4303.6239999999998</v>
      </c>
      <c r="J663">
        <v>6221.165</v>
      </c>
    </row>
    <row r="664" spans="1:10">
      <c r="A664">
        <v>68</v>
      </c>
      <c r="B664">
        <v>8</v>
      </c>
      <c r="C664" t="s">
        <v>11</v>
      </c>
      <c r="D664">
        <v>-33.915606852629097</v>
      </c>
      <c r="E664">
        <v>18.848985655573799</v>
      </c>
      <c r="F664">
        <v>6.5750000000000003E-2</v>
      </c>
      <c r="G664">
        <v>0.1643</v>
      </c>
      <c r="H664">
        <v>9.8599999999999993E-2</v>
      </c>
      <c r="I664">
        <v>4119.0209999999997</v>
      </c>
      <c r="J664">
        <v>6036.5619999999999</v>
      </c>
    </row>
    <row r="665" spans="1:10">
      <c r="A665">
        <v>69</v>
      </c>
      <c r="B665">
        <v>8</v>
      </c>
      <c r="C665" t="s">
        <v>11</v>
      </c>
      <c r="D665">
        <v>-33.900920229673801</v>
      </c>
      <c r="E665">
        <v>18.854703600025999</v>
      </c>
      <c r="F665">
        <v>6.5750000000000003E-2</v>
      </c>
      <c r="G665">
        <v>0.1643</v>
      </c>
      <c r="H665">
        <v>9.8599999999999993E-2</v>
      </c>
      <c r="I665">
        <v>6048.7039999999997</v>
      </c>
      <c r="J665">
        <v>7966.2439999999997</v>
      </c>
    </row>
    <row r="666" spans="1:10">
      <c r="A666">
        <v>70</v>
      </c>
      <c r="B666">
        <v>8</v>
      </c>
      <c r="C666" t="s">
        <v>11</v>
      </c>
      <c r="D666">
        <v>-33.918023401389704</v>
      </c>
      <c r="E666">
        <v>18.8510831055289</v>
      </c>
      <c r="F666">
        <v>6.5750000000000003E-2</v>
      </c>
      <c r="G666">
        <v>0.1643</v>
      </c>
      <c r="H666">
        <v>9.8599999999999993E-2</v>
      </c>
      <c r="I666">
        <v>3729.14</v>
      </c>
      <c r="J666">
        <v>5646.6809999999996</v>
      </c>
    </row>
    <row r="667" spans="1:10">
      <c r="A667">
        <v>71</v>
      </c>
      <c r="B667">
        <v>8</v>
      </c>
      <c r="C667" t="s">
        <v>11</v>
      </c>
      <c r="D667">
        <v>-33.909141393811801</v>
      </c>
      <c r="E667">
        <v>18.851106608962802</v>
      </c>
      <c r="F667">
        <v>6.5750000000000003E-2</v>
      </c>
      <c r="G667">
        <v>0.1643</v>
      </c>
      <c r="H667">
        <v>9.8599999999999993E-2</v>
      </c>
      <c r="I667">
        <v>5162.2510000000002</v>
      </c>
      <c r="J667">
        <v>7079.7920000000004</v>
      </c>
    </row>
    <row r="668" spans="1:10">
      <c r="A668">
        <v>72</v>
      </c>
      <c r="B668">
        <v>8</v>
      </c>
      <c r="C668" t="s">
        <v>11</v>
      </c>
      <c r="D668">
        <v>-33.898609234835803</v>
      </c>
      <c r="E668">
        <v>18.857184417100399</v>
      </c>
      <c r="F668">
        <v>6.5750000000000003E-2</v>
      </c>
      <c r="G668">
        <v>0.1643</v>
      </c>
      <c r="H668">
        <v>9.8599999999999993E-2</v>
      </c>
      <c r="I668">
        <v>6139.9669999999996</v>
      </c>
      <c r="J668">
        <v>8057.5079999999998</v>
      </c>
    </row>
    <row r="669" spans="1:10">
      <c r="A669">
        <v>73</v>
      </c>
      <c r="B669">
        <v>8</v>
      </c>
      <c r="C669" t="s">
        <v>11</v>
      </c>
      <c r="D669">
        <v>-33.916877330732603</v>
      </c>
      <c r="E669">
        <v>18.8576223482603</v>
      </c>
      <c r="F669">
        <v>6.5750000000000003E-2</v>
      </c>
      <c r="G669">
        <v>0.1643</v>
      </c>
      <c r="H669">
        <v>9.8599999999999993E-2</v>
      </c>
      <c r="I669">
        <v>3955.7829999999999</v>
      </c>
      <c r="J669">
        <v>5873.3239999999996</v>
      </c>
    </row>
    <row r="670" spans="1:10">
      <c r="A670">
        <v>74</v>
      </c>
      <c r="B670">
        <v>8</v>
      </c>
      <c r="C670" t="s">
        <v>11</v>
      </c>
      <c r="D670">
        <v>-33.903961412112601</v>
      </c>
      <c r="E670">
        <v>18.851687270114301</v>
      </c>
      <c r="F670">
        <v>6.5750000000000003E-2</v>
      </c>
      <c r="G670">
        <v>0.1643</v>
      </c>
      <c r="H670">
        <v>9.8599999999999993E-2</v>
      </c>
      <c r="I670">
        <v>5946.741</v>
      </c>
      <c r="J670">
        <v>7864.2820000000002</v>
      </c>
    </row>
    <row r="671" spans="1:10">
      <c r="A671">
        <v>75</v>
      </c>
      <c r="B671">
        <v>8</v>
      </c>
      <c r="C671" t="s">
        <v>11</v>
      </c>
      <c r="D671">
        <v>-33.910884653248303</v>
      </c>
      <c r="E671">
        <v>18.846213294293602</v>
      </c>
      <c r="F671">
        <v>6.5750000000000003E-2</v>
      </c>
      <c r="G671">
        <v>0.1643</v>
      </c>
      <c r="H671">
        <v>9.8599999999999993E-2</v>
      </c>
      <c r="I671">
        <v>4634.9989999999998</v>
      </c>
      <c r="J671">
        <v>6552.54</v>
      </c>
    </row>
    <row r="672" spans="1:10">
      <c r="A672">
        <v>76</v>
      </c>
      <c r="B672">
        <v>8</v>
      </c>
      <c r="C672" t="s">
        <v>11</v>
      </c>
      <c r="D672">
        <v>-33.899038809771803</v>
      </c>
      <c r="E672">
        <v>18.850018081569399</v>
      </c>
      <c r="F672">
        <v>6.5750000000000003E-2</v>
      </c>
      <c r="G672">
        <v>0.1643</v>
      </c>
      <c r="H672">
        <v>9.8599999999999993E-2</v>
      </c>
      <c r="I672">
        <v>6749.2839999999997</v>
      </c>
      <c r="J672">
        <v>8666.8250000000007</v>
      </c>
    </row>
    <row r="673" spans="1:10">
      <c r="A673">
        <v>77</v>
      </c>
      <c r="B673">
        <v>8</v>
      </c>
      <c r="C673" t="s">
        <v>11</v>
      </c>
      <c r="D673">
        <v>-33.9161337885254</v>
      </c>
      <c r="E673">
        <v>18.847382783770801</v>
      </c>
      <c r="F673">
        <v>6.5750000000000003E-2</v>
      </c>
      <c r="G673">
        <v>0.1643</v>
      </c>
      <c r="H673">
        <v>9.8599999999999993E-2</v>
      </c>
      <c r="I673">
        <v>4177.9690000000001</v>
      </c>
      <c r="J673">
        <v>6095.51</v>
      </c>
    </row>
    <row r="674" spans="1:10">
      <c r="A674">
        <v>78</v>
      </c>
      <c r="B674">
        <v>8</v>
      </c>
      <c r="C674" t="s">
        <v>11</v>
      </c>
      <c r="D674">
        <v>-33.898690907674798</v>
      </c>
      <c r="E674">
        <v>18.843916646333899</v>
      </c>
      <c r="F674">
        <v>6.5750000000000003E-2</v>
      </c>
      <c r="G674">
        <v>0.1643</v>
      </c>
      <c r="H674">
        <v>9.8599999999999993E-2</v>
      </c>
      <c r="I674">
        <v>6400.5860000000002</v>
      </c>
      <c r="J674">
        <v>8318.1270000000004</v>
      </c>
    </row>
    <row r="675" spans="1:10">
      <c r="A675">
        <v>79</v>
      </c>
      <c r="B675">
        <v>8</v>
      </c>
      <c r="C675" t="s">
        <v>11</v>
      </c>
      <c r="D675">
        <v>-33.918034320331202</v>
      </c>
      <c r="E675">
        <v>18.855711178504698</v>
      </c>
      <c r="F675">
        <v>6.5750000000000003E-2</v>
      </c>
      <c r="G675">
        <v>0.1643</v>
      </c>
      <c r="H675">
        <v>9.8599999999999993E-2</v>
      </c>
      <c r="I675">
        <v>3898.7449999999999</v>
      </c>
      <c r="J675">
        <v>5816.2860000000001</v>
      </c>
    </row>
    <row r="676" spans="1:10">
      <c r="A676">
        <v>80</v>
      </c>
      <c r="B676">
        <v>8</v>
      </c>
      <c r="C676" t="s">
        <v>11</v>
      </c>
      <c r="D676">
        <v>-33.911201538886502</v>
      </c>
      <c r="E676">
        <v>18.853497119686601</v>
      </c>
      <c r="F676">
        <v>6.5750000000000003E-2</v>
      </c>
      <c r="G676">
        <v>0.1643</v>
      </c>
      <c r="H676">
        <v>9.8599999999999993E-2</v>
      </c>
      <c r="I676">
        <v>4786.9269999999997</v>
      </c>
      <c r="J676">
        <v>6704.4679999999998</v>
      </c>
    </row>
    <row r="677" spans="1:10">
      <c r="A677">
        <v>81</v>
      </c>
      <c r="B677">
        <v>8</v>
      </c>
      <c r="C677" t="s">
        <v>11</v>
      </c>
      <c r="D677">
        <v>-33.9045918174115</v>
      </c>
      <c r="E677">
        <v>18.844553112956099</v>
      </c>
      <c r="F677">
        <v>6.5750000000000003E-2</v>
      </c>
      <c r="G677">
        <v>0.1643</v>
      </c>
      <c r="H677">
        <v>9.8599999999999993E-2</v>
      </c>
      <c r="I677">
        <v>6070.5360000000001</v>
      </c>
      <c r="J677">
        <v>7988.076</v>
      </c>
    </row>
    <row r="678" spans="1:10">
      <c r="A678">
        <v>82</v>
      </c>
      <c r="B678">
        <v>8</v>
      </c>
      <c r="C678" t="s">
        <v>11</v>
      </c>
      <c r="D678">
        <v>-33.9072902747779</v>
      </c>
      <c r="E678">
        <v>18.857955136776901</v>
      </c>
      <c r="F678">
        <v>6.5750000000000003E-2</v>
      </c>
      <c r="G678">
        <v>0.1643</v>
      </c>
      <c r="H678">
        <v>9.8599999999999993E-2</v>
      </c>
      <c r="I678">
        <v>5103.5029999999997</v>
      </c>
      <c r="J678">
        <v>7021.0439999999999</v>
      </c>
    </row>
    <row r="679" spans="1:10">
      <c r="A679">
        <v>83</v>
      </c>
      <c r="B679">
        <v>8</v>
      </c>
      <c r="C679" t="s">
        <v>11</v>
      </c>
      <c r="D679">
        <v>-33.9158380581137</v>
      </c>
      <c r="E679">
        <v>18.846103247721899</v>
      </c>
      <c r="F679">
        <v>6.5750000000000003E-2</v>
      </c>
      <c r="G679">
        <v>0.1643</v>
      </c>
      <c r="H679">
        <v>9.8599999999999993E-2</v>
      </c>
      <c r="I679">
        <v>4279.1260000000002</v>
      </c>
      <c r="J679">
        <v>6196.6670000000004</v>
      </c>
    </row>
    <row r="680" spans="1:10">
      <c r="A680">
        <v>84</v>
      </c>
      <c r="B680">
        <v>8</v>
      </c>
      <c r="C680" t="s">
        <v>11</v>
      </c>
      <c r="D680">
        <v>-33.902360600414603</v>
      </c>
      <c r="E680">
        <v>18.8564651214629</v>
      </c>
      <c r="F680">
        <v>6.5750000000000003E-2</v>
      </c>
      <c r="G680">
        <v>0.1643</v>
      </c>
      <c r="H680">
        <v>9.8599999999999993E-2</v>
      </c>
      <c r="I680">
        <v>5654.5709999999999</v>
      </c>
      <c r="J680">
        <v>7572.1109999999999</v>
      </c>
    </row>
    <row r="681" spans="1:10">
      <c r="A681">
        <v>85</v>
      </c>
      <c r="B681">
        <v>8</v>
      </c>
      <c r="C681" t="s">
        <v>11</v>
      </c>
      <c r="D681">
        <v>-33.9100910784014</v>
      </c>
      <c r="E681">
        <v>18.850861211182401</v>
      </c>
      <c r="F681">
        <v>6.5750000000000003E-2</v>
      </c>
      <c r="G681">
        <v>0.1643</v>
      </c>
      <c r="H681">
        <v>9.8599999999999993E-2</v>
      </c>
      <c r="I681">
        <v>5136.6880000000001</v>
      </c>
      <c r="J681">
        <v>7054.2290000000003</v>
      </c>
    </row>
    <row r="682" spans="1:10">
      <c r="A682">
        <v>86</v>
      </c>
      <c r="B682">
        <v>8</v>
      </c>
      <c r="C682" t="s">
        <v>11</v>
      </c>
      <c r="D682">
        <v>-33.898724551269297</v>
      </c>
      <c r="E682">
        <v>18.8549230858623</v>
      </c>
      <c r="F682">
        <v>6.5750000000000003E-2</v>
      </c>
      <c r="G682">
        <v>0.1643</v>
      </c>
      <c r="H682">
        <v>9.8599999999999993E-2</v>
      </c>
      <c r="I682">
        <v>6358</v>
      </c>
      <c r="J682">
        <v>8275.5400000000009</v>
      </c>
    </row>
    <row r="683" spans="1:10">
      <c r="A683">
        <v>87</v>
      </c>
      <c r="B683">
        <v>8</v>
      </c>
      <c r="C683" t="s">
        <v>11</v>
      </c>
      <c r="D683">
        <v>-33.8968359360791</v>
      </c>
      <c r="E683">
        <v>18.855342645041102</v>
      </c>
      <c r="F683">
        <v>6.5750000000000003E-2</v>
      </c>
      <c r="G683">
        <v>0.1643</v>
      </c>
      <c r="H683">
        <v>9.8599999999999993E-2</v>
      </c>
      <c r="I683">
        <v>6765.8280000000004</v>
      </c>
      <c r="J683">
        <v>8683.3690000000006</v>
      </c>
    </row>
    <row r="684" spans="1:10">
      <c r="A684">
        <v>88</v>
      </c>
      <c r="B684">
        <v>8</v>
      </c>
      <c r="C684" t="s">
        <v>11</v>
      </c>
      <c r="D684">
        <v>-33.907229970438401</v>
      </c>
      <c r="E684">
        <v>18.8477234729563</v>
      </c>
      <c r="F684">
        <v>6.5750000000000003E-2</v>
      </c>
      <c r="G684">
        <v>0.1643</v>
      </c>
      <c r="H684">
        <v>9.8599999999999993E-2</v>
      </c>
      <c r="I684">
        <v>5381.3829999999998</v>
      </c>
      <c r="J684">
        <v>7298.9229999999998</v>
      </c>
    </row>
    <row r="685" spans="1:10">
      <c r="A685">
        <v>89</v>
      </c>
      <c r="B685">
        <v>8</v>
      </c>
      <c r="C685" t="s">
        <v>11</v>
      </c>
      <c r="D685">
        <v>-33.918409627110698</v>
      </c>
      <c r="E685">
        <v>18.851709541049601</v>
      </c>
      <c r="F685">
        <v>6.5750000000000003E-2</v>
      </c>
      <c r="G685">
        <v>0.1643</v>
      </c>
      <c r="H685">
        <v>9.8599999999999993E-2</v>
      </c>
      <c r="I685">
        <v>3620.8910000000001</v>
      </c>
      <c r="J685">
        <v>5538.4319999999998</v>
      </c>
    </row>
    <row r="686" spans="1:10">
      <c r="A686">
        <v>90</v>
      </c>
      <c r="B686">
        <v>8</v>
      </c>
      <c r="C686" t="s">
        <v>11</v>
      </c>
      <c r="D686">
        <v>-33.902723054011901</v>
      </c>
      <c r="E686">
        <v>18.8518658394493</v>
      </c>
      <c r="F686">
        <v>6.5750000000000003E-2</v>
      </c>
      <c r="G686">
        <v>0.1643</v>
      </c>
      <c r="H686">
        <v>9.8599999999999993E-2</v>
      </c>
      <c r="I686">
        <v>5966.7460000000001</v>
      </c>
      <c r="J686">
        <v>7884.2870000000003</v>
      </c>
    </row>
    <row r="687" spans="1:10">
      <c r="A687">
        <v>91</v>
      </c>
      <c r="B687">
        <v>8</v>
      </c>
      <c r="C687" t="s">
        <v>11</v>
      </c>
      <c r="D687">
        <v>-33.911436052733102</v>
      </c>
      <c r="E687">
        <v>18.858240285005099</v>
      </c>
      <c r="F687">
        <v>6.5750000000000003E-2</v>
      </c>
      <c r="G687">
        <v>0.1643</v>
      </c>
      <c r="H687">
        <v>9.8599999999999993E-2</v>
      </c>
      <c r="I687">
        <v>4424.6350000000002</v>
      </c>
      <c r="J687">
        <v>6342.1750000000002</v>
      </c>
    </row>
    <row r="688" spans="1:10">
      <c r="A688">
        <v>92</v>
      </c>
      <c r="B688">
        <v>8</v>
      </c>
      <c r="C688" t="s">
        <v>11</v>
      </c>
      <c r="D688">
        <v>-33.8968713478775</v>
      </c>
      <c r="E688">
        <v>18.848510431812699</v>
      </c>
      <c r="F688">
        <v>6.5750000000000003E-2</v>
      </c>
      <c r="G688">
        <v>0.1643</v>
      </c>
      <c r="H688">
        <v>9.8599999999999993E-2</v>
      </c>
      <c r="I688">
        <v>6851.3580000000002</v>
      </c>
      <c r="J688">
        <v>8768.8989999999994</v>
      </c>
    </row>
    <row r="689" spans="1:10">
      <c r="A689">
        <v>93</v>
      </c>
      <c r="B689">
        <v>8</v>
      </c>
      <c r="C689" t="s">
        <v>11</v>
      </c>
      <c r="D689">
        <v>-33.903785458806901</v>
      </c>
      <c r="E689">
        <v>18.855669089761999</v>
      </c>
      <c r="F689">
        <v>6.5750000000000003E-2</v>
      </c>
      <c r="G689">
        <v>0.1643</v>
      </c>
      <c r="H689">
        <v>9.8599999999999993E-2</v>
      </c>
      <c r="I689">
        <v>5902.442</v>
      </c>
      <c r="J689">
        <v>7819.982</v>
      </c>
    </row>
    <row r="690" spans="1:10">
      <c r="A690">
        <v>94</v>
      </c>
      <c r="B690">
        <v>8</v>
      </c>
      <c r="C690" t="s">
        <v>11</v>
      </c>
      <c r="D690">
        <v>-33.899010856298197</v>
      </c>
      <c r="E690">
        <v>18.8557769556691</v>
      </c>
      <c r="F690">
        <v>6.5750000000000003E-2</v>
      </c>
      <c r="G690">
        <v>0.1643</v>
      </c>
      <c r="H690">
        <v>9.8599999999999993E-2</v>
      </c>
      <c r="I690">
        <v>6330.259</v>
      </c>
      <c r="J690">
        <v>8247.7999999999993</v>
      </c>
    </row>
    <row r="691" spans="1:10">
      <c r="A691">
        <v>95</v>
      </c>
      <c r="B691">
        <v>8</v>
      </c>
      <c r="C691" t="s">
        <v>11</v>
      </c>
      <c r="D691">
        <v>-33.9198192594787</v>
      </c>
      <c r="E691">
        <v>18.8472427398418</v>
      </c>
      <c r="F691">
        <v>6.5750000000000003E-2</v>
      </c>
      <c r="G691">
        <v>0.1643</v>
      </c>
      <c r="H691">
        <v>9.8599999999999993E-2</v>
      </c>
      <c r="I691">
        <v>4145.0280000000002</v>
      </c>
      <c r="J691">
        <v>6062.5690000000004</v>
      </c>
    </row>
    <row r="692" spans="1:10">
      <c r="A692">
        <v>96</v>
      </c>
      <c r="B692">
        <v>8</v>
      </c>
      <c r="C692" t="s">
        <v>11</v>
      </c>
      <c r="D692">
        <v>-33.912641434995002</v>
      </c>
      <c r="E692">
        <v>18.8531210920383</v>
      </c>
      <c r="F692">
        <v>6.5750000000000003E-2</v>
      </c>
      <c r="G692">
        <v>0.1643</v>
      </c>
      <c r="H692">
        <v>9.8599999999999993E-2</v>
      </c>
      <c r="I692">
        <v>4721.6620000000003</v>
      </c>
      <c r="J692">
        <v>6639.2030000000004</v>
      </c>
    </row>
    <row r="693" spans="1:10">
      <c r="A693">
        <v>97</v>
      </c>
      <c r="B693">
        <v>8</v>
      </c>
      <c r="C693" t="s">
        <v>11</v>
      </c>
      <c r="D693">
        <v>-33.918057658214998</v>
      </c>
      <c r="E693">
        <v>18.8520248257202</v>
      </c>
      <c r="F693">
        <v>6.5750000000000003E-2</v>
      </c>
      <c r="G693">
        <v>0.1643</v>
      </c>
      <c r="H693">
        <v>9.8599999999999993E-2</v>
      </c>
      <c r="I693">
        <v>3595.8069999999998</v>
      </c>
      <c r="J693">
        <v>5513.348</v>
      </c>
    </row>
    <row r="694" spans="1:10">
      <c r="A694">
        <v>98</v>
      </c>
      <c r="B694">
        <v>8</v>
      </c>
      <c r="C694" t="s">
        <v>11</v>
      </c>
      <c r="D694">
        <v>-33.917739119265498</v>
      </c>
      <c r="E694">
        <v>18.8524395555187</v>
      </c>
      <c r="F694">
        <v>6.5750000000000003E-2</v>
      </c>
      <c r="G694">
        <v>0.1643</v>
      </c>
      <c r="H694">
        <v>9.8599999999999993E-2</v>
      </c>
      <c r="I694">
        <v>3610.9380000000001</v>
      </c>
      <c r="J694">
        <v>5528.4790000000003</v>
      </c>
    </row>
    <row r="695" spans="1:10">
      <c r="A695">
        <v>99</v>
      </c>
      <c r="B695">
        <v>8</v>
      </c>
      <c r="C695" t="s">
        <v>11</v>
      </c>
      <c r="D695">
        <v>-33.911885983455598</v>
      </c>
      <c r="E695">
        <v>18.8510828916761</v>
      </c>
      <c r="F695">
        <v>6.5750000000000003E-2</v>
      </c>
      <c r="G695">
        <v>0.1643</v>
      </c>
      <c r="H695">
        <v>9.8599999999999993E-2</v>
      </c>
      <c r="I695">
        <v>5087.1310000000003</v>
      </c>
      <c r="J695">
        <v>7004.6719999999996</v>
      </c>
    </row>
    <row r="696" spans="1:10">
      <c r="A696">
        <v>100</v>
      </c>
      <c r="B696">
        <v>8</v>
      </c>
      <c r="C696" t="s">
        <v>11</v>
      </c>
      <c r="D696">
        <v>-33.902740568608202</v>
      </c>
      <c r="E696">
        <v>18.844166749462101</v>
      </c>
      <c r="F696">
        <v>6.5750000000000003E-2</v>
      </c>
      <c r="G696">
        <v>0.1643</v>
      </c>
      <c r="H696">
        <v>9.8599999999999993E-2</v>
      </c>
      <c r="I696">
        <v>6019.8109999999997</v>
      </c>
      <c r="J696">
        <v>7937.3519999999999</v>
      </c>
    </row>
    <row r="697" spans="1:10">
      <c r="A697">
        <v>101</v>
      </c>
      <c r="B697">
        <v>8</v>
      </c>
      <c r="C697" t="s">
        <v>11</v>
      </c>
      <c r="D697">
        <v>-33.915318149268799</v>
      </c>
      <c r="E697">
        <v>18.852871174690002</v>
      </c>
      <c r="F697">
        <v>6.5750000000000003E-2</v>
      </c>
      <c r="G697">
        <v>0.1643</v>
      </c>
      <c r="H697">
        <v>9.8599999999999993E-2</v>
      </c>
      <c r="I697">
        <v>4059.2539999999999</v>
      </c>
      <c r="J697">
        <v>5976.7950000000001</v>
      </c>
    </row>
    <row r="698" spans="1:10">
      <c r="A698">
        <v>102</v>
      </c>
      <c r="B698">
        <v>8</v>
      </c>
      <c r="C698" t="s">
        <v>11</v>
      </c>
      <c r="D698">
        <v>-33.908335273569001</v>
      </c>
      <c r="E698">
        <v>18.858014320187301</v>
      </c>
      <c r="F698">
        <v>6.5750000000000003E-2</v>
      </c>
      <c r="G698">
        <v>0.1643</v>
      </c>
      <c r="H698">
        <v>9.8599999999999993E-2</v>
      </c>
      <c r="I698">
        <v>4958.6350000000002</v>
      </c>
      <c r="J698">
        <v>6876.1760000000004</v>
      </c>
    </row>
    <row r="699" spans="1:10">
      <c r="A699">
        <v>103</v>
      </c>
      <c r="B699">
        <v>8</v>
      </c>
      <c r="C699" t="s">
        <v>11</v>
      </c>
      <c r="D699">
        <v>-33.900334155584801</v>
      </c>
      <c r="E699">
        <v>18.851660857921701</v>
      </c>
      <c r="F699">
        <v>6.5750000000000003E-2</v>
      </c>
      <c r="G699">
        <v>0.1643</v>
      </c>
      <c r="H699">
        <v>9.8599999999999993E-2</v>
      </c>
      <c r="I699">
        <v>7004.4279999999999</v>
      </c>
      <c r="J699">
        <v>8921.9680000000008</v>
      </c>
    </row>
    <row r="700" spans="1:10">
      <c r="A700">
        <v>104</v>
      </c>
      <c r="B700">
        <v>8</v>
      </c>
      <c r="C700" t="s">
        <v>11</v>
      </c>
      <c r="D700">
        <v>-33.919547703248597</v>
      </c>
      <c r="E700">
        <v>18.8586881557193</v>
      </c>
      <c r="F700">
        <v>6.5750000000000003E-2</v>
      </c>
      <c r="G700">
        <v>0.1643</v>
      </c>
      <c r="H700">
        <v>9.8599999999999993E-2</v>
      </c>
      <c r="I700">
        <v>3996.578</v>
      </c>
      <c r="J700">
        <v>6294.335</v>
      </c>
    </row>
    <row r="701" spans="1:10">
      <c r="A701">
        <v>105</v>
      </c>
      <c r="B701">
        <v>8</v>
      </c>
      <c r="C701" t="s">
        <v>11</v>
      </c>
      <c r="D701">
        <v>-33.898457047124801</v>
      </c>
      <c r="E701">
        <v>18.8532590170833</v>
      </c>
      <c r="F701">
        <v>6.5750000000000003E-2</v>
      </c>
      <c r="G701">
        <v>0.1643</v>
      </c>
      <c r="H701">
        <v>9.8599999999999993E-2</v>
      </c>
      <c r="I701">
        <v>6992.0929999999998</v>
      </c>
      <c r="J701">
        <v>8909.6329999999998</v>
      </c>
    </row>
    <row r="702" spans="1:10">
      <c r="A702">
        <v>106</v>
      </c>
      <c r="B702">
        <v>8</v>
      </c>
      <c r="C702" t="s">
        <v>11</v>
      </c>
      <c r="D702">
        <v>-33.915288052203103</v>
      </c>
      <c r="E702">
        <v>18.8510186340527</v>
      </c>
      <c r="F702">
        <v>6.5750000000000003E-2</v>
      </c>
      <c r="G702">
        <v>0.1643</v>
      </c>
      <c r="H702">
        <v>9.8599999999999993E-2</v>
      </c>
      <c r="I702">
        <v>3908.3719999999998</v>
      </c>
      <c r="J702">
        <v>5825.9129999999996</v>
      </c>
    </row>
    <row r="703" spans="1:10">
      <c r="A703">
        <v>107</v>
      </c>
      <c r="B703">
        <v>8</v>
      </c>
      <c r="C703" t="s">
        <v>11</v>
      </c>
      <c r="D703">
        <v>-33.918505236151503</v>
      </c>
      <c r="E703">
        <v>18.844938683826701</v>
      </c>
      <c r="F703">
        <v>6.5750000000000003E-2</v>
      </c>
      <c r="G703">
        <v>0.1643</v>
      </c>
      <c r="H703">
        <v>9.8599999999999993E-2</v>
      </c>
      <c r="I703">
        <v>4392.5079999999998</v>
      </c>
      <c r="J703">
        <v>6310.049</v>
      </c>
    </row>
    <row r="704" spans="1:10">
      <c r="A704">
        <v>108</v>
      </c>
      <c r="B704">
        <v>8</v>
      </c>
      <c r="C704" t="s">
        <v>11</v>
      </c>
      <c r="D704">
        <v>-33.899886745383597</v>
      </c>
      <c r="E704">
        <v>18.843482171036001</v>
      </c>
      <c r="F704">
        <v>6.5750000000000003E-2</v>
      </c>
      <c r="G704">
        <v>0.1643</v>
      </c>
      <c r="H704">
        <v>9.8599999999999993E-2</v>
      </c>
      <c r="I704">
        <v>6176.7020000000002</v>
      </c>
      <c r="J704">
        <v>8094.2430000000004</v>
      </c>
    </row>
    <row r="705" spans="1:10">
      <c r="A705">
        <v>109</v>
      </c>
      <c r="B705">
        <v>8</v>
      </c>
      <c r="C705" t="s">
        <v>11</v>
      </c>
      <c r="D705">
        <v>-33.896954612261901</v>
      </c>
      <c r="E705">
        <v>18.844178702453</v>
      </c>
      <c r="F705">
        <v>6.5750000000000003E-2</v>
      </c>
      <c r="G705">
        <v>0.1643</v>
      </c>
      <c r="H705">
        <v>9.8599999999999993E-2</v>
      </c>
      <c r="I705">
        <v>6684.1459999999997</v>
      </c>
      <c r="J705">
        <v>8601.6869999999999</v>
      </c>
    </row>
    <row r="706" spans="1:10">
      <c r="A706">
        <v>110</v>
      </c>
      <c r="B706">
        <v>8</v>
      </c>
      <c r="C706" t="s">
        <v>11</v>
      </c>
      <c r="D706">
        <v>-33.902682377502799</v>
      </c>
      <c r="E706">
        <v>18.846337368029399</v>
      </c>
      <c r="F706">
        <v>6.5750000000000003E-2</v>
      </c>
      <c r="G706">
        <v>0.1643</v>
      </c>
      <c r="H706">
        <v>9.8599999999999993E-2</v>
      </c>
      <c r="I706">
        <v>5791.5910000000003</v>
      </c>
      <c r="J706">
        <v>7709.1319999999996</v>
      </c>
    </row>
    <row r="707" spans="1:10">
      <c r="A707">
        <v>111</v>
      </c>
      <c r="B707">
        <v>8</v>
      </c>
      <c r="C707" t="s">
        <v>11</v>
      </c>
      <c r="D707">
        <v>-33.915295345593101</v>
      </c>
      <c r="E707">
        <v>18.847636305128201</v>
      </c>
      <c r="F707">
        <v>6.5750000000000003E-2</v>
      </c>
      <c r="G707">
        <v>0.1643</v>
      </c>
      <c r="H707">
        <v>9.8599999999999993E-2</v>
      </c>
      <c r="I707">
        <v>4222.8190000000004</v>
      </c>
      <c r="J707">
        <v>6140.36</v>
      </c>
    </row>
    <row r="708" spans="1:10">
      <c r="A708">
        <v>112</v>
      </c>
      <c r="B708">
        <v>8</v>
      </c>
      <c r="C708" t="s">
        <v>11</v>
      </c>
      <c r="D708">
        <v>-33.901815237447202</v>
      </c>
      <c r="E708">
        <v>18.846708309551499</v>
      </c>
      <c r="F708">
        <v>6.5750000000000003E-2</v>
      </c>
      <c r="G708">
        <v>0.1643</v>
      </c>
      <c r="H708">
        <v>9.8599999999999993E-2</v>
      </c>
      <c r="I708">
        <v>5918.6490000000003</v>
      </c>
      <c r="J708">
        <v>7836.1890000000003</v>
      </c>
    </row>
    <row r="709" spans="1:10">
      <c r="A709">
        <v>113</v>
      </c>
      <c r="B709">
        <v>8</v>
      </c>
      <c r="C709" t="s">
        <v>11</v>
      </c>
      <c r="D709">
        <v>-33.907556804346903</v>
      </c>
      <c r="E709">
        <v>18.854593583918501</v>
      </c>
      <c r="F709">
        <v>6.5750000000000003E-2</v>
      </c>
      <c r="G709">
        <v>0.1643</v>
      </c>
      <c r="H709">
        <v>9.8599999999999993E-2</v>
      </c>
      <c r="I709">
        <v>5112.3270000000002</v>
      </c>
      <c r="J709">
        <v>7029.8680000000004</v>
      </c>
    </row>
    <row r="710" spans="1:10">
      <c r="A710">
        <v>114</v>
      </c>
      <c r="B710">
        <v>8</v>
      </c>
      <c r="C710" t="s">
        <v>11</v>
      </c>
      <c r="D710">
        <v>-33.9096030950151</v>
      </c>
      <c r="E710">
        <v>18.8496248128403</v>
      </c>
      <c r="F710">
        <v>6.5750000000000003E-2</v>
      </c>
      <c r="G710">
        <v>0.1643</v>
      </c>
      <c r="H710">
        <v>9.8599999999999993E-2</v>
      </c>
      <c r="I710">
        <v>5313.3090000000002</v>
      </c>
      <c r="J710">
        <v>7230.85</v>
      </c>
    </row>
    <row r="711" spans="1:10">
      <c r="A711">
        <v>115</v>
      </c>
      <c r="B711">
        <v>8</v>
      </c>
      <c r="C711" t="s">
        <v>11</v>
      </c>
      <c r="D711">
        <v>-33.918108494607701</v>
      </c>
      <c r="E711">
        <v>18.8576572806965</v>
      </c>
      <c r="F711">
        <v>6.5750000000000003E-2</v>
      </c>
      <c r="G711">
        <v>0.1643</v>
      </c>
      <c r="H711">
        <v>9.8599999999999993E-2</v>
      </c>
      <c r="I711">
        <v>3721.4369999999999</v>
      </c>
      <c r="J711">
        <v>5638.9780000000001</v>
      </c>
    </row>
    <row r="712" spans="1:10">
      <c r="A712">
        <v>116</v>
      </c>
      <c r="B712">
        <v>8</v>
      </c>
      <c r="C712" t="s">
        <v>11</v>
      </c>
      <c r="D712">
        <v>-33.900410398638897</v>
      </c>
      <c r="E712">
        <v>18.855995679660801</v>
      </c>
      <c r="F712">
        <v>6.5750000000000003E-2</v>
      </c>
      <c r="G712">
        <v>0.1643</v>
      </c>
      <c r="H712">
        <v>9.8599999999999993E-2</v>
      </c>
      <c r="I712">
        <v>6317.5879999999997</v>
      </c>
      <c r="J712">
        <v>8235.1290000000008</v>
      </c>
    </row>
    <row r="713" spans="1:10">
      <c r="A713">
        <v>117</v>
      </c>
      <c r="B713">
        <v>8</v>
      </c>
      <c r="C713" t="s">
        <v>11</v>
      </c>
      <c r="D713">
        <v>-33.905537440325901</v>
      </c>
      <c r="E713">
        <v>18.8560255752394</v>
      </c>
      <c r="F713">
        <v>6.5750000000000003E-2</v>
      </c>
      <c r="G713">
        <v>0.1643</v>
      </c>
      <c r="H713">
        <v>9.8599999999999993E-2</v>
      </c>
      <c r="I713">
        <v>5385.5370000000003</v>
      </c>
      <c r="J713">
        <v>7303.0780000000004</v>
      </c>
    </row>
    <row r="714" spans="1:10">
      <c r="A714">
        <v>118</v>
      </c>
      <c r="B714">
        <v>8</v>
      </c>
      <c r="C714" t="s">
        <v>11</v>
      </c>
      <c r="D714">
        <v>-33.902156564402297</v>
      </c>
      <c r="E714">
        <v>18.858596251931601</v>
      </c>
      <c r="F714">
        <v>6.5750000000000003E-2</v>
      </c>
      <c r="G714">
        <v>0.1643</v>
      </c>
      <c r="H714">
        <v>9.8599999999999993E-2</v>
      </c>
      <c r="I714">
        <v>5556.8069999999998</v>
      </c>
      <c r="J714">
        <v>7474.348</v>
      </c>
    </row>
    <row r="715" spans="1:10">
      <c r="A715">
        <v>119</v>
      </c>
      <c r="B715">
        <v>8</v>
      </c>
      <c r="C715" t="s">
        <v>11</v>
      </c>
      <c r="D715">
        <v>-33.901402916259698</v>
      </c>
      <c r="E715">
        <v>18.855457794814601</v>
      </c>
      <c r="F715">
        <v>6.5750000000000003E-2</v>
      </c>
      <c r="G715">
        <v>0.1643</v>
      </c>
      <c r="H715">
        <v>9.8599999999999993E-2</v>
      </c>
      <c r="I715">
        <v>6048.7039999999997</v>
      </c>
      <c r="J715">
        <v>7966.2439999999997</v>
      </c>
    </row>
    <row r="716" spans="1:10">
      <c r="A716">
        <v>120</v>
      </c>
      <c r="B716">
        <v>8</v>
      </c>
      <c r="C716" t="s">
        <v>11</v>
      </c>
      <c r="D716">
        <v>-33.896473509468898</v>
      </c>
      <c r="E716">
        <v>18.845973819257299</v>
      </c>
      <c r="F716">
        <v>6.5750000000000003E-2</v>
      </c>
      <c r="G716">
        <v>0.1643</v>
      </c>
      <c r="H716">
        <v>9.8599999999999993E-2</v>
      </c>
      <c r="I716">
        <v>9286.5249999999996</v>
      </c>
      <c r="J716">
        <v>11204.066000000001</v>
      </c>
    </row>
    <row r="717" spans="1:10">
      <c r="A717">
        <v>121</v>
      </c>
      <c r="B717">
        <v>8</v>
      </c>
      <c r="C717" t="s">
        <v>11</v>
      </c>
      <c r="D717">
        <v>-33.914579949784397</v>
      </c>
      <c r="E717">
        <v>18.8547612221493</v>
      </c>
      <c r="F717">
        <v>6.5750000000000003E-2</v>
      </c>
      <c r="G717">
        <v>0.1643</v>
      </c>
      <c r="H717">
        <v>9.8599999999999993E-2</v>
      </c>
      <c r="I717">
        <v>4157.01</v>
      </c>
      <c r="J717">
        <v>6074.5510000000004</v>
      </c>
    </row>
    <row r="718" spans="1:10">
      <c r="A718">
        <v>122</v>
      </c>
      <c r="B718">
        <v>8</v>
      </c>
      <c r="C718" t="s">
        <v>11</v>
      </c>
      <c r="D718">
        <v>-33.908493097572098</v>
      </c>
      <c r="E718">
        <v>18.855709682892599</v>
      </c>
      <c r="F718">
        <v>6.5750000000000003E-2</v>
      </c>
      <c r="G718">
        <v>0.1643</v>
      </c>
      <c r="H718">
        <v>9.8599999999999993E-2</v>
      </c>
      <c r="I718">
        <v>4863.3540000000003</v>
      </c>
      <c r="J718">
        <v>6780.8950000000004</v>
      </c>
    </row>
    <row r="719" spans="1:10">
      <c r="A719">
        <v>123</v>
      </c>
      <c r="B719">
        <v>8</v>
      </c>
      <c r="C719" t="s">
        <v>11</v>
      </c>
      <c r="D719">
        <v>-33.899345500614999</v>
      </c>
      <c r="E719">
        <v>18.854287426849201</v>
      </c>
      <c r="F719">
        <v>6.5750000000000003E-2</v>
      </c>
      <c r="G719">
        <v>0.1643</v>
      </c>
      <c r="H719">
        <v>9.8599999999999993E-2</v>
      </c>
      <c r="I719">
        <v>6358</v>
      </c>
      <c r="J719">
        <v>8275.5400000000009</v>
      </c>
    </row>
    <row r="720" spans="1:10">
      <c r="A720">
        <v>124</v>
      </c>
      <c r="B720">
        <v>8</v>
      </c>
      <c r="C720" t="s">
        <v>11</v>
      </c>
      <c r="D720">
        <v>-33.919307657707201</v>
      </c>
      <c r="E720">
        <v>18.852871924579102</v>
      </c>
      <c r="F720">
        <v>6.5750000000000003E-2</v>
      </c>
      <c r="G720">
        <v>0.1643</v>
      </c>
      <c r="H720">
        <v>9.8599999999999993E-2</v>
      </c>
      <c r="I720">
        <v>3434.5859999999998</v>
      </c>
      <c r="J720">
        <v>5352.1270000000004</v>
      </c>
    </row>
    <row r="721" spans="1:10">
      <c r="A721">
        <v>125</v>
      </c>
      <c r="B721">
        <v>8</v>
      </c>
      <c r="C721" t="s">
        <v>11</v>
      </c>
      <c r="D721">
        <v>-33.907905738456897</v>
      </c>
      <c r="E721">
        <v>18.846609797047002</v>
      </c>
      <c r="F721">
        <v>6.5750000000000003E-2</v>
      </c>
      <c r="G721">
        <v>0.1643</v>
      </c>
      <c r="H721">
        <v>9.8599999999999993E-2</v>
      </c>
      <c r="I721">
        <v>5206.9949999999999</v>
      </c>
      <c r="J721">
        <v>7124.5360000000001</v>
      </c>
    </row>
    <row r="722" spans="1:10">
      <c r="A722">
        <v>126</v>
      </c>
      <c r="B722">
        <v>8</v>
      </c>
      <c r="C722" t="s">
        <v>11</v>
      </c>
      <c r="D722">
        <v>-33.898315249561001</v>
      </c>
      <c r="E722">
        <v>18.847737180410299</v>
      </c>
      <c r="F722">
        <v>6.5750000000000003E-2</v>
      </c>
      <c r="G722">
        <v>0.1643</v>
      </c>
      <c r="H722">
        <v>9.8599999999999993E-2</v>
      </c>
      <c r="I722">
        <v>6522.165</v>
      </c>
      <c r="J722">
        <v>8439.7060000000001</v>
      </c>
    </row>
    <row r="723" spans="1:10">
      <c r="A723">
        <v>127</v>
      </c>
      <c r="B723">
        <v>8</v>
      </c>
      <c r="C723" t="s">
        <v>11</v>
      </c>
      <c r="D723">
        <v>-33.919795329588801</v>
      </c>
      <c r="E723">
        <v>18.848660194809501</v>
      </c>
      <c r="F723">
        <v>6.5750000000000003E-2</v>
      </c>
      <c r="G723">
        <v>0.1643</v>
      </c>
      <c r="H723">
        <v>9.8599999999999993E-2</v>
      </c>
      <c r="I723">
        <v>3995.82</v>
      </c>
      <c r="J723">
        <v>5913.3609999999999</v>
      </c>
    </row>
    <row r="724" spans="1:10">
      <c r="A724">
        <v>128</v>
      </c>
      <c r="B724">
        <v>8</v>
      </c>
      <c r="C724" t="s">
        <v>11</v>
      </c>
      <c r="D724">
        <v>-33.911601825940402</v>
      </c>
      <c r="E724">
        <v>18.846259974427301</v>
      </c>
      <c r="F724">
        <v>6.5750000000000003E-2</v>
      </c>
      <c r="G724">
        <v>0.1643</v>
      </c>
      <c r="H724">
        <v>9.8599999999999993E-2</v>
      </c>
      <c r="I724">
        <v>4631.2179999999998</v>
      </c>
      <c r="J724">
        <v>6548.759</v>
      </c>
    </row>
    <row r="725" spans="1:10">
      <c r="A725">
        <v>129</v>
      </c>
      <c r="B725">
        <v>8</v>
      </c>
      <c r="C725" t="s">
        <v>11</v>
      </c>
      <c r="D725">
        <v>-33.9116261461525</v>
      </c>
      <c r="E725">
        <v>18.848282913618</v>
      </c>
      <c r="F725">
        <v>6.5750000000000003E-2</v>
      </c>
      <c r="G725">
        <v>0.1643</v>
      </c>
      <c r="H725">
        <v>9.8599999999999993E-2</v>
      </c>
      <c r="I725">
        <v>4397.982</v>
      </c>
      <c r="J725">
        <v>6315.5219999999999</v>
      </c>
    </row>
    <row r="726" spans="1:10">
      <c r="A726">
        <v>130</v>
      </c>
      <c r="B726">
        <v>8</v>
      </c>
      <c r="C726" t="s">
        <v>11</v>
      </c>
      <c r="D726">
        <v>-33.897518964489201</v>
      </c>
      <c r="E726">
        <v>18.849155405601401</v>
      </c>
      <c r="F726">
        <v>6.5750000000000003E-2</v>
      </c>
      <c r="G726">
        <v>0.1643</v>
      </c>
      <c r="H726">
        <v>9.8599999999999993E-2</v>
      </c>
      <c r="I726">
        <v>6851.3580000000002</v>
      </c>
      <c r="J726">
        <v>8768.8989999999994</v>
      </c>
    </row>
    <row r="727" spans="1:10">
      <c r="A727">
        <v>131</v>
      </c>
      <c r="B727">
        <v>8</v>
      </c>
      <c r="C727" t="s">
        <v>11</v>
      </c>
      <c r="D727">
        <v>-33.910923313611697</v>
      </c>
      <c r="E727">
        <v>18.8592683634621</v>
      </c>
      <c r="F727">
        <v>6.5750000000000003E-2</v>
      </c>
      <c r="G727">
        <v>0.1643</v>
      </c>
      <c r="H727">
        <v>9.8599999999999993E-2</v>
      </c>
      <c r="I727">
        <v>4795.4960000000001</v>
      </c>
      <c r="J727">
        <v>6713.0370000000003</v>
      </c>
    </row>
    <row r="728" spans="1:10">
      <c r="A728">
        <v>132</v>
      </c>
      <c r="B728">
        <v>8</v>
      </c>
      <c r="C728" t="s">
        <v>11</v>
      </c>
      <c r="D728">
        <v>-33.915266336250703</v>
      </c>
      <c r="E728">
        <v>18.8498562482241</v>
      </c>
      <c r="F728">
        <v>6.5750000000000003E-2</v>
      </c>
      <c r="G728">
        <v>0.1643</v>
      </c>
      <c r="H728">
        <v>9.8599999999999993E-2</v>
      </c>
      <c r="I728">
        <v>3964.9229999999998</v>
      </c>
      <c r="J728">
        <v>5882.4639999999999</v>
      </c>
    </row>
    <row r="729" spans="1:10">
      <c r="A729">
        <v>133</v>
      </c>
      <c r="B729">
        <v>8</v>
      </c>
      <c r="C729" t="s">
        <v>11</v>
      </c>
      <c r="D729">
        <v>-33.915407011045801</v>
      </c>
      <c r="E729">
        <v>18.8547541567794</v>
      </c>
      <c r="F729">
        <v>6.5750000000000003E-2</v>
      </c>
      <c r="G729">
        <v>0.1643</v>
      </c>
      <c r="H729">
        <v>9.8599999999999993E-2</v>
      </c>
      <c r="I729">
        <v>4068.1350000000002</v>
      </c>
      <c r="J729">
        <v>5985.6760000000004</v>
      </c>
    </row>
    <row r="730" spans="1:10">
      <c r="A730">
        <v>134</v>
      </c>
      <c r="B730">
        <v>8</v>
      </c>
      <c r="C730" t="s">
        <v>11</v>
      </c>
      <c r="D730">
        <v>-33.919122564640297</v>
      </c>
      <c r="E730">
        <v>18.848997758533201</v>
      </c>
      <c r="F730">
        <v>6.5750000000000003E-2</v>
      </c>
      <c r="G730">
        <v>0.1643</v>
      </c>
      <c r="H730">
        <v>9.8599999999999993E-2</v>
      </c>
      <c r="I730">
        <v>4092.5830000000001</v>
      </c>
      <c r="J730">
        <v>6010.1239999999998</v>
      </c>
    </row>
    <row r="731" spans="1:10">
      <c r="A731">
        <v>135</v>
      </c>
      <c r="B731">
        <v>8</v>
      </c>
      <c r="C731" t="s">
        <v>11</v>
      </c>
      <c r="D731">
        <v>-33.912104932787003</v>
      </c>
      <c r="E731">
        <v>18.844412525389298</v>
      </c>
      <c r="F731">
        <v>6.5750000000000003E-2</v>
      </c>
      <c r="G731">
        <v>0.1643</v>
      </c>
      <c r="H731">
        <v>9.8599999999999993E-2</v>
      </c>
      <c r="I731">
        <v>4826.3869999999997</v>
      </c>
      <c r="J731">
        <v>6743.9279999999999</v>
      </c>
    </row>
    <row r="732" spans="1:10">
      <c r="A732">
        <v>136</v>
      </c>
      <c r="B732">
        <v>8</v>
      </c>
      <c r="C732" t="s">
        <v>11</v>
      </c>
      <c r="D732">
        <v>-33.900034647560197</v>
      </c>
      <c r="E732">
        <v>18.843619740624899</v>
      </c>
      <c r="F732">
        <v>6.5750000000000003E-2</v>
      </c>
      <c r="G732">
        <v>0.1643</v>
      </c>
      <c r="H732">
        <v>9.8599999999999993E-2</v>
      </c>
      <c r="I732">
        <v>6120.6880000000001</v>
      </c>
      <c r="J732">
        <v>8038.2290000000003</v>
      </c>
    </row>
    <row r="733" spans="1:10">
      <c r="A733">
        <v>137</v>
      </c>
      <c r="B733">
        <v>8</v>
      </c>
      <c r="C733" t="s">
        <v>11</v>
      </c>
      <c r="D733">
        <v>-33.913554834446899</v>
      </c>
      <c r="E733">
        <v>18.857383237518601</v>
      </c>
      <c r="F733">
        <v>6.5750000000000003E-2</v>
      </c>
      <c r="G733">
        <v>0.1643</v>
      </c>
      <c r="H733">
        <v>9.8599999999999993E-2</v>
      </c>
      <c r="I733">
        <v>4181.5609999999997</v>
      </c>
      <c r="J733">
        <v>6099.1019999999999</v>
      </c>
    </row>
    <row r="734" spans="1:10">
      <c r="A734">
        <v>138</v>
      </c>
      <c r="B734">
        <v>8</v>
      </c>
      <c r="C734" t="s">
        <v>11</v>
      </c>
      <c r="D734">
        <v>-33.913922602458499</v>
      </c>
      <c r="E734">
        <v>18.848381676885801</v>
      </c>
      <c r="F734">
        <v>6.5750000000000003E-2</v>
      </c>
      <c r="G734">
        <v>0.1643</v>
      </c>
      <c r="H734">
        <v>9.8599999999999993E-2</v>
      </c>
      <c r="I734">
        <v>4339.6059999999998</v>
      </c>
      <c r="J734">
        <v>6257.1459999999997</v>
      </c>
    </row>
    <row r="735" spans="1:10">
      <c r="A735">
        <v>139</v>
      </c>
      <c r="B735">
        <v>8</v>
      </c>
      <c r="C735" t="s">
        <v>11</v>
      </c>
      <c r="D735">
        <v>-33.898439072019997</v>
      </c>
      <c r="E735">
        <v>18.850587450383401</v>
      </c>
      <c r="F735">
        <v>6.5750000000000003E-2</v>
      </c>
      <c r="G735">
        <v>0.1643</v>
      </c>
      <c r="H735">
        <v>9.8599999999999993E-2</v>
      </c>
      <c r="I735">
        <v>6829.7460000000001</v>
      </c>
      <c r="J735">
        <v>8747.2860000000001</v>
      </c>
    </row>
    <row r="736" spans="1:10">
      <c r="A736">
        <v>140</v>
      </c>
      <c r="B736">
        <v>8</v>
      </c>
      <c r="C736" t="s">
        <v>11</v>
      </c>
      <c r="D736">
        <v>-33.916950500824797</v>
      </c>
      <c r="E736">
        <v>18.8514809666612</v>
      </c>
      <c r="F736">
        <v>6.5750000000000003E-2</v>
      </c>
      <c r="G736">
        <v>0.1643</v>
      </c>
      <c r="H736">
        <v>9.8599999999999993E-2</v>
      </c>
      <c r="I736">
        <v>3727.9160000000002</v>
      </c>
      <c r="J736">
        <v>5645.4570000000003</v>
      </c>
    </row>
    <row r="737" spans="1:10">
      <c r="A737">
        <v>141</v>
      </c>
      <c r="B737">
        <v>8</v>
      </c>
      <c r="C737" t="s">
        <v>11</v>
      </c>
      <c r="D737">
        <v>-33.897019545517999</v>
      </c>
      <c r="E737">
        <v>18.851448163053998</v>
      </c>
      <c r="F737">
        <v>6.5750000000000003E-2</v>
      </c>
      <c r="G737">
        <v>0.1643</v>
      </c>
      <c r="H737">
        <v>9.8599999999999993E-2</v>
      </c>
      <c r="I737">
        <v>7320.0479999999998</v>
      </c>
      <c r="J737">
        <v>9237.5879999999997</v>
      </c>
    </row>
    <row r="738" spans="1:10">
      <c r="A738">
        <v>142</v>
      </c>
      <c r="B738">
        <v>8</v>
      </c>
      <c r="C738" t="s">
        <v>11</v>
      </c>
      <c r="D738">
        <v>-33.896447553887</v>
      </c>
      <c r="E738">
        <v>18.849783578039599</v>
      </c>
      <c r="F738">
        <v>6.5750000000000003E-2</v>
      </c>
      <c r="G738">
        <v>0.1643</v>
      </c>
      <c r="H738">
        <v>9.8599999999999993E-2</v>
      </c>
      <c r="I738">
        <v>8634.2009999999991</v>
      </c>
      <c r="J738">
        <v>10551.742</v>
      </c>
    </row>
    <row r="739" spans="1:10">
      <c r="A739">
        <v>143</v>
      </c>
      <c r="B739">
        <v>8</v>
      </c>
      <c r="C739" t="s">
        <v>11</v>
      </c>
      <c r="D739">
        <v>-33.905275968128898</v>
      </c>
      <c r="E739">
        <v>18.8551572049486</v>
      </c>
      <c r="F739">
        <v>6.5750000000000003E-2</v>
      </c>
      <c r="G739">
        <v>0.1643</v>
      </c>
      <c r="H739">
        <v>9.8599999999999993E-2</v>
      </c>
      <c r="I739">
        <v>5375.6719999999996</v>
      </c>
      <c r="J739">
        <v>7293.2129999999997</v>
      </c>
    </row>
    <row r="740" spans="1:10">
      <c r="A740">
        <v>144</v>
      </c>
      <c r="B740">
        <v>8</v>
      </c>
      <c r="C740" t="s">
        <v>11</v>
      </c>
      <c r="D740">
        <v>-33.918555416535099</v>
      </c>
      <c r="E740">
        <v>18.857928664856999</v>
      </c>
      <c r="F740">
        <v>6.5750000000000003E-2</v>
      </c>
      <c r="G740">
        <v>0.1643</v>
      </c>
      <c r="H740">
        <v>9.8599999999999993E-2</v>
      </c>
      <c r="I740">
        <v>4032.1289999999999</v>
      </c>
      <c r="J740">
        <v>5949.67</v>
      </c>
    </row>
    <row r="741" spans="1:10">
      <c r="A741">
        <v>145</v>
      </c>
      <c r="B741">
        <v>8</v>
      </c>
      <c r="C741" t="s">
        <v>11</v>
      </c>
      <c r="D741">
        <v>-33.904016869678003</v>
      </c>
      <c r="E741">
        <v>18.8568709290541</v>
      </c>
      <c r="F741">
        <v>6.5750000000000003E-2</v>
      </c>
      <c r="G741">
        <v>0.1643</v>
      </c>
      <c r="H741">
        <v>9.8599999999999993E-2</v>
      </c>
      <c r="I741">
        <v>5824.2470000000003</v>
      </c>
      <c r="J741">
        <v>7741.7879999999996</v>
      </c>
    </row>
    <row r="742" spans="1:10">
      <c r="A742">
        <v>146</v>
      </c>
      <c r="B742">
        <v>8</v>
      </c>
      <c r="C742" t="s">
        <v>11</v>
      </c>
      <c r="D742">
        <v>-33.899166368561701</v>
      </c>
      <c r="E742">
        <v>18.8535609449413</v>
      </c>
      <c r="F742">
        <v>6.5750000000000003E-2</v>
      </c>
      <c r="G742">
        <v>0.1643</v>
      </c>
      <c r="H742">
        <v>9.8599999999999993E-2</v>
      </c>
      <c r="I742">
        <v>6992.0929999999998</v>
      </c>
      <c r="J742">
        <v>8909.6329999999998</v>
      </c>
    </row>
    <row r="743" spans="1:10">
      <c r="A743">
        <v>147</v>
      </c>
      <c r="B743">
        <v>8</v>
      </c>
      <c r="C743" t="s">
        <v>11</v>
      </c>
      <c r="D743">
        <v>-33.918173249856999</v>
      </c>
      <c r="E743">
        <v>18.848186039667102</v>
      </c>
      <c r="F743">
        <v>6.5750000000000003E-2</v>
      </c>
      <c r="G743">
        <v>0.1643</v>
      </c>
      <c r="H743">
        <v>9.8599999999999993E-2</v>
      </c>
      <c r="I743">
        <v>4204.3130000000001</v>
      </c>
      <c r="J743">
        <v>6121.8540000000003</v>
      </c>
    </row>
    <row r="744" spans="1:10">
      <c r="A744">
        <v>148</v>
      </c>
      <c r="B744">
        <v>8</v>
      </c>
      <c r="C744" t="s">
        <v>11</v>
      </c>
      <c r="D744">
        <v>-33.9039615457745</v>
      </c>
      <c r="E744">
        <v>18.8468068946543</v>
      </c>
      <c r="F744">
        <v>6.5750000000000003E-2</v>
      </c>
      <c r="G744">
        <v>0.1643</v>
      </c>
      <c r="H744">
        <v>9.8599999999999993E-2</v>
      </c>
      <c r="I744">
        <v>5685.8729999999996</v>
      </c>
      <c r="J744">
        <v>7603.4139999999998</v>
      </c>
    </row>
    <row r="745" spans="1:10">
      <c r="A745">
        <v>149</v>
      </c>
      <c r="B745">
        <v>8</v>
      </c>
      <c r="C745" t="s">
        <v>11</v>
      </c>
      <c r="D745">
        <v>-33.901897296953798</v>
      </c>
      <c r="E745">
        <v>18.849066229306299</v>
      </c>
      <c r="F745">
        <v>6.5750000000000003E-2</v>
      </c>
      <c r="G745">
        <v>0.1643</v>
      </c>
      <c r="H745">
        <v>9.8599999999999993E-2</v>
      </c>
      <c r="I745">
        <v>5889.9279999999999</v>
      </c>
      <c r="J745">
        <v>7807.4679999999998</v>
      </c>
    </row>
    <row r="746" spans="1:10">
      <c r="A746">
        <v>150</v>
      </c>
      <c r="B746">
        <v>8</v>
      </c>
      <c r="C746" t="s">
        <v>11</v>
      </c>
      <c r="D746">
        <v>-33.910522872044702</v>
      </c>
      <c r="E746">
        <v>18.853793058938798</v>
      </c>
      <c r="F746">
        <v>6.5750000000000003E-2</v>
      </c>
      <c r="G746">
        <v>0.1643</v>
      </c>
      <c r="H746">
        <v>9.8599999999999993E-2</v>
      </c>
      <c r="I746">
        <v>4842.0810000000001</v>
      </c>
      <c r="J746">
        <v>6759.6220000000003</v>
      </c>
    </row>
    <row r="747" spans="1:10">
      <c r="A747">
        <v>151</v>
      </c>
      <c r="B747">
        <v>8</v>
      </c>
      <c r="C747" t="s">
        <v>11</v>
      </c>
      <c r="D747">
        <v>-33.899257083447097</v>
      </c>
      <c r="E747">
        <v>18.844213548327001</v>
      </c>
      <c r="F747">
        <v>6.5750000000000003E-2</v>
      </c>
      <c r="G747">
        <v>0.1643</v>
      </c>
      <c r="H747">
        <v>9.8599999999999993E-2</v>
      </c>
      <c r="I747">
        <v>6309.1210000000001</v>
      </c>
      <c r="J747">
        <v>8226.6620000000003</v>
      </c>
    </row>
    <row r="748" spans="1:10">
      <c r="A748">
        <v>152</v>
      </c>
      <c r="B748">
        <v>8</v>
      </c>
      <c r="C748" t="s">
        <v>11</v>
      </c>
      <c r="D748">
        <v>-33.898162872514703</v>
      </c>
      <c r="E748">
        <v>18.859252026615199</v>
      </c>
      <c r="F748">
        <v>6.5750000000000003E-2</v>
      </c>
      <c r="G748">
        <v>0.1643</v>
      </c>
      <c r="H748">
        <v>9.8599999999999993E-2</v>
      </c>
      <c r="I748">
        <v>5845.7129999999997</v>
      </c>
      <c r="J748">
        <v>7763.2529999999997</v>
      </c>
    </row>
    <row r="749" spans="1:10">
      <c r="A749">
        <v>153</v>
      </c>
      <c r="B749">
        <v>8</v>
      </c>
      <c r="C749" t="s">
        <v>11</v>
      </c>
      <c r="D749">
        <v>-33.919106653306997</v>
      </c>
      <c r="E749">
        <v>18.845696687915598</v>
      </c>
      <c r="F749">
        <v>6.5750000000000003E-2</v>
      </c>
      <c r="G749">
        <v>0.1643</v>
      </c>
      <c r="H749">
        <v>9.8599999999999993E-2</v>
      </c>
      <c r="I749">
        <v>4308.3190000000004</v>
      </c>
      <c r="J749">
        <v>6225.86</v>
      </c>
    </row>
    <row r="750" spans="1:10">
      <c r="A750">
        <v>154</v>
      </c>
      <c r="B750">
        <v>8</v>
      </c>
      <c r="C750" t="s">
        <v>11</v>
      </c>
      <c r="D750">
        <v>-33.904499015997501</v>
      </c>
      <c r="E750">
        <v>18.857225874504898</v>
      </c>
      <c r="F750">
        <v>6.5750000000000003E-2</v>
      </c>
      <c r="G750">
        <v>0.1643</v>
      </c>
      <c r="H750">
        <v>9.8599999999999993E-2</v>
      </c>
      <c r="I750">
        <v>5892.732</v>
      </c>
      <c r="J750">
        <v>7810.2719999999999</v>
      </c>
    </row>
    <row r="751" spans="1:10">
      <c r="A751">
        <v>155</v>
      </c>
      <c r="B751">
        <v>8</v>
      </c>
      <c r="C751" t="s">
        <v>11</v>
      </c>
      <c r="D751">
        <v>-33.914087418963398</v>
      </c>
      <c r="E751">
        <v>18.847759595858399</v>
      </c>
      <c r="F751">
        <v>6.5750000000000003E-2</v>
      </c>
      <c r="G751">
        <v>0.1643</v>
      </c>
      <c r="H751">
        <v>9.8599999999999993E-2</v>
      </c>
      <c r="I751">
        <v>4328.2960000000003</v>
      </c>
      <c r="J751">
        <v>6245.8370000000004</v>
      </c>
    </row>
    <row r="752" spans="1:10">
      <c r="A752">
        <v>156</v>
      </c>
      <c r="B752">
        <v>8</v>
      </c>
      <c r="C752" t="s">
        <v>11</v>
      </c>
      <c r="D752">
        <v>-33.897221764117297</v>
      </c>
      <c r="E752">
        <v>18.856700127642601</v>
      </c>
      <c r="F752">
        <v>6.5750000000000003E-2</v>
      </c>
      <c r="G752">
        <v>0.1643</v>
      </c>
      <c r="H752">
        <v>9.8599999999999993E-2</v>
      </c>
      <c r="I752">
        <v>6788.1909999999998</v>
      </c>
      <c r="J752">
        <v>8705.7309999999998</v>
      </c>
    </row>
    <row r="753" spans="1:10">
      <c r="A753">
        <v>157</v>
      </c>
      <c r="B753">
        <v>8</v>
      </c>
      <c r="C753" t="s">
        <v>11</v>
      </c>
      <c r="D753">
        <v>-33.912657272976197</v>
      </c>
      <c r="E753">
        <v>18.8559801077717</v>
      </c>
      <c r="F753">
        <v>6.5750000000000003E-2</v>
      </c>
      <c r="G753">
        <v>0.1643</v>
      </c>
      <c r="H753">
        <v>9.8599999999999993E-2</v>
      </c>
      <c r="I753">
        <v>4396.2290000000003</v>
      </c>
      <c r="J753">
        <v>6313.77</v>
      </c>
    </row>
    <row r="754" spans="1:10">
      <c r="A754">
        <v>158</v>
      </c>
      <c r="B754">
        <v>8</v>
      </c>
      <c r="C754" t="s">
        <v>11</v>
      </c>
      <c r="D754">
        <v>-33.9018719825335</v>
      </c>
      <c r="E754">
        <v>18.853964539984901</v>
      </c>
      <c r="F754">
        <v>6.5750000000000003E-2</v>
      </c>
      <c r="G754">
        <v>0.1643</v>
      </c>
      <c r="H754">
        <v>9.8599999999999993E-2</v>
      </c>
      <c r="I754">
        <v>6048.7039999999997</v>
      </c>
      <c r="J754">
        <v>7966.2439999999997</v>
      </c>
    </row>
    <row r="755" spans="1:10">
      <c r="A755">
        <v>159</v>
      </c>
      <c r="B755">
        <v>8</v>
      </c>
      <c r="C755" t="s">
        <v>11</v>
      </c>
      <c r="D755">
        <v>-33.916248339322699</v>
      </c>
      <c r="E755">
        <v>18.8439155137788</v>
      </c>
      <c r="F755">
        <v>6.5750000000000003E-2</v>
      </c>
      <c r="G755">
        <v>0.1643</v>
      </c>
      <c r="H755">
        <v>9.8599999999999993E-2</v>
      </c>
      <c r="I755">
        <v>4810.3190000000004</v>
      </c>
      <c r="J755">
        <v>6727.86</v>
      </c>
    </row>
    <row r="756" spans="1:10">
      <c r="A756">
        <v>160</v>
      </c>
      <c r="B756">
        <v>8</v>
      </c>
      <c r="C756" t="s">
        <v>11</v>
      </c>
      <c r="D756">
        <v>-33.910967879493597</v>
      </c>
      <c r="E756">
        <v>18.856746242519801</v>
      </c>
      <c r="F756">
        <v>6.5750000000000003E-2</v>
      </c>
      <c r="G756">
        <v>0.1643</v>
      </c>
      <c r="H756">
        <v>9.8599999999999993E-2</v>
      </c>
      <c r="I756">
        <v>4505.25</v>
      </c>
      <c r="J756">
        <v>6422.7910000000002</v>
      </c>
    </row>
    <row r="757" spans="1:10">
      <c r="A757">
        <v>161</v>
      </c>
      <c r="B757">
        <v>8</v>
      </c>
      <c r="C757" t="s">
        <v>11</v>
      </c>
      <c r="D757">
        <v>-33.9096247712991</v>
      </c>
      <c r="E757">
        <v>18.8590472398927</v>
      </c>
      <c r="F757">
        <v>6.5750000000000003E-2</v>
      </c>
      <c r="G757">
        <v>0.1643</v>
      </c>
      <c r="H757">
        <v>9.8599999999999993E-2</v>
      </c>
      <c r="I757">
        <v>4626.1059999999998</v>
      </c>
      <c r="J757">
        <v>6543.6459999999997</v>
      </c>
    </row>
    <row r="758" spans="1:10">
      <c r="A758">
        <v>162</v>
      </c>
      <c r="B758">
        <v>8</v>
      </c>
      <c r="C758" t="s">
        <v>11</v>
      </c>
      <c r="D758">
        <v>-33.907594140789797</v>
      </c>
      <c r="E758">
        <v>18.858841063067999</v>
      </c>
      <c r="F758">
        <v>6.5750000000000003E-2</v>
      </c>
      <c r="G758">
        <v>0.1643</v>
      </c>
      <c r="H758">
        <v>9.8599999999999993E-2</v>
      </c>
      <c r="I758">
        <v>5053.6549999999997</v>
      </c>
      <c r="J758">
        <v>6971.1949999999997</v>
      </c>
    </row>
    <row r="759" spans="1:10">
      <c r="A759">
        <v>163</v>
      </c>
      <c r="B759">
        <v>8</v>
      </c>
      <c r="C759" t="s">
        <v>11</v>
      </c>
      <c r="D759">
        <v>-33.9196505086462</v>
      </c>
      <c r="E759">
        <v>18.8536640687005</v>
      </c>
      <c r="F759">
        <v>6.5750000000000003E-2</v>
      </c>
      <c r="G759">
        <v>0.1643</v>
      </c>
      <c r="H759">
        <v>9.8599999999999993E-2</v>
      </c>
      <c r="I759">
        <v>3822.7420000000002</v>
      </c>
      <c r="J759">
        <v>5740.2830000000004</v>
      </c>
    </row>
    <row r="760" spans="1:10">
      <c r="A760">
        <v>164</v>
      </c>
      <c r="B760">
        <v>8</v>
      </c>
      <c r="C760" t="s">
        <v>11</v>
      </c>
      <c r="D760">
        <v>-33.899770420833903</v>
      </c>
      <c r="E760">
        <v>18.858217067161998</v>
      </c>
      <c r="F760">
        <v>6.5750000000000003E-2</v>
      </c>
      <c r="G760">
        <v>0.1643</v>
      </c>
      <c r="H760">
        <v>9.8599999999999993E-2</v>
      </c>
      <c r="I760">
        <v>6321.1710000000003</v>
      </c>
      <c r="J760">
        <v>8238.7119999999995</v>
      </c>
    </row>
    <row r="761" spans="1:10">
      <c r="A761">
        <v>165</v>
      </c>
      <c r="B761">
        <v>8</v>
      </c>
      <c r="C761" t="s">
        <v>11</v>
      </c>
      <c r="D761">
        <v>-33.908089419619699</v>
      </c>
      <c r="E761">
        <v>18.850992574234901</v>
      </c>
      <c r="F761">
        <v>6.5750000000000003E-2</v>
      </c>
      <c r="G761">
        <v>0.1643</v>
      </c>
      <c r="H761">
        <v>9.8599999999999993E-2</v>
      </c>
      <c r="I761">
        <v>5293.13</v>
      </c>
      <c r="J761">
        <v>7210.6710000000003</v>
      </c>
    </row>
    <row r="762" spans="1:10">
      <c r="A762">
        <v>166</v>
      </c>
      <c r="B762">
        <v>8</v>
      </c>
      <c r="C762" t="s">
        <v>11</v>
      </c>
      <c r="D762">
        <v>-33.903800852686203</v>
      </c>
      <c r="E762">
        <v>18.856958619683901</v>
      </c>
      <c r="F762">
        <v>6.5750000000000003E-2</v>
      </c>
      <c r="G762">
        <v>0.1643</v>
      </c>
      <c r="H762">
        <v>9.8599999999999993E-2</v>
      </c>
      <c r="I762">
        <v>5802.4089999999997</v>
      </c>
      <c r="J762">
        <v>7719.95</v>
      </c>
    </row>
    <row r="763" spans="1:10">
      <c r="A763">
        <v>167</v>
      </c>
      <c r="B763">
        <v>8</v>
      </c>
      <c r="C763" t="s">
        <v>11</v>
      </c>
      <c r="D763">
        <v>-33.900360722963498</v>
      </c>
      <c r="E763">
        <v>18.855715698582699</v>
      </c>
      <c r="F763">
        <v>6.5750000000000003E-2</v>
      </c>
      <c r="G763">
        <v>0.1643</v>
      </c>
      <c r="H763">
        <v>9.8599999999999993E-2</v>
      </c>
      <c r="I763">
        <v>6295.64</v>
      </c>
      <c r="J763">
        <v>8213.1810000000005</v>
      </c>
    </row>
    <row r="764" spans="1:10">
      <c r="A764">
        <v>168</v>
      </c>
      <c r="B764">
        <v>8</v>
      </c>
      <c r="C764" t="s">
        <v>11</v>
      </c>
      <c r="D764">
        <v>-33.904558745847403</v>
      </c>
      <c r="E764">
        <v>18.848811519132202</v>
      </c>
      <c r="F764">
        <v>6.5750000000000003E-2</v>
      </c>
      <c r="G764">
        <v>0.1643</v>
      </c>
      <c r="H764">
        <v>9.8599999999999993E-2</v>
      </c>
      <c r="I764">
        <v>5496.95</v>
      </c>
      <c r="J764">
        <v>7414.491</v>
      </c>
    </row>
    <row r="765" spans="1:10">
      <c r="A765">
        <v>169</v>
      </c>
      <c r="B765">
        <v>8</v>
      </c>
      <c r="C765" t="s">
        <v>11</v>
      </c>
      <c r="D765">
        <v>-33.908499124241402</v>
      </c>
      <c r="E765">
        <v>18.857547645471598</v>
      </c>
      <c r="F765">
        <v>6.5750000000000003E-2</v>
      </c>
      <c r="G765">
        <v>0.1643</v>
      </c>
      <c r="H765">
        <v>9.8599999999999993E-2</v>
      </c>
      <c r="I765">
        <v>4914.0519999999997</v>
      </c>
      <c r="J765">
        <v>6831.5929999999998</v>
      </c>
    </row>
    <row r="766" spans="1:10">
      <c r="A766">
        <v>170</v>
      </c>
      <c r="B766">
        <v>8</v>
      </c>
      <c r="C766" t="s">
        <v>11</v>
      </c>
      <c r="D766">
        <v>-33.910413132329197</v>
      </c>
      <c r="E766">
        <v>18.8516250073863</v>
      </c>
      <c r="F766">
        <v>6.5750000000000003E-2</v>
      </c>
      <c r="G766">
        <v>0.1643</v>
      </c>
      <c r="H766">
        <v>9.8599999999999993E-2</v>
      </c>
      <c r="I766">
        <v>5082.6909999999998</v>
      </c>
      <c r="J766">
        <v>7000.232</v>
      </c>
    </row>
    <row r="767" spans="1:10">
      <c r="A767">
        <v>171</v>
      </c>
      <c r="B767">
        <v>8</v>
      </c>
      <c r="C767" t="s">
        <v>11</v>
      </c>
      <c r="D767">
        <v>-33.918605564161801</v>
      </c>
      <c r="E767">
        <v>18.852358516374501</v>
      </c>
      <c r="F767">
        <v>6.5750000000000003E-2</v>
      </c>
      <c r="G767">
        <v>0.1643</v>
      </c>
      <c r="H767">
        <v>9.8599999999999993E-2</v>
      </c>
      <c r="I767">
        <v>3526.7249999999999</v>
      </c>
      <c r="J767">
        <v>5444.2659999999996</v>
      </c>
    </row>
    <row r="768" spans="1:10">
      <c r="A768">
        <v>172</v>
      </c>
      <c r="B768">
        <v>8</v>
      </c>
      <c r="C768" t="s">
        <v>11</v>
      </c>
      <c r="D768">
        <v>-33.903378324286201</v>
      </c>
      <c r="E768">
        <v>18.855666700813298</v>
      </c>
      <c r="F768">
        <v>6.5750000000000003E-2</v>
      </c>
      <c r="G768">
        <v>0.1643</v>
      </c>
      <c r="H768">
        <v>9.8599999999999993E-2</v>
      </c>
      <c r="I768">
        <v>5914.2370000000001</v>
      </c>
      <c r="J768">
        <v>7831.7780000000002</v>
      </c>
    </row>
    <row r="769" spans="1:10">
      <c r="A769">
        <v>173</v>
      </c>
      <c r="B769">
        <v>8</v>
      </c>
      <c r="C769" t="s">
        <v>11</v>
      </c>
      <c r="D769">
        <v>-33.919883003186499</v>
      </c>
      <c r="E769">
        <v>18.856877363311099</v>
      </c>
      <c r="F769">
        <v>6.5750000000000003E-2</v>
      </c>
      <c r="G769">
        <v>0.1643</v>
      </c>
      <c r="H769">
        <v>9.8599999999999993E-2</v>
      </c>
      <c r="I769">
        <v>3511.4740000000002</v>
      </c>
      <c r="J769">
        <v>5429.0150000000003</v>
      </c>
    </row>
    <row r="770" spans="1:10">
      <c r="A770">
        <v>174</v>
      </c>
      <c r="B770">
        <v>8</v>
      </c>
      <c r="C770" t="s">
        <v>11</v>
      </c>
      <c r="D770">
        <v>-33.909896153889697</v>
      </c>
      <c r="E770">
        <v>18.848176746178702</v>
      </c>
      <c r="F770">
        <v>6.5750000000000003E-2</v>
      </c>
      <c r="G770">
        <v>0.1643</v>
      </c>
      <c r="H770">
        <v>9.8599999999999993E-2</v>
      </c>
      <c r="I770">
        <v>4619.1139999999996</v>
      </c>
      <c r="J770">
        <v>6536.6540000000005</v>
      </c>
    </row>
    <row r="771" spans="1:10">
      <c r="A771">
        <v>175</v>
      </c>
      <c r="B771">
        <v>8</v>
      </c>
      <c r="C771" t="s">
        <v>11</v>
      </c>
      <c r="D771">
        <v>-33.8985001534326</v>
      </c>
      <c r="E771">
        <v>18.849395587783501</v>
      </c>
      <c r="F771">
        <v>6.5750000000000003E-2</v>
      </c>
      <c r="G771">
        <v>0.1643</v>
      </c>
      <c r="H771">
        <v>9.8599999999999993E-2</v>
      </c>
      <c r="I771">
        <v>6746.2889999999998</v>
      </c>
      <c r="J771">
        <v>8663.83</v>
      </c>
    </row>
    <row r="772" spans="1:10">
      <c r="A772">
        <v>176</v>
      </c>
      <c r="B772">
        <v>8</v>
      </c>
      <c r="C772" t="s">
        <v>11</v>
      </c>
      <c r="D772">
        <v>-33.909063048916003</v>
      </c>
      <c r="E772">
        <v>18.856493756772799</v>
      </c>
      <c r="F772">
        <v>6.5750000000000003E-2</v>
      </c>
      <c r="G772">
        <v>0.1643</v>
      </c>
      <c r="H772">
        <v>9.8599999999999993E-2</v>
      </c>
      <c r="I772">
        <v>4798.6000000000004</v>
      </c>
      <c r="J772">
        <v>6716.1409999999996</v>
      </c>
    </row>
    <row r="773" spans="1:10">
      <c r="A773">
        <v>177</v>
      </c>
      <c r="B773">
        <v>8</v>
      </c>
      <c r="C773" t="s">
        <v>11</v>
      </c>
      <c r="D773">
        <v>-33.905014567357199</v>
      </c>
      <c r="E773">
        <v>18.858282858727598</v>
      </c>
      <c r="F773">
        <v>6.5750000000000003E-2</v>
      </c>
      <c r="G773">
        <v>0.1643</v>
      </c>
      <c r="H773">
        <v>9.8599999999999993E-2</v>
      </c>
      <c r="I773">
        <v>5318.8119999999999</v>
      </c>
      <c r="J773">
        <v>7236.3530000000001</v>
      </c>
    </row>
    <row r="774" spans="1:10">
      <c r="A774">
        <v>178</v>
      </c>
      <c r="B774">
        <v>8</v>
      </c>
      <c r="C774" t="s">
        <v>11</v>
      </c>
      <c r="D774">
        <v>-33.9114146166932</v>
      </c>
      <c r="E774">
        <v>18.845050318865798</v>
      </c>
      <c r="F774">
        <v>6.5750000000000003E-2</v>
      </c>
      <c r="G774">
        <v>0.1643</v>
      </c>
      <c r="H774">
        <v>9.8599999999999993E-2</v>
      </c>
      <c r="I774">
        <v>4730.8119999999999</v>
      </c>
      <c r="J774">
        <v>6648.3530000000001</v>
      </c>
    </row>
    <row r="775" spans="1:10">
      <c r="A775">
        <v>179</v>
      </c>
      <c r="B775">
        <v>8</v>
      </c>
      <c r="C775" t="s">
        <v>11</v>
      </c>
      <c r="D775">
        <v>-33.9151590072508</v>
      </c>
      <c r="E775">
        <v>18.853239975016599</v>
      </c>
      <c r="F775">
        <v>6.5750000000000003E-2</v>
      </c>
      <c r="G775">
        <v>0.1643</v>
      </c>
      <c r="H775">
        <v>9.8599999999999993E-2</v>
      </c>
      <c r="I775">
        <v>4066.9209999999998</v>
      </c>
      <c r="J775">
        <v>5984.4620000000004</v>
      </c>
    </row>
    <row r="776" spans="1:10">
      <c r="A776">
        <v>180</v>
      </c>
      <c r="B776">
        <v>8</v>
      </c>
      <c r="C776" t="s">
        <v>11</v>
      </c>
      <c r="D776">
        <v>-33.913112898616902</v>
      </c>
      <c r="E776">
        <v>18.844638129219</v>
      </c>
      <c r="F776">
        <v>6.5750000000000003E-2</v>
      </c>
      <c r="G776">
        <v>0.1643</v>
      </c>
      <c r="H776">
        <v>9.8599999999999993E-2</v>
      </c>
      <c r="I776">
        <v>4857.143</v>
      </c>
      <c r="J776">
        <v>6774.683</v>
      </c>
    </row>
    <row r="777" spans="1:10">
      <c r="A777">
        <v>181</v>
      </c>
      <c r="B777">
        <v>8</v>
      </c>
      <c r="C777" t="s">
        <v>11</v>
      </c>
      <c r="D777">
        <v>-33.915831499859998</v>
      </c>
      <c r="E777">
        <v>18.859313351659999</v>
      </c>
      <c r="F777">
        <v>6.5750000000000003E-2</v>
      </c>
      <c r="G777">
        <v>0.1643</v>
      </c>
      <c r="H777">
        <v>9.8599999999999993E-2</v>
      </c>
      <c r="I777">
        <v>3909.511</v>
      </c>
      <c r="J777">
        <v>5827.0519999999997</v>
      </c>
    </row>
    <row r="778" spans="1:10">
      <c r="A778">
        <v>182</v>
      </c>
      <c r="B778">
        <v>8</v>
      </c>
      <c r="C778" t="s">
        <v>11</v>
      </c>
      <c r="D778">
        <v>-33.903077955216503</v>
      </c>
      <c r="E778">
        <v>18.855886060027601</v>
      </c>
      <c r="F778">
        <v>6.5750000000000003E-2</v>
      </c>
      <c r="G778">
        <v>0.1643</v>
      </c>
      <c r="H778">
        <v>9.8599999999999993E-2</v>
      </c>
      <c r="I778">
        <v>5897.3519999999999</v>
      </c>
      <c r="J778">
        <v>7814.893</v>
      </c>
    </row>
    <row r="779" spans="1:10">
      <c r="A779">
        <v>183</v>
      </c>
      <c r="B779">
        <v>8</v>
      </c>
      <c r="C779" t="s">
        <v>11</v>
      </c>
      <c r="D779">
        <v>-33.9001919949918</v>
      </c>
      <c r="E779">
        <v>18.8455250508657</v>
      </c>
      <c r="F779">
        <v>6.5750000000000003E-2</v>
      </c>
      <c r="G779">
        <v>0.1643</v>
      </c>
      <c r="H779">
        <v>9.8599999999999993E-2</v>
      </c>
      <c r="I779">
        <v>6359.9179999999997</v>
      </c>
      <c r="J779">
        <v>8277.4590000000007</v>
      </c>
    </row>
    <row r="780" spans="1:10">
      <c r="A780">
        <v>184</v>
      </c>
      <c r="B780">
        <v>8</v>
      </c>
      <c r="C780" t="s">
        <v>11</v>
      </c>
      <c r="D780">
        <v>-33.903149952721897</v>
      </c>
      <c r="E780">
        <v>18.849851702451399</v>
      </c>
      <c r="F780">
        <v>6.5750000000000003E-2</v>
      </c>
      <c r="G780">
        <v>0.1643</v>
      </c>
      <c r="H780">
        <v>9.8599999999999993E-2</v>
      </c>
      <c r="I780">
        <v>5769.6409999999996</v>
      </c>
      <c r="J780">
        <v>7687.1819999999998</v>
      </c>
    </row>
    <row r="781" spans="1:10">
      <c r="A781">
        <v>185</v>
      </c>
      <c r="B781">
        <v>8</v>
      </c>
      <c r="C781" t="s">
        <v>11</v>
      </c>
      <c r="D781">
        <v>-33.904531041872097</v>
      </c>
      <c r="E781">
        <v>18.847785537695501</v>
      </c>
      <c r="F781">
        <v>6.5750000000000003E-2</v>
      </c>
      <c r="G781">
        <v>0.1643</v>
      </c>
      <c r="H781">
        <v>9.8599999999999993E-2</v>
      </c>
      <c r="I781">
        <v>5548.52</v>
      </c>
      <c r="J781">
        <v>7466.0609999999997</v>
      </c>
    </row>
    <row r="782" spans="1:10">
      <c r="A782">
        <v>186</v>
      </c>
      <c r="B782">
        <v>8</v>
      </c>
      <c r="C782" t="s">
        <v>11</v>
      </c>
      <c r="D782">
        <v>-33.919648406653401</v>
      </c>
      <c r="E782">
        <v>18.843737188536501</v>
      </c>
      <c r="F782">
        <v>6.5750000000000003E-2</v>
      </c>
      <c r="G782">
        <v>0.1643</v>
      </c>
      <c r="H782">
        <v>9.8599999999999993E-2</v>
      </c>
      <c r="I782">
        <v>4584.2120000000004</v>
      </c>
      <c r="J782">
        <v>6501.7529999999997</v>
      </c>
    </row>
    <row r="783" spans="1:10">
      <c r="A783">
        <v>187</v>
      </c>
      <c r="B783">
        <v>8</v>
      </c>
      <c r="C783" t="s">
        <v>11</v>
      </c>
      <c r="D783">
        <v>-33.902450396583099</v>
      </c>
      <c r="E783">
        <v>18.854157583256299</v>
      </c>
      <c r="F783">
        <v>6.5750000000000003E-2</v>
      </c>
      <c r="G783">
        <v>0.1643</v>
      </c>
      <c r="H783">
        <v>9.8599999999999993E-2</v>
      </c>
      <c r="I783">
        <v>6048.7039999999997</v>
      </c>
      <c r="J783">
        <v>7966.2439999999997</v>
      </c>
    </row>
    <row r="784" spans="1:10">
      <c r="A784">
        <v>188</v>
      </c>
      <c r="B784">
        <v>8</v>
      </c>
      <c r="C784" t="s">
        <v>11</v>
      </c>
      <c r="D784">
        <v>-33.918051756058702</v>
      </c>
      <c r="E784">
        <v>18.859277346583099</v>
      </c>
      <c r="F784">
        <v>6.5750000000000003E-2</v>
      </c>
      <c r="G784">
        <v>0.1643</v>
      </c>
      <c r="H784">
        <v>9.8599999999999993E-2</v>
      </c>
      <c r="I784">
        <v>3906.752</v>
      </c>
      <c r="J784">
        <v>6204.509</v>
      </c>
    </row>
    <row r="785" spans="1:10">
      <c r="A785">
        <v>189</v>
      </c>
      <c r="B785">
        <v>8</v>
      </c>
      <c r="C785" t="s">
        <v>11</v>
      </c>
      <c r="D785">
        <v>-33.916393975243103</v>
      </c>
      <c r="E785">
        <v>18.856638993621399</v>
      </c>
      <c r="F785">
        <v>6.5750000000000003E-2</v>
      </c>
      <c r="G785">
        <v>0.1643</v>
      </c>
      <c r="H785">
        <v>9.8599999999999993E-2</v>
      </c>
      <c r="I785">
        <v>4087.1680000000001</v>
      </c>
      <c r="J785">
        <v>6004.7089999999998</v>
      </c>
    </row>
    <row r="786" spans="1:10">
      <c r="A786">
        <v>190</v>
      </c>
      <c r="B786">
        <v>8</v>
      </c>
      <c r="C786" t="s">
        <v>11</v>
      </c>
      <c r="D786">
        <v>-33.902602924100599</v>
      </c>
      <c r="E786">
        <v>18.844881483498799</v>
      </c>
      <c r="F786">
        <v>6.5750000000000003E-2</v>
      </c>
      <c r="G786">
        <v>0.1643</v>
      </c>
      <c r="H786">
        <v>9.8599999999999993E-2</v>
      </c>
      <c r="I786">
        <v>6025.7780000000002</v>
      </c>
      <c r="J786">
        <v>7943.3180000000002</v>
      </c>
    </row>
    <row r="787" spans="1:10">
      <c r="A787">
        <v>191</v>
      </c>
      <c r="B787">
        <v>8</v>
      </c>
      <c r="C787" t="s">
        <v>11</v>
      </c>
      <c r="D787">
        <v>-33.910762065005301</v>
      </c>
      <c r="E787">
        <v>18.8591730884858</v>
      </c>
      <c r="F787">
        <v>6.5750000000000003E-2</v>
      </c>
      <c r="G787">
        <v>0.1643</v>
      </c>
      <c r="H787">
        <v>9.8599999999999993E-2</v>
      </c>
      <c r="I787">
        <v>4779.0919999999996</v>
      </c>
      <c r="J787">
        <v>6696.6329999999998</v>
      </c>
    </row>
    <row r="788" spans="1:10">
      <c r="A788">
        <v>192</v>
      </c>
      <c r="B788">
        <v>8</v>
      </c>
      <c r="C788" t="s">
        <v>11</v>
      </c>
      <c r="D788">
        <v>-33.913389035228597</v>
      </c>
      <c r="E788">
        <v>18.852715353093998</v>
      </c>
      <c r="F788">
        <v>6.5750000000000003E-2</v>
      </c>
      <c r="G788">
        <v>0.1643</v>
      </c>
      <c r="H788">
        <v>9.8599999999999993E-2</v>
      </c>
      <c r="I788">
        <v>4651.3590000000004</v>
      </c>
      <c r="J788">
        <v>6568.9</v>
      </c>
    </row>
    <row r="789" spans="1:10">
      <c r="A789">
        <v>193</v>
      </c>
      <c r="B789">
        <v>8</v>
      </c>
      <c r="C789" t="s">
        <v>11</v>
      </c>
      <c r="D789">
        <v>-33.910416209857402</v>
      </c>
      <c r="E789">
        <v>18.857558104325602</v>
      </c>
      <c r="F789">
        <v>6.5750000000000003E-2</v>
      </c>
      <c r="G789">
        <v>0.1643</v>
      </c>
      <c r="H789">
        <v>9.8599999999999993E-2</v>
      </c>
      <c r="I789">
        <v>4600.3909999999996</v>
      </c>
      <c r="J789">
        <v>6517.9319999999998</v>
      </c>
    </row>
    <row r="790" spans="1:10">
      <c r="A790">
        <v>194</v>
      </c>
      <c r="B790">
        <v>8</v>
      </c>
      <c r="C790" t="s">
        <v>11</v>
      </c>
      <c r="D790">
        <v>-33.914997947669598</v>
      </c>
      <c r="E790">
        <v>18.846168104684001</v>
      </c>
      <c r="F790">
        <v>6.5750000000000003E-2</v>
      </c>
      <c r="G790">
        <v>0.1643</v>
      </c>
      <c r="H790">
        <v>9.8599999999999993E-2</v>
      </c>
      <c r="I790">
        <v>4592.9979999999996</v>
      </c>
      <c r="J790">
        <v>6510.5389999999998</v>
      </c>
    </row>
    <row r="791" spans="1:10">
      <c r="A791">
        <v>195</v>
      </c>
      <c r="B791">
        <v>8</v>
      </c>
      <c r="C791" t="s">
        <v>11</v>
      </c>
      <c r="D791">
        <v>-33.896840685973601</v>
      </c>
      <c r="E791">
        <v>18.858461953507</v>
      </c>
      <c r="F791">
        <v>6.5750000000000003E-2</v>
      </c>
      <c r="G791">
        <v>0.1643</v>
      </c>
      <c r="H791">
        <v>9.8599999999999993E-2</v>
      </c>
      <c r="I791">
        <v>6261.5150000000003</v>
      </c>
      <c r="J791">
        <v>8179.0559999999996</v>
      </c>
    </row>
    <row r="792" spans="1:10">
      <c r="A792">
        <v>196</v>
      </c>
      <c r="B792">
        <v>8</v>
      </c>
      <c r="C792" t="s">
        <v>11</v>
      </c>
      <c r="D792">
        <v>-33.903880769868799</v>
      </c>
      <c r="E792">
        <v>18.8491012663475</v>
      </c>
      <c r="F792">
        <v>6.5750000000000003E-2</v>
      </c>
      <c r="G792">
        <v>0.1643</v>
      </c>
      <c r="H792">
        <v>9.8599999999999993E-2</v>
      </c>
      <c r="I792">
        <v>5708.2240000000002</v>
      </c>
      <c r="J792">
        <v>7625.7650000000003</v>
      </c>
    </row>
    <row r="793" spans="1:10">
      <c r="A793">
        <v>197</v>
      </c>
      <c r="B793">
        <v>8</v>
      </c>
      <c r="C793" t="s">
        <v>11</v>
      </c>
      <c r="D793">
        <v>-33.913800972010002</v>
      </c>
      <c r="E793">
        <v>18.8501430059647</v>
      </c>
      <c r="F793">
        <v>6.5750000000000003E-2</v>
      </c>
      <c r="G793">
        <v>0.1643</v>
      </c>
      <c r="H793">
        <v>9.8599999999999993E-2</v>
      </c>
      <c r="I793">
        <v>4091.8649999999998</v>
      </c>
      <c r="J793">
        <v>6009.4059999999999</v>
      </c>
    </row>
    <row r="794" spans="1:10">
      <c r="A794">
        <v>198</v>
      </c>
      <c r="B794">
        <v>8</v>
      </c>
      <c r="C794" t="s">
        <v>11</v>
      </c>
      <c r="D794">
        <v>-33.909348021931002</v>
      </c>
      <c r="E794">
        <v>18.851967060868301</v>
      </c>
      <c r="F794">
        <v>6.5750000000000003E-2</v>
      </c>
      <c r="G794">
        <v>0.1643</v>
      </c>
      <c r="H794">
        <v>9.8599999999999993E-2</v>
      </c>
      <c r="I794">
        <v>5032.2569999999996</v>
      </c>
      <c r="J794">
        <v>6949.7979999999998</v>
      </c>
    </row>
    <row r="795" spans="1:10">
      <c r="A795">
        <v>199</v>
      </c>
      <c r="B795">
        <v>8</v>
      </c>
      <c r="C795" t="s">
        <v>11</v>
      </c>
      <c r="D795">
        <v>-33.898864143894798</v>
      </c>
      <c r="E795">
        <v>18.847582829028401</v>
      </c>
      <c r="F795">
        <v>6.5750000000000003E-2</v>
      </c>
      <c r="G795">
        <v>0.1643</v>
      </c>
      <c r="H795">
        <v>9.8599999999999993E-2</v>
      </c>
      <c r="I795">
        <v>6512.87</v>
      </c>
      <c r="J795">
        <v>8430.4110000000001</v>
      </c>
    </row>
    <row r="796" spans="1:10">
      <c r="A796">
        <v>200</v>
      </c>
      <c r="B796">
        <v>8</v>
      </c>
      <c r="C796" t="s">
        <v>11</v>
      </c>
      <c r="D796">
        <v>-33.916153609089498</v>
      </c>
      <c r="E796">
        <v>18.845267608828099</v>
      </c>
      <c r="F796">
        <v>6.5750000000000003E-2</v>
      </c>
      <c r="G796">
        <v>0.1643</v>
      </c>
      <c r="H796">
        <v>9.8599999999999993E-2</v>
      </c>
      <c r="I796">
        <v>4358.46</v>
      </c>
      <c r="J796">
        <v>6276.0010000000002</v>
      </c>
    </row>
    <row r="797" spans="1:10">
      <c r="A797">
        <v>201</v>
      </c>
      <c r="B797">
        <v>8</v>
      </c>
      <c r="C797" t="s">
        <v>11</v>
      </c>
      <c r="D797">
        <v>-33.899994591837398</v>
      </c>
      <c r="E797">
        <v>18.853275052844999</v>
      </c>
      <c r="F797">
        <v>6.5750000000000003E-2</v>
      </c>
      <c r="G797">
        <v>0.1643</v>
      </c>
      <c r="H797">
        <v>9.8599999999999993E-2</v>
      </c>
      <c r="I797">
        <v>7004.4279999999999</v>
      </c>
      <c r="J797">
        <v>8921.9680000000008</v>
      </c>
    </row>
    <row r="798" spans="1:10">
      <c r="A798">
        <v>202</v>
      </c>
      <c r="B798">
        <v>8</v>
      </c>
      <c r="C798" t="s">
        <v>11</v>
      </c>
      <c r="D798">
        <v>-33.898175266292398</v>
      </c>
      <c r="E798">
        <v>18.847366816995201</v>
      </c>
      <c r="F798">
        <v>6.5750000000000003E-2</v>
      </c>
      <c r="G798">
        <v>0.1643</v>
      </c>
      <c r="H798">
        <v>9.8599999999999993E-2</v>
      </c>
      <c r="I798">
        <v>6512.87</v>
      </c>
      <c r="J798">
        <v>8430.4110000000001</v>
      </c>
    </row>
    <row r="799" spans="1:10">
      <c r="A799">
        <v>203</v>
      </c>
      <c r="B799">
        <v>8</v>
      </c>
      <c r="C799" t="s">
        <v>11</v>
      </c>
      <c r="D799">
        <v>-33.918348985362599</v>
      </c>
      <c r="E799">
        <v>18.848447792604901</v>
      </c>
      <c r="F799">
        <v>6.5750000000000003E-2</v>
      </c>
      <c r="G799">
        <v>0.1643</v>
      </c>
      <c r="H799">
        <v>9.8599999999999993E-2</v>
      </c>
      <c r="I799">
        <v>4002.4140000000002</v>
      </c>
      <c r="J799">
        <v>5919.9549999999999</v>
      </c>
    </row>
    <row r="800" spans="1:10">
      <c r="A800">
        <v>204</v>
      </c>
      <c r="B800">
        <v>8</v>
      </c>
      <c r="C800" t="s">
        <v>11</v>
      </c>
      <c r="D800">
        <v>-33.907376645746702</v>
      </c>
      <c r="E800">
        <v>18.845202001397599</v>
      </c>
      <c r="F800">
        <v>6.5750000000000003E-2</v>
      </c>
      <c r="G800">
        <v>0.1643</v>
      </c>
      <c r="H800">
        <v>9.8599999999999993E-2</v>
      </c>
      <c r="I800">
        <v>4948.7809999999999</v>
      </c>
      <c r="J800">
        <v>6866.3220000000001</v>
      </c>
    </row>
    <row r="801" spans="1:10">
      <c r="A801">
        <v>205</v>
      </c>
      <c r="B801">
        <v>8</v>
      </c>
      <c r="C801" t="s">
        <v>11</v>
      </c>
      <c r="D801">
        <v>-33.904846894972103</v>
      </c>
      <c r="E801">
        <v>18.854176300807101</v>
      </c>
      <c r="F801">
        <v>6.5750000000000003E-2</v>
      </c>
      <c r="G801">
        <v>0.1643</v>
      </c>
      <c r="H801">
        <v>9.8599999999999993E-2</v>
      </c>
      <c r="I801">
        <v>5480.22</v>
      </c>
      <c r="J801">
        <v>7397.7610000000004</v>
      </c>
    </row>
    <row r="802" spans="1:10">
      <c r="A802">
        <v>206</v>
      </c>
      <c r="B802">
        <v>8</v>
      </c>
      <c r="C802" t="s">
        <v>11</v>
      </c>
      <c r="D802">
        <v>-33.916912700625701</v>
      </c>
      <c r="E802">
        <v>18.855832551139901</v>
      </c>
      <c r="F802">
        <v>6.5750000000000003E-2</v>
      </c>
      <c r="G802">
        <v>0.1643</v>
      </c>
      <c r="H802">
        <v>9.8599999999999993E-2</v>
      </c>
      <c r="I802">
        <v>4013.2449999999999</v>
      </c>
      <c r="J802">
        <v>5930.7860000000001</v>
      </c>
    </row>
    <row r="803" spans="1:10">
      <c r="A803">
        <v>207</v>
      </c>
      <c r="B803">
        <v>8</v>
      </c>
      <c r="C803" t="s">
        <v>11</v>
      </c>
      <c r="D803">
        <v>-33.905561986074602</v>
      </c>
      <c r="E803">
        <v>18.852094777583101</v>
      </c>
      <c r="F803">
        <v>6.5750000000000003E-2</v>
      </c>
      <c r="G803">
        <v>0.1643</v>
      </c>
      <c r="H803">
        <v>9.8599999999999993E-2</v>
      </c>
      <c r="I803">
        <v>5528.125</v>
      </c>
      <c r="J803">
        <v>7445.6660000000002</v>
      </c>
    </row>
    <row r="804" spans="1:10">
      <c r="A804">
        <v>208</v>
      </c>
      <c r="B804">
        <v>8</v>
      </c>
      <c r="C804" t="s">
        <v>11</v>
      </c>
      <c r="D804">
        <v>-33.901078540526001</v>
      </c>
      <c r="E804">
        <v>18.845017177035899</v>
      </c>
      <c r="F804">
        <v>6.5750000000000003E-2</v>
      </c>
      <c r="G804">
        <v>0.1643</v>
      </c>
      <c r="H804">
        <v>9.8599999999999993E-2</v>
      </c>
      <c r="I804">
        <v>6064.1149999999998</v>
      </c>
      <c r="J804">
        <v>7981.6559999999999</v>
      </c>
    </row>
    <row r="805" spans="1:10">
      <c r="A805">
        <v>209</v>
      </c>
      <c r="B805">
        <v>8</v>
      </c>
      <c r="C805" t="s">
        <v>11</v>
      </c>
      <c r="D805">
        <v>-33.914183196817802</v>
      </c>
      <c r="E805">
        <v>18.849947510777898</v>
      </c>
      <c r="F805">
        <v>6.5750000000000003E-2</v>
      </c>
      <c r="G805">
        <v>0.1643</v>
      </c>
      <c r="H805">
        <v>9.8599999999999993E-2</v>
      </c>
      <c r="I805">
        <v>4067.8440000000001</v>
      </c>
      <c r="J805">
        <v>5985.3850000000002</v>
      </c>
    </row>
    <row r="806" spans="1:10">
      <c r="A806">
        <v>210</v>
      </c>
      <c r="B806">
        <v>8</v>
      </c>
      <c r="C806" t="s">
        <v>11</v>
      </c>
      <c r="D806">
        <v>-33.910798415622999</v>
      </c>
      <c r="E806">
        <v>18.845541552654201</v>
      </c>
      <c r="F806">
        <v>6.5750000000000003E-2</v>
      </c>
      <c r="G806">
        <v>0.1643</v>
      </c>
      <c r="H806">
        <v>9.8599999999999993E-2</v>
      </c>
      <c r="I806">
        <v>4690.5550000000003</v>
      </c>
      <c r="J806">
        <v>6608.0959999999995</v>
      </c>
    </row>
    <row r="807" spans="1:10">
      <c r="A807">
        <v>211</v>
      </c>
      <c r="B807">
        <v>8</v>
      </c>
      <c r="C807" t="s">
        <v>11</v>
      </c>
      <c r="D807">
        <v>-33.917237819923599</v>
      </c>
      <c r="E807">
        <v>18.8579027762894</v>
      </c>
      <c r="F807">
        <v>6.5750000000000003E-2</v>
      </c>
      <c r="G807">
        <v>0.1643</v>
      </c>
      <c r="H807">
        <v>9.8599999999999993E-2</v>
      </c>
      <c r="I807">
        <v>3890.1619999999998</v>
      </c>
      <c r="J807">
        <v>5807.7030000000004</v>
      </c>
    </row>
    <row r="808" spans="1:10">
      <c r="A808">
        <v>212</v>
      </c>
      <c r="B808">
        <v>8</v>
      </c>
      <c r="C808" t="s">
        <v>11</v>
      </c>
      <c r="D808">
        <v>-33.897367994233598</v>
      </c>
      <c r="E808">
        <v>18.8449893912547</v>
      </c>
      <c r="F808">
        <v>6.5750000000000003E-2</v>
      </c>
      <c r="G808">
        <v>0.1643</v>
      </c>
      <c r="H808">
        <v>9.8599999999999993E-2</v>
      </c>
      <c r="I808">
        <v>6664.0590000000002</v>
      </c>
      <c r="J808">
        <v>8581.5990000000002</v>
      </c>
    </row>
    <row r="809" spans="1:10">
      <c r="A809">
        <v>213</v>
      </c>
      <c r="B809">
        <v>8</v>
      </c>
      <c r="C809" t="s">
        <v>11</v>
      </c>
      <c r="D809">
        <v>-33.917698894272398</v>
      </c>
      <c r="E809">
        <v>18.846800172372198</v>
      </c>
      <c r="F809">
        <v>6.5750000000000003E-2</v>
      </c>
      <c r="G809">
        <v>0.1643</v>
      </c>
      <c r="H809">
        <v>9.8599999999999993E-2</v>
      </c>
      <c r="I809">
        <v>4168.2730000000001</v>
      </c>
      <c r="J809">
        <v>6085.8140000000003</v>
      </c>
    </row>
    <row r="810" spans="1:10">
      <c r="A810">
        <v>214</v>
      </c>
      <c r="B810">
        <v>8</v>
      </c>
      <c r="C810" t="s">
        <v>11</v>
      </c>
      <c r="D810">
        <v>-33.916737601257097</v>
      </c>
      <c r="E810">
        <v>18.857035267043599</v>
      </c>
      <c r="F810">
        <v>6.5750000000000003E-2</v>
      </c>
      <c r="G810">
        <v>0.1643</v>
      </c>
      <c r="H810">
        <v>9.8599999999999993E-2</v>
      </c>
      <c r="I810">
        <v>3912.1350000000002</v>
      </c>
      <c r="J810">
        <v>5829.6750000000002</v>
      </c>
    </row>
    <row r="811" spans="1:10">
      <c r="A811">
        <v>215</v>
      </c>
      <c r="B811">
        <v>8</v>
      </c>
      <c r="C811" t="s">
        <v>11</v>
      </c>
      <c r="D811">
        <v>-33.908087828301703</v>
      </c>
      <c r="E811">
        <v>18.858608310491899</v>
      </c>
      <c r="F811">
        <v>6.5750000000000003E-2</v>
      </c>
      <c r="G811">
        <v>0.1643</v>
      </c>
      <c r="H811">
        <v>9.8599999999999993E-2</v>
      </c>
      <c r="I811">
        <v>5008.4089999999997</v>
      </c>
      <c r="J811">
        <v>6925.9489999999996</v>
      </c>
    </row>
    <row r="812" spans="1:10">
      <c r="A812">
        <v>216</v>
      </c>
      <c r="B812">
        <v>8</v>
      </c>
      <c r="C812" t="s">
        <v>11</v>
      </c>
      <c r="D812">
        <v>-33.904600576674198</v>
      </c>
      <c r="E812">
        <v>18.8490227250497</v>
      </c>
      <c r="F812">
        <v>6.5750000000000003E-2</v>
      </c>
      <c r="G812">
        <v>0.1643</v>
      </c>
      <c r="H812">
        <v>9.8599999999999993E-2</v>
      </c>
      <c r="I812">
        <v>5519.49</v>
      </c>
      <c r="J812">
        <v>7437.0309999999999</v>
      </c>
    </row>
    <row r="813" spans="1:10">
      <c r="A813">
        <v>217</v>
      </c>
      <c r="B813">
        <v>8</v>
      </c>
      <c r="C813" t="s">
        <v>11</v>
      </c>
      <c r="D813">
        <v>-33.901803662211499</v>
      </c>
      <c r="E813">
        <v>18.8566250467156</v>
      </c>
      <c r="F813">
        <v>6.5750000000000003E-2</v>
      </c>
      <c r="G813">
        <v>0.1643</v>
      </c>
      <c r="H813">
        <v>9.8599999999999993E-2</v>
      </c>
      <c r="I813">
        <v>5633.1589999999997</v>
      </c>
      <c r="J813">
        <v>7550.6989999999996</v>
      </c>
    </row>
    <row r="814" spans="1:10">
      <c r="A814">
        <v>218</v>
      </c>
      <c r="B814">
        <v>8</v>
      </c>
      <c r="C814" t="s">
        <v>11</v>
      </c>
      <c r="D814">
        <v>-33.905881423536499</v>
      </c>
      <c r="E814">
        <v>18.852692483442102</v>
      </c>
      <c r="F814">
        <v>6.5750000000000003E-2</v>
      </c>
      <c r="G814">
        <v>0.1643</v>
      </c>
      <c r="H814">
        <v>9.8599999999999993E-2</v>
      </c>
      <c r="I814">
        <v>5481.1689999999999</v>
      </c>
      <c r="J814">
        <v>7398.71</v>
      </c>
    </row>
    <row r="815" spans="1:10">
      <c r="A815">
        <v>219</v>
      </c>
      <c r="B815">
        <v>8</v>
      </c>
      <c r="C815" t="s">
        <v>11</v>
      </c>
      <c r="D815">
        <v>-33.9100208908648</v>
      </c>
      <c r="E815">
        <v>18.8583366704332</v>
      </c>
      <c r="F815">
        <v>6.5750000000000003E-2</v>
      </c>
      <c r="G815">
        <v>0.1643</v>
      </c>
      <c r="H815">
        <v>9.8599999999999993E-2</v>
      </c>
      <c r="I815">
        <v>4597.7759999999998</v>
      </c>
      <c r="J815">
        <v>6515.317</v>
      </c>
    </row>
    <row r="816" spans="1:10">
      <c r="A816">
        <v>220</v>
      </c>
      <c r="B816">
        <v>8</v>
      </c>
      <c r="C816" t="s">
        <v>11</v>
      </c>
      <c r="D816">
        <v>-33.912986903735501</v>
      </c>
      <c r="E816">
        <v>18.843610781691002</v>
      </c>
      <c r="F816">
        <v>6.5750000000000003E-2</v>
      </c>
      <c r="G816">
        <v>0.1643</v>
      </c>
      <c r="H816">
        <v>9.8599999999999993E-2</v>
      </c>
      <c r="I816">
        <v>4947.6009999999997</v>
      </c>
      <c r="J816">
        <v>6865.1419999999998</v>
      </c>
    </row>
    <row r="817" spans="1:10">
      <c r="A817">
        <v>221</v>
      </c>
      <c r="B817">
        <v>8</v>
      </c>
      <c r="C817" t="s">
        <v>11</v>
      </c>
      <c r="D817">
        <v>-33.913052250986297</v>
      </c>
      <c r="E817">
        <v>18.851254730026</v>
      </c>
      <c r="F817">
        <v>6.5750000000000003E-2</v>
      </c>
      <c r="G817">
        <v>0.1643</v>
      </c>
      <c r="H817">
        <v>9.8599999999999993E-2</v>
      </c>
      <c r="I817">
        <v>4776.8090000000002</v>
      </c>
      <c r="J817">
        <v>6694.3490000000002</v>
      </c>
    </row>
    <row r="818" spans="1:10">
      <c r="A818">
        <v>0</v>
      </c>
      <c r="B818">
        <v>9</v>
      </c>
      <c r="C818" t="s">
        <v>105</v>
      </c>
      <c r="D818">
        <v>-33.923294711851497</v>
      </c>
      <c r="E818">
        <v>18.840841092251001</v>
      </c>
      <c r="F818">
        <v>6.5750000000000003E-2</v>
      </c>
      <c r="G818">
        <v>0.1643</v>
      </c>
      <c r="H818">
        <v>9.8599999999999993E-2</v>
      </c>
      <c r="I818">
        <v>4515.2449999999999</v>
      </c>
      <c r="J818">
        <v>6074.1220000000003</v>
      </c>
    </row>
    <row r="819" spans="1:10">
      <c r="A819">
        <v>1</v>
      </c>
      <c r="B819">
        <v>9</v>
      </c>
      <c r="C819" t="s">
        <v>105</v>
      </c>
      <c r="D819">
        <v>-33.922172958619797</v>
      </c>
      <c r="E819">
        <v>18.837642046032499</v>
      </c>
      <c r="F819">
        <v>6.5750000000000003E-2</v>
      </c>
      <c r="G819">
        <v>0.1643</v>
      </c>
      <c r="H819">
        <v>9.8599999999999993E-2</v>
      </c>
      <c r="I819">
        <v>4984.7640000000001</v>
      </c>
      <c r="J819">
        <v>6543.6409999999996</v>
      </c>
    </row>
    <row r="820" spans="1:10">
      <c r="A820">
        <v>2</v>
      </c>
      <c r="B820">
        <v>9</v>
      </c>
      <c r="C820" t="s">
        <v>105</v>
      </c>
      <c r="D820">
        <v>-33.925699805614599</v>
      </c>
      <c r="E820">
        <v>18.840804129905901</v>
      </c>
      <c r="F820">
        <v>6.5750000000000003E-2</v>
      </c>
      <c r="G820">
        <v>0.1643</v>
      </c>
      <c r="H820">
        <v>9.8599999999999993E-2</v>
      </c>
      <c r="I820">
        <v>4711.5730000000003</v>
      </c>
      <c r="J820">
        <v>6270.45</v>
      </c>
    </row>
    <row r="821" spans="1:10">
      <c r="A821">
        <v>3</v>
      </c>
      <c r="B821">
        <v>9</v>
      </c>
      <c r="C821" t="s">
        <v>105</v>
      </c>
      <c r="D821">
        <v>-33.923985394422097</v>
      </c>
      <c r="E821">
        <v>18.8379344828904</v>
      </c>
      <c r="F821">
        <v>6.5750000000000003E-2</v>
      </c>
      <c r="G821">
        <v>0.1643</v>
      </c>
      <c r="H821">
        <v>9.8599999999999993E-2</v>
      </c>
      <c r="I821">
        <v>4923.28</v>
      </c>
      <c r="J821">
        <v>6482.1570000000002</v>
      </c>
    </row>
    <row r="822" spans="1:10">
      <c r="A822">
        <v>4</v>
      </c>
      <c r="B822">
        <v>9</v>
      </c>
      <c r="C822" t="s">
        <v>105</v>
      </c>
      <c r="D822">
        <v>-33.920061922686799</v>
      </c>
      <c r="E822">
        <v>18.836340726081598</v>
      </c>
      <c r="F822">
        <v>6.5750000000000003E-2</v>
      </c>
      <c r="G822">
        <v>0.1643</v>
      </c>
      <c r="H822">
        <v>9.8599999999999993E-2</v>
      </c>
      <c r="I822">
        <v>5043.3549999999996</v>
      </c>
      <c r="J822">
        <v>6602.232</v>
      </c>
    </row>
    <row r="823" spans="1:10">
      <c r="A823">
        <v>5</v>
      </c>
      <c r="B823">
        <v>9</v>
      </c>
      <c r="C823" t="s">
        <v>105</v>
      </c>
      <c r="D823">
        <v>-33.926160874784898</v>
      </c>
      <c r="E823">
        <v>18.841800517924302</v>
      </c>
      <c r="F823">
        <v>6.5750000000000003E-2</v>
      </c>
      <c r="G823">
        <v>0.1643</v>
      </c>
      <c r="H823">
        <v>9.8599999999999993E-2</v>
      </c>
      <c r="I823">
        <v>4194.348</v>
      </c>
      <c r="J823">
        <v>5753.2250000000004</v>
      </c>
    </row>
    <row r="824" spans="1:10">
      <c r="A824">
        <v>6</v>
      </c>
      <c r="B824">
        <v>9</v>
      </c>
      <c r="C824" t="s">
        <v>105</v>
      </c>
      <c r="D824">
        <v>-33.924142775957598</v>
      </c>
      <c r="E824">
        <v>18.840119179611399</v>
      </c>
      <c r="F824">
        <v>6.5750000000000003E-2</v>
      </c>
      <c r="G824">
        <v>0.1643</v>
      </c>
      <c r="H824">
        <v>9.8599999999999993E-2</v>
      </c>
      <c r="I824">
        <v>4593.5690000000004</v>
      </c>
      <c r="J824">
        <v>6152.4459999999999</v>
      </c>
    </row>
    <row r="825" spans="1:10">
      <c r="A825">
        <v>7</v>
      </c>
      <c r="B825">
        <v>9</v>
      </c>
      <c r="C825" t="s">
        <v>105</v>
      </c>
      <c r="D825">
        <v>-33.923117246311698</v>
      </c>
      <c r="E825">
        <v>18.8448809394432</v>
      </c>
      <c r="F825">
        <v>6.5750000000000003E-2</v>
      </c>
      <c r="G825">
        <v>0.1643</v>
      </c>
      <c r="H825">
        <v>9.8599999999999993E-2</v>
      </c>
      <c r="I825">
        <v>3913.4169999999999</v>
      </c>
      <c r="J825">
        <v>5472.2929999999997</v>
      </c>
    </row>
    <row r="826" spans="1:10">
      <c r="A826">
        <v>8</v>
      </c>
      <c r="B826">
        <v>9</v>
      </c>
      <c r="C826" t="s">
        <v>105</v>
      </c>
      <c r="D826">
        <v>-33.923089333464702</v>
      </c>
      <c r="E826">
        <v>18.8403690012174</v>
      </c>
      <c r="F826">
        <v>6.5750000000000003E-2</v>
      </c>
      <c r="G826">
        <v>0.1643</v>
      </c>
      <c r="H826">
        <v>9.8599999999999993E-2</v>
      </c>
      <c r="I826">
        <v>4596.2460000000001</v>
      </c>
      <c r="J826">
        <v>6155.1229999999996</v>
      </c>
    </row>
    <row r="827" spans="1:10">
      <c r="A827">
        <v>9</v>
      </c>
      <c r="B827">
        <v>9</v>
      </c>
      <c r="C827" t="s">
        <v>105</v>
      </c>
      <c r="D827">
        <v>-33.921428806579101</v>
      </c>
      <c r="E827">
        <v>18.844555865729401</v>
      </c>
      <c r="F827">
        <v>6.5750000000000003E-2</v>
      </c>
      <c r="G827">
        <v>0.1643</v>
      </c>
      <c r="H827">
        <v>9.8599999999999993E-2</v>
      </c>
      <c r="I827">
        <v>4555.4769999999999</v>
      </c>
      <c r="J827">
        <v>5883.4960000000001</v>
      </c>
    </row>
    <row r="828" spans="1:10">
      <c r="A828">
        <v>10</v>
      </c>
      <c r="B828">
        <v>9</v>
      </c>
      <c r="C828" t="s">
        <v>105</v>
      </c>
      <c r="D828">
        <v>-33.922762296065898</v>
      </c>
      <c r="E828">
        <v>18.8409381139167</v>
      </c>
      <c r="F828">
        <v>6.5750000000000003E-2</v>
      </c>
      <c r="G828">
        <v>0.1643</v>
      </c>
      <c r="H828">
        <v>9.8599999999999993E-2</v>
      </c>
      <c r="I828">
        <v>4550.3419999999996</v>
      </c>
      <c r="J828">
        <v>6109.2190000000001</v>
      </c>
    </row>
    <row r="829" spans="1:10">
      <c r="A829">
        <v>11</v>
      </c>
      <c r="B829">
        <v>9</v>
      </c>
      <c r="C829" t="s">
        <v>105</v>
      </c>
      <c r="D829">
        <v>-33.9215738675503</v>
      </c>
      <c r="E829">
        <v>18.837819210059099</v>
      </c>
      <c r="F829">
        <v>6.5750000000000003E-2</v>
      </c>
      <c r="G829">
        <v>0.1643</v>
      </c>
      <c r="H829">
        <v>9.8599999999999993E-2</v>
      </c>
      <c r="I829">
        <v>4767.1980000000003</v>
      </c>
      <c r="J829">
        <v>6326.0749999999998</v>
      </c>
    </row>
    <row r="830" spans="1:10">
      <c r="A830">
        <v>12</v>
      </c>
      <c r="B830">
        <v>9</v>
      </c>
      <c r="C830" t="s">
        <v>105</v>
      </c>
      <c r="D830">
        <v>-33.925327822702798</v>
      </c>
      <c r="E830">
        <v>18.844739787313099</v>
      </c>
      <c r="F830">
        <v>6.5750000000000003E-2</v>
      </c>
      <c r="G830">
        <v>0.1643</v>
      </c>
      <c r="H830">
        <v>9.8599999999999993E-2</v>
      </c>
      <c r="I830">
        <v>4025.1889999999999</v>
      </c>
      <c r="J830">
        <v>5584.0659999999998</v>
      </c>
    </row>
    <row r="831" spans="1:10">
      <c r="A831">
        <v>13</v>
      </c>
      <c r="B831">
        <v>9</v>
      </c>
      <c r="C831" t="s">
        <v>105</v>
      </c>
      <c r="D831">
        <v>-33.925818220063</v>
      </c>
      <c r="E831">
        <v>18.841667352151401</v>
      </c>
      <c r="F831">
        <v>6.5750000000000003E-2</v>
      </c>
      <c r="G831">
        <v>0.1643</v>
      </c>
      <c r="H831">
        <v>9.8599999999999993E-2</v>
      </c>
      <c r="I831">
        <v>4706.6750000000002</v>
      </c>
      <c r="J831">
        <v>6265.5519999999997</v>
      </c>
    </row>
    <row r="832" spans="1:10">
      <c r="A832">
        <v>14</v>
      </c>
      <c r="B832">
        <v>9</v>
      </c>
      <c r="C832" t="s">
        <v>105</v>
      </c>
      <c r="D832">
        <v>-33.925462814405897</v>
      </c>
      <c r="E832">
        <v>18.8438263762628</v>
      </c>
      <c r="F832">
        <v>6.5750000000000003E-2</v>
      </c>
      <c r="G832">
        <v>0.1643</v>
      </c>
      <c r="H832">
        <v>9.8599999999999993E-2</v>
      </c>
      <c r="I832">
        <v>4025.0010000000002</v>
      </c>
      <c r="J832">
        <v>5583.8779999999997</v>
      </c>
    </row>
    <row r="833" spans="1:10">
      <c r="A833">
        <v>15</v>
      </c>
      <c r="B833">
        <v>9</v>
      </c>
      <c r="C833" t="s">
        <v>105</v>
      </c>
      <c r="D833">
        <v>-33.923074816076202</v>
      </c>
      <c r="E833">
        <v>18.844775338007601</v>
      </c>
      <c r="F833">
        <v>6.5750000000000003E-2</v>
      </c>
      <c r="G833">
        <v>0.1643</v>
      </c>
      <c r="H833">
        <v>9.8599999999999993E-2</v>
      </c>
      <c r="I833">
        <v>3913.4169999999999</v>
      </c>
      <c r="J833">
        <v>5472.2929999999997</v>
      </c>
    </row>
    <row r="834" spans="1:10">
      <c r="A834">
        <v>16</v>
      </c>
      <c r="B834">
        <v>9</v>
      </c>
      <c r="C834" t="s">
        <v>105</v>
      </c>
      <c r="D834">
        <v>-33.920584071466401</v>
      </c>
      <c r="E834">
        <v>18.837099437221301</v>
      </c>
      <c r="F834">
        <v>6.5750000000000003E-2</v>
      </c>
      <c r="G834">
        <v>0.1643</v>
      </c>
      <c r="H834">
        <v>9.8599999999999993E-2</v>
      </c>
      <c r="I834">
        <v>4891.3959999999997</v>
      </c>
      <c r="J834">
        <v>6450.2730000000001</v>
      </c>
    </row>
    <row r="835" spans="1:10">
      <c r="A835">
        <v>17</v>
      </c>
      <c r="B835">
        <v>9</v>
      </c>
      <c r="C835" t="s">
        <v>105</v>
      </c>
      <c r="D835">
        <v>-33.926319977771897</v>
      </c>
      <c r="E835">
        <v>18.841486426960799</v>
      </c>
      <c r="F835">
        <v>6.5750000000000003E-2</v>
      </c>
      <c r="G835">
        <v>0.1643</v>
      </c>
      <c r="H835">
        <v>9.8599999999999993E-2</v>
      </c>
      <c r="I835">
        <v>4751.0280000000002</v>
      </c>
      <c r="J835">
        <v>6309.9049999999997</v>
      </c>
    </row>
    <row r="836" spans="1:10">
      <c r="A836">
        <v>18</v>
      </c>
      <c r="B836">
        <v>9</v>
      </c>
      <c r="C836" t="s">
        <v>105</v>
      </c>
      <c r="D836">
        <v>-33.9265316339199</v>
      </c>
      <c r="E836">
        <v>18.836658286073401</v>
      </c>
      <c r="F836">
        <v>6.5750000000000003E-2</v>
      </c>
      <c r="G836">
        <v>0.1643</v>
      </c>
      <c r="H836">
        <v>9.8599999999999993E-2</v>
      </c>
      <c r="I836">
        <v>6057.2120000000004</v>
      </c>
      <c r="J836">
        <v>3568.22</v>
      </c>
    </row>
    <row r="837" spans="1:10">
      <c r="A837">
        <v>19</v>
      </c>
      <c r="B837">
        <v>9</v>
      </c>
      <c r="C837" t="s">
        <v>105</v>
      </c>
      <c r="D837">
        <v>-33.922326449193498</v>
      </c>
      <c r="E837">
        <v>18.8435533067743</v>
      </c>
      <c r="F837">
        <v>6.5750000000000003E-2</v>
      </c>
      <c r="G837">
        <v>0.1643</v>
      </c>
      <c r="H837">
        <v>9.8599999999999993E-2</v>
      </c>
      <c r="I837">
        <v>4637.1490000000003</v>
      </c>
      <c r="J837">
        <v>5898.3209999999999</v>
      </c>
    </row>
    <row r="838" spans="1:10">
      <c r="A838">
        <v>20</v>
      </c>
      <c r="B838">
        <v>9</v>
      </c>
      <c r="C838" t="s">
        <v>105</v>
      </c>
      <c r="D838">
        <v>-33.924796620182001</v>
      </c>
      <c r="E838">
        <v>18.843791575188</v>
      </c>
      <c r="F838">
        <v>6.5750000000000003E-2</v>
      </c>
      <c r="G838">
        <v>0.1643</v>
      </c>
      <c r="H838">
        <v>9.8599999999999993E-2</v>
      </c>
      <c r="I838">
        <v>3968.4279999999999</v>
      </c>
      <c r="J838">
        <v>5527.3050000000003</v>
      </c>
    </row>
    <row r="839" spans="1:10">
      <c r="A839">
        <v>21</v>
      </c>
      <c r="B839">
        <v>9</v>
      </c>
      <c r="C839" t="s">
        <v>105</v>
      </c>
      <c r="D839">
        <v>-33.9241335989867</v>
      </c>
      <c r="E839">
        <v>18.8384117976608</v>
      </c>
      <c r="F839">
        <v>6.5750000000000003E-2</v>
      </c>
      <c r="G839">
        <v>0.1643</v>
      </c>
      <c r="H839">
        <v>9.8599999999999993E-2</v>
      </c>
      <c r="I839">
        <v>4800.01</v>
      </c>
      <c r="J839">
        <v>6358.8869999999997</v>
      </c>
    </row>
    <row r="840" spans="1:10">
      <c r="A840">
        <v>22</v>
      </c>
      <c r="B840">
        <v>9</v>
      </c>
      <c r="C840" t="s">
        <v>105</v>
      </c>
      <c r="D840">
        <v>-33.926763874629401</v>
      </c>
      <c r="E840">
        <v>18.840068954627501</v>
      </c>
      <c r="F840">
        <v>6.5750000000000003E-2</v>
      </c>
      <c r="G840">
        <v>0.1643</v>
      </c>
      <c r="H840">
        <v>9.8599999999999993E-2</v>
      </c>
      <c r="I840">
        <v>4753.134</v>
      </c>
      <c r="J840">
        <v>6312.01</v>
      </c>
    </row>
    <row r="841" spans="1:10">
      <c r="A841">
        <v>23</v>
      </c>
      <c r="B841">
        <v>9</v>
      </c>
      <c r="C841" t="s">
        <v>105</v>
      </c>
      <c r="D841">
        <v>-33.926615091397402</v>
      </c>
      <c r="E841">
        <v>18.842790364139798</v>
      </c>
      <c r="F841">
        <v>6.5750000000000003E-2</v>
      </c>
      <c r="G841">
        <v>0.1643</v>
      </c>
      <c r="H841">
        <v>9.8599999999999993E-2</v>
      </c>
      <c r="I841">
        <v>4205.4830000000002</v>
      </c>
      <c r="J841">
        <v>5764.36</v>
      </c>
    </row>
    <row r="842" spans="1:10">
      <c r="A842">
        <v>24</v>
      </c>
      <c r="B842">
        <v>9</v>
      </c>
      <c r="C842" t="s">
        <v>105</v>
      </c>
      <c r="D842">
        <v>-33.9266197377259</v>
      </c>
      <c r="E842">
        <v>18.841212390418399</v>
      </c>
      <c r="F842">
        <v>6.5750000000000003E-2</v>
      </c>
      <c r="G842">
        <v>0.1643</v>
      </c>
      <c r="H842">
        <v>9.8599999999999993E-2</v>
      </c>
      <c r="I842">
        <v>4791.3440000000001</v>
      </c>
      <c r="J842">
        <v>6350.2209999999995</v>
      </c>
    </row>
    <row r="843" spans="1:10">
      <c r="A843">
        <v>25</v>
      </c>
      <c r="B843">
        <v>9</v>
      </c>
      <c r="C843" t="s">
        <v>105</v>
      </c>
      <c r="D843">
        <v>-33.919924332974198</v>
      </c>
      <c r="E843">
        <v>18.838191257262199</v>
      </c>
      <c r="F843">
        <v>6.5750000000000003E-2</v>
      </c>
      <c r="G843">
        <v>0.1643</v>
      </c>
      <c r="H843">
        <v>9.8599999999999993E-2</v>
      </c>
      <c r="I843">
        <v>4892.3810000000003</v>
      </c>
      <c r="J843">
        <v>6451.2579999999998</v>
      </c>
    </row>
    <row r="844" spans="1:10">
      <c r="A844">
        <v>26</v>
      </c>
      <c r="B844">
        <v>9</v>
      </c>
      <c r="C844" t="s">
        <v>105</v>
      </c>
      <c r="D844">
        <v>-33.924435250256003</v>
      </c>
      <c r="E844">
        <v>18.8413992088519</v>
      </c>
      <c r="F844">
        <v>6.5750000000000003E-2</v>
      </c>
      <c r="G844">
        <v>0.1643</v>
      </c>
      <c r="H844">
        <v>9.8599999999999993E-2</v>
      </c>
      <c r="I844">
        <v>4566.7160000000003</v>
      </c>
      <c r="J844">
        <v>6125.5919999999996</v>
      </c>
    </row>
    <row r="845" spans="1:10">
      <c r="A845">
        <v>27</v>
      </c>
      <c r="B845">
        <v>9</v>
      </c>
      <c r="C845" t="s">
        <v>105</v>
      </c>
      <c r="D845">
        <v>-33.923538012659201</v>
      </c>
      <c r="E845">
        <v>18.839281604064801</v>
      </c>
      <c r="F845">
        <v>6.5750000000000003E-2</v>
      </c>
      <c r="G845">
        <v>0.1643</v>
      </c>
      <c r="H845">
        <v>9.8599999999999993E-2</v>
      </c>
      <c r="I845">
        <v>4803.3620000000001</v>
      </c>
      <c r="J845">
        <v>6362.2389999999996</v>
      </c>
    </row>
    <row r="846" spans="1:10">
      <c r="A846">
        <v>28</v>
      </c>
      <c r="B846">
        <v>9</v>
      </c>
      <c r="C846" t="s">
        <v>105</v>
      </c>
      <c r="D846">
        <v>-33.921755104616103</v>
      </c>
      <c r="E846">
        <v>18.8423614393915</v>
      </c>
      <c r="F846">
        <v>6.5750000000000003E-2</v>
      </c>
      <c r="G846">
        <v>0.1643</v>
      </c>
      <c r="H846">
        <v>9.8599999999999993E-2</v>
      </c>
      <c r="I846">
        <v>4347.4769999999999</v>
      </c>
      <c r="J846">
        <v>5906.3540000000003</v>
      </c>
    </row>
    <row r="847" spans="1:10">
      <c r="A847">
        <v>29</v>
      </c>
      <c r="B847">
        <v>9</v>
      </c>
      <c r="C847" t="s">
        <v>105</v>
      </c>
      <c r="D847">
        <v>-33.922438043246501</v>
      </c>
      <c r="E847">
        <v>18.8417252692348</v>
      </c>
      <c r="F847">
        <v>6.5750000000000003E-2</v>
      </c>
      <c r="G847">
        <v>0.1643</v>
      </c>
      <c r="H847">
        <v>9.8599999999999993E-2</v>
      </c>
      <c r="I847">
        <v>4405.9939999999997</v>
      </c>
      <c r="J847">
        <v>5964.87</v>
      </c>
    </row>
    <row r="848" spans="1:10">
      <c r="A848">
        <v>30</v>
      </c>
      <c r="B848">
        <v>9</v>
      </c>
      <c r="C848" t="s">
        <v>105</v>
      </c>
      <c r="D848">
        <v>-33.924682656318197</v>
      </c>
      <c r="E848">
        <v>18.843828522174402</v>
      </c>
      <c r="F848">
        <v>6.5750000000000003E-2</v>
      </c>
      <c r="G848">
        <v>0.1643</v>
      </c>
      <c r="H848">
        <v>9.8599999999999993E-2</v>
      </c>
      <c r="I848">
        <v>3955.9760000000001</v>
      </c>
      <c r="J848">
        <v>5514.8530000000001</v>
      </c>
    </row>
    <row r="849" spans="1:10">
      <c r="A849">
        <v>31</v>
      </c>
      <c r="B849">
        <v>9</v>
      </c>
      <c r="C849" t="s">
        <v>105</v>
      </c>
      <c r="D849">
        <v>-33.925552219944699</v>
      </c>
      <c r="E849">
        <v>18.842708805120299</v>
      </c>
      <c r="F849">
        <v>6.5750000000000003E-2</v>
      </c>
      <c r="G849">
        <v>0.1643</v>
      </c>
      <c r="H849">
        <v>9.8599999999999993E-2</v>
      </c>
      <c r="I849">
        <v>4136.7129999999997</v>
      </c>
      <c r="J849">
        <v>5695.59</v>
      </c>
    </row>
    <row r="850" spans="1:10">
      <c r="A850">
        <v>32</v>
      </c>
      <c r="B850">
        <v>9</v>
      </c>
      <c r="C850" t="s">
        <v>105</v>
      </c>
      <c r="D850">
        <v>-33.924111306827101</v>
      </c>
      <c r="E850">
        <v>18.842992956195001</v>
      </c>
      <c r="F850">
        <v>6.5750000000000003E-2</v>
      </c>
      <c r="G850">
        <v>0.1643</v>
      </c>
      <c r="H850">
        <v>9.8599999999999993E-2</v>
      </c>
      <c r="I850">
        <v>4090.931</v>
      </c>
      <c r="J850">
        <v>5649.8069999999998</v>
      </c>
    </row>
    <row r="851" spans="1:10">
      <c r="A851">
        <v>33</v>
      </c>
      <c r="B851">
        <v>9</v>
      </c>
      <c r="C851" t="s">
        <v>105</v>
      </c>
      <c r="D851">
        <v>-33.921073906087599</v>
      </c>
      <c r="E851">
        <v>18.836267311950898</v>
      </c>
      <c r="F851">
        <v>6.5750000000000003E-2</v>
      </c>
      <c r="G851">
        <v>0.1643</v>
      </c>
      <c r="H851">
        <v>9.8599999999999993E-2</v>
      </c>
      <c r="I851">
        <v>5079.8890000000001</v>
      </c>
      <c r="J851">
        <v>6638.7659999999996</v>
      </c>
    </row>
    <row r="852" spans="1:10">
      <c r="A852">
        <v>34</v>
      </c>
      <c r="B852">
        <v>9</v>
      </c>
      <c r="C852" t="s">
        <v>105</v>
      </c>
      <c r="D852">
        <v>-33.923732571064498</v>
      </c>
      <c r="E852">
        <v>18.839560953164</v>
      </c>
      <c r="F852">
        <v>6.5750000000000003E-2</v>
      </c>
      <c r="G852">
        <v>0.1643</v>
      </c>
      <c r="H852">
        <v>9.8599999999999993E-2</v>
      </c>
      <c r="I852">
        <v>4770.4849999999997</v>
      </c>
      <c r="J852">
        <v>6329.3620000000001</v>
      </c>
    </row>
    <row r="853" spans="1:10">
      <c r="A853">
        <v>35</v>
      </c>
      <c r="B853">
        <v>9</v>
      </c>
      <c r="C853" t="s">
        <v>105</v>
      </c>
      <c r="D853">
        <v>-33.921061061199303</v>
      </c>
      <c r="E853">
        <v>18.8388685291083</v>
      </c>
      <c r="F853">
        <v>6.5750000000000003E-2</v>
      </c>
      <c r="G853">
        <v>0.1643</v>
      </c>
      <c r="H853">
        <v>9.8599999999999993E-2</v>
      </c>
      <c r="I853">
        <v>4775.88</v>
      </c>
      <c r="J853">
        <v>6334.7569999999996</v>
      </c>
    </row>
    <row r="854" spans="1:10">
      <c r="A854">
        <v>36</v>
      </c>
      <c r="B854">
        <v>9</v>
      </c>
      <c r="C854" t="s">
        <v>105</v>
      </c>
      <c r="D854">
        <v>-33.926071143000001</v>
      </c>
      <c r="E854">
        <v>18.836282670680301</v>
      </c>
      <c r="F854">
        <v>6.5750000000000003E-2</v>
      </c>
      <c r="G854">
        <v>0.1643</v>
      </c>
      <c r="H854">
        <v>9.8599999999999993E-2</v>
      </c>
      <c r="I854">
        <v>6070.2039999999997</v>
      </c>
      <c r="J854">
        <v>3581.212</v>
      </c>
    </row>
    <row r="855" spans="1:10">
      <c r="A855">
        <v>37</v>
      </c>
      <c r="B855">
        <v>9</v>
      </c>
      <c r="C855" t="s">
        <v>105</v>
      </c>
      <c r="D855">
        <v>-33.921414920571998</v>
      </c>
      <c r="E855">
        <v>18.8429159779214</v>
      </c>
      <c r="F855">
        <v>6.5750000000000003E-2</v>
      </c>
      <c r="G855">
        <v>0.1643</v>
      </c>
      <c r="H855">
        <v>9.8599999999999993E-2</v>
      </c>
      <c r="I855">
        <v>4703.9780000000001</v>
      </c>
      <c r="J855">
        <v>5955.3419999999996</v>
      </c>
    </row>
    <row r="856" spans="1:10">
      <c r="A856">
        <v>38</v>
      </c>
      <c r="B856">
        <v>9</v>
      </c>
      <c r="C856" t="s">
        <v>105</v>
      </c>
      <c r="D856">
        <v>-33.919457268710502</v>
      </c>
      <c r="E856">
        <v>18.844859093483901</v>
      </c>
      <c r="F856">
        <v>6.5750000000000003E-2</v>
      </c>
      <c r="G856">
        <v>0.1643</v>
      </c>
      <c r="H856">
        <v>9.8599999999999993E-2</v>
      </c>
      <c r="I856">
        <v>4418.7169999999996</v>
      </c>
      <c r="J856">
        <v>6336.2579999999998</v>
      </c>
    </row>
    <row r="857" spans="1:10">
      <c r="A857">
        <v>39</v>
      </c>
      <c r="B857">
        <v>9</v>
      </c>
      <c r="C857" t="s">
        <v>105</v>
      </c>
      <c r="D857">
        <v>-33.926078642330097</v>
      </c>
      <c r="E857">
        <v>18.838084474637899</v>
      </c>
      <c r="F857">
        <v>6.5750000000000003E-2</v>
      </c>
      <c r="G857">
        <v>0.1643</v>
      </c>
      <c r="H857">
        <v>9.8599999999999993E-2</v>
      </c>
      <c r="I857">
        <v>4811.692</v>
      </c>
      <c r="J857">
        <v>6370.5690000000004</v>
      </c>
    </row>
    <row r="858" spans="1:10">
      <c r="A858">
        <v>40</v>
      </c>
      <c r="B858">
        <v>9</v>
      </c>
      <c r="C858" t="s">
        <v>105</v>
      </c>
      <c r="D858">
        <v>-33.922706744281498</v>
      </c>
      <c r="E858">
        <v>18.8382251337122</v>
      </c>
      <c r="F858">
        <v>6.5750000000000003E-2</v>
      </c>
      <c r="G858">
        <v>0.1643</v>
      </c>
      <c r="H858">
        <v>9.8599999999999993E-2</v>
      </c>
      <c r="I858">
        <v>4832.9679999999998</v>
      </c>
      <c r="J858">
        <v>6391.8450000000003</v>
      </c>
    </row>
    <row r="859" spans="1:10">
      <c r="A859">
        <v>41</v>
      </c>
      <c r="B859">
        <v>9</v>
      </c>
      <c r="C859" t="s">
        <v>105</v>
      </c>
      <c r="D859">
        <v>-33.920956231551799</v>
      </c>
      <c r="E859">
        <v>18.8381538349091</v>
      </c>
      <c r="F859">
        <v>6.5750000000000003E-2</v>
      </c>
      <c r="G859">
        <v>0.1643</v>
      </c>
      <c r="H859">
        <v>9.8599999999999993E-2</v>
      </c>
      <c r="I859">
        <v>4826.9160000000002</v>
      </c>
      <c r="J859">
        <v>6385.7929999999997</v>
      </c>
    </row>
    <row r="860" spans="1:10">
      <c r="A860">
        <v>42</v>
      </c>
      <c r="B860">
        <v>9</v>
      </c>
      <c r="C860" t="s">
        <v>105</v>
      </c>
      <c r="D860">
        <v>-33.920538845510997</v>
      </c>
      <c r="E860">
        <v>18.841351021114502</v>
      </c>
      <c r="F860">
        <v>6.5750000000000003E-2</v>
      </c>
      <c r="G860">
        <v>0.1643</v>
      </c>
      <c r="H860">
        <v>9.8599999999999993E-2</v>
      </c>
      <c r="I860">
        <v>4928.4049999999997</v>
      </c>
      <c r="J860">
        <v>6156.482</v>
      </c>
    </row>
    <row r="861" spans="1:10">
      <c r="A861">
        <v>43</v>
      </c>
      <c r="B861">
        <v>9</v>
      </c>
      <c r="C861" t="s">
        <v>105</v>
      </c>
      <c r="D861">
        <v>-33.9265920555926</v>
      </c>
      <c r="E861">
        <v>18.844339091155899</v>
      </c>
      <c r="F861">
        <v>6.5750000000000003E-2</v>
      </c>
      <c r="G861">
        <v>0.1643</v>
      </c>
      <c r="H861">
        <v>9.8599999999999993E-2</v>
      </c>
      <c r="I861">
        <v>4032.4749999999999</v>
      </c>
      <c r="J861">
        <v>5591.3509999999997</v>
      </c>
    </row>
    <row r="862" spans="1:10">
      <c r="A862">
        <v>44</v>
      </c>
      <c r="B862">
        <v>9</v>
      </c>
      <c r="C862" t="s">
        <v>105</v>
      </c>
      <c r="D862">
        <v>-33.924702506614501</v>
      </c>
      <c r="E862">
        <v>18.8393065511648</v>
      </c>
      <c r="F862">
        <v>6.5750000000000003E-2</v>
      </c>
      <c r="G862">
        <v>0.1643</v>
      </c>
      <c r="H862">
        <v>9.8599999999999993E-2</v>
      </c>
      <c r="I862">
        <v>4699.817</v>
      </c>
      <c r="J862">
        <v>6258.6940000000004</v>
      </c>
    </row>
    <row r="863" spans="1:10">
      <c r="A863">
        <v>45</v>
      </c>
      <c r="B863">
        <v>9</v>
      </c>
      <c r="C863" t="s">
        <v>105</v>
      </c>
      <c r="D863">
        <v>-33.924031264135998</v>
      </c>
      <c r="E863">
        <v>18.8383580410385</v>
      </c>
      <c r="F863">
        <v>6.5750000000000003E-2</v>
      </c>
      <c r="G863">
        <v>0.1643</v>
      </c>
      <c r="H863">
        <v>9.8599999999999993E-2</v>
      </c>
      <c r="I863">
        <v>4812.0479999999998</v>
      </c>
      <c r="J863">
        <v>6370.924</v>
      </c>
    </row>
    <row r="864" spans="1:10">
      <c r="A864">
        <v>46</v>
      </c>
      <c r="B864">
        <v>9</v>
      </c>
      <c r="C864" t="s">
        <v>105</v>
      </c>
      <c r="D864">
        <v>-33.926521057899699</v>
      </c>
      <c r="E864">
        <v>18.8414152642139</v>
      </c>
      <c r="F864">
        <v>6.5750000000000003E-2</v>
      </c>
      <c r="G864">
        <v>0.1643</v>
      </c>
      <c r="H864">
        <v>9.8599999999999993E-2</v>
      </c>
      <c r="I864">
        <v>4774.2309999999998</v>
      </c>
      <c r="J864">
        <v>6333.1080000000002</v>
      </c>
    </row>
    <row r="865" spans="1:10">
      <c r="A865">
        <v>47</v>
      </c>
      <c r="B865">
        <v>9</v>
      </c>
      <c r="C865" t="s">
        <v>105</v>
      </c>
      <c r="D865">
        <v>-33.921501421682699</v>
      </c>
      <c r="E865">
        <v>18.838469448862099</v>
      </c>
      <c r="F865">
        <v>6.5750000000000003E-2</v>
      </c>
      <c r="G865">
        <v>0.1643</v>
      </c>
      <c r="H865">
        <v>9.8599999999999993E-2</v>
      </c>
      <c r="I865">
        <v>4752.4319999999998</v>
      </c>
      <c r="J865">
        <v>6311.308</v>
      </c>
    </row>
    <row r="866" spans="1:10">
      <c r="A866">
        <v>48</v>
      </c>
      <c r="B866">
        <v>9</v>
      </c>
      <c r="C866" t="s">
        <v>105</v>
      </c>
      <c r="D866">
        <v>-33.924345835066603</v>
      </c>
      <c r="E866">
        <v>18.838028124615001</v>
      </c>
      <c r="F866">
        <v>6.5750000000000003E-2</v>
      </c>
      <c r="G866">
        <v>0.1643</v>
      </c>
      <c r="H866">
        <v>9.8599999999999993E-2</v>
      </c>
      <c r="I866">
        <v>4896.6329999999998</v>
      </c>
      <c r="J866">
        <v>6455.51</v>
      </c>
    </row>
    <row r="867" spans="1:10">
      <c r="A867">
        <v>49</v>
      </c>
      <c r="B867">
        <v>9</v>
      </c>
      <c r="C867" t="s">
        <v>105</v>
      </c>
      <c r="D867">
        <v>-33.920695672554402</v>
      </c>
      <c r="E867">
        <v>18.8405777200621</v>
      </c>
      <c r="F867">
        <v>6.5750000000000003E-2</v>
      </c>
      <c r="G867">
        <v>0.1643</v>
      </c>
      <c r="H867">
        <v>9.8599999999999993E-2</v>
      </c>
      <c r="I867">
        <v>4987.5479999999998</v>
      </c>
      <c r="J867">
        <v>6204.4750000000004</v>
      </c>
    </row>
    <row r="868" spans="1:10">
      <c r="A868">
        <v>50</v>
      </c>
      <c r="B868">
        <v>9</v>
      </c>
      <c r="C868" t="s">
        <v>105</v>
      </c>
      <c r="D868">
        <v>-33.922308973582702</v>
      </c>
      <c r="E868">
        <v>18.842058770248599</v>
      </c>
      <c r="F868">
        <v>6.5750000000000003E-2</v>
      </c>
      <c r="G868">
        <v>0.1643</v>
      </c>
      <c r="H868">
        <v>9.8599999999999993E-2</v>
      </c>
      <c r="I868">
        <v>4358.6989999999996</v>
      </c>
      <c r="J868">
        <v>5917.576</v>
      </c>
    </row>
    <row r="869" spans="1:10">
      <c r="A869">
        <v>51</v>
      </c>
      <c r="B869">
        <v>9</v>
      </c>
      <c r="C869" t="s">
        <v>105</v>
      </c>
      <c r="D869">
        <v>-33.9196177431146</v>
      </c>
      <c r="E869">
        <v>18.8421023678853</v>
      </c>
      <c r="F869">
        <v>6.5750000000000003E-2</v>
      </c>
      <c r="G869">
        <v>0.1643</v>
      </c>
      <c r="H869">
        <v>9.8599999999999993E-2</v>
      </c>
      <c r="I869">
        <v>4832.83</v>
      </c>
      <c r="J869">
        <v>6750.37</v>
      </c>
    </row>
    <row r="870" spans="1:10">
      <c r="A870">
        <v>52</v>
      </c>
      <c r="B870">
        <v>9</v>
      </c>
      <c r="C870" t="s">
        <v>105</v>
      </c>
      <c r="D870">
        <v>-33.921505700729497</v>
      </c>
      <c r="E870">
        <v>18.836264901710098</v>
      </c>
      <c r="F870">
        <v>6.5750000000000003E-2</v>
      </c>
      <c r="G870">
        <v>0.1643</v>
      </c>
      <c r="H870">
        <v>9.8599999999999993E-2</v>
      </c>
      <c r="I870">
        <v>5125.277</v>
      </c>
      <c r="J870">
        <v>6684.1540000000005</v>
      </c>
    </row>
    <row r="871" spans="1:10">
      <c r="A871">
        <v>53</v>
      </c>
      <c r="B871">
        <v>9</v>
      </c>
      <c r="C871" t="s">
        <v>105</v>
      </c>
      <c r="D871">
        <v>-33.920649099687701</v>
      </c>
      <c r="E871">
        <v>18.837383094066301</v>
      </c>
      <c r="F871">
        <v>6.5750000000000003E-2</v>
      </c>
      <c r="G871">
        <v>0.1643</v>
      </c>
      <c r="H871">
        <v>9.8599999999999993E-2</v>
      </c>
      <c r="I871">
        <v>4874.9579999999996</v>
      </c>
      <c r="J871">
        <v>6433.835</v>
      </c>
    </row>
    <row r="872" spans="1:10">
      <c r="A872">
        <v>54</v>
      </c>
      <c r="B872">
        <v>9</v>
      </c>
      <c r="C872" t="s">
        <v>105</v>
      </c>
      <c r="D872">
        <v>-33.922756435171998</v>
      </c>
      <c r="E872">
        <v>18.8406428847013</v>
      </c>
      <c r="F872">
        <v>6.5750000000000003E-2</v>
      </c>
      <c r="G872">
        <v>0.1643</v>
      </c>
      <c r="H872">
        <v>9.8599999999999993E-2</v>
      </c>
      <c r="I872">
        <v>4570.2330000000002</v>
      </c>
      <c r="J872">
        <v>6129.11</v>
      </c>
    </row>
    <row r="873" spans="1:10">
      <c r="A873">
        <v>55</v>
      </c>
      <c r="B873">
        <v>9</v>
      </c>
      <c r="C873" t="s">
        <v>105</v>
      </c>
      <c r="D873">
        <v>-33.926358570951102</v>
      </c>
      <c r="E873">
        <v>18.844523803609</v>
      </c>
      <c r="F873">
        <v>6.5750000000000003E-2</v>
      </c>
      <c r="G873">
        <v>0.1643</v>
      </c>
      <c r="H873">
        <v>9.8599999999999993E-2</v>
      </c>
      <c r="I873">
        <v>4027.1219999999998</v>
      </c>
      <c r="J873">
        <v>5585.9989999999998</v>
      </c>
    </row>
    <row r="874" spans="1:10">
      <c r="A874">
        <v>56</v>
      </c>
      <c r="B874">
        <v>9</v>
      </c>
      <c r="C874" t="s">
        <v>105</v>
      </c>
      <c r="D874">
        <v>-33.9264390110717</v>
      </c>
      <c r="E874">
        <v>18.836465131774698</v>
      </c>
      <c r="F874">
        <v>6.5750000000000003E-2</v>
      </c>
      <c r="G874">
        <v>0.1643</v>
      </c>
      <c r="H874">
        <v>9.8599999999999993E-2</v>
      </c>
      <c r="I874">
        <v>6076.7110000000002</v>
      </c>
      <c r="J874">
        <v>3587.7190000000001</v>
      </c>
    </row>
    <row r="875" spans="1:10">
      <c r="A875">
        <v>57</v>
      </c>
      <c r="B875">
        <v>9</v>
      </c>
      <c r="C875" t="s">
        <v>105</v>
      </c>
      <c r="D875">
        <v>-33.919434749801503</v>
      </c>
      <c r="E875">
        <v>18.8391113727575</v>
      </c>
      <c r="F875">
        <v>6.5750000000000003E-2</v>
      </c>
      <c r="G875">
        <v>0.1643</v>
      </c>
      <c r="H875">
        <v>9.8599999999999993E-2</v>
      </c>
      <c r="I875">
        <v>5113.0020000000004</v>
      </c>
      <c r="J875">
        <v>6469.9470000000001</v>
      </c>
    </row>
    <row r="876" spans="1:10">
      <c r="A876">
        <v>58</v>
      </c>
      <c r="B876">
        <v>9</v>
      </c>
      <c r="C876" t="s">
        <v>105</v>
      </c>
      <c r="D876">
        <v>-33.920821335119598</v>
      </c>
      <c r="E876">
        <v>18.836892337037298</v>
      </c>
      <c r="F876">
        <v>6.5750000000000003E-2</v>
      </c>
      <c r="G876">
        <v>0.1643</v>
      </c>
      <c r="H876">
        <v>9.8599999999999993E-2</v>
      </c>
      <c r="I876">
        <v>4887.7579999999998</v>
      </c>
      <c r="J876">
        <v>6446.6350000000002</v>
      </c>
    </row>
    <row r="877" spans="1:10">
      <c r="A877">
        <v>59</v>
      </c>
      <c r="B877">
        <v>9</v>
      </c>
      <c r="C877" t="s">
        <v>105</v>
      </c>
      <c r="D877">
        <v>-33.924101484353002</v>
      </c>
      <c r="E877">
        <v>18.836957491788699</v>
      </c>
      <c r="F877">
        <v>6.5750000000000003E-2</v>
      </c>
      <c r="G877">
        <v>0.1643</v>
      </c>
      <c r="H877">
        <v>9.8599999999999993E-2</v>
      </c>
      <c r="I877">
        <v>4987.0600000000004</v>
      </c>
      <c r="J877">
        <v>6545.9369999999999</v>
      </c>
    </row>
    <row r="878" spans="1:10">
      <c r="A878">
        <v>60</v>
      </c>
      <c r="B878">
        <v>9</v>
      </c>
      <c r="C878" t="s">
        <v>105</v>
      </c>
      <c r="D878">
        <v>-33.919624791445599</v>
      </c>
      <c r="E878">
        <v>18.836245131887299</v>
      </c>
      <c r="F878">
        <v>6.5750000000000003E-2</v>
      </c>
      <c r="G878">
        <v>0.1643</v>
      </c>
      <c r="H878">
        <v>9.8599999999999993E-2</v>
      </c>
      <c r="I878">
        <v>5400.2110000000002</v>
      </c>
      <c r="J878">
        <v>6631.4589999999998</v>
      </c>
    </row>
    <row r="879" spans="1:10">
      <c r="A879">
        <v>61</v>
      </c>
      <c r="B879">
        <v>9</v>
      </c>
      <c r="C879" t="s">
        <v>105</v>
      </c>
      <c r="D879">
        <v>-33.919676774189902</v>
      </c>
      <c r="E879">
        <v>18.836834402307701</v>
      </c>
      <c r="F879">
        <v>6.5750000000000003E-2</v>
      </c>
      <c r="G879">
        <v>0.1643</v>
      </c>
      <c r="H879">
        <v>9.8599999999999993E-2</v>
      </c>
      <c r="I879">
        <v>5008.8720000000003</v>
      </c>
      <c r="J879">
        <v>6567.7489999999998</v>
      </c>
    </row>
    <row r="880" spans="1:10">
      <c r="A880">
        <v>62</v>
      </c>
      <c r="B880">
        <v>9</v>
      </c>
      <c r="C880" t="s">
        <v>105</v>
      </c>
      <c r="D880">
        <v>-33.925408705316499</v>
      </c>
      <c r="E880">
        <v>18.8434122339944</v>
      </c>
      <c r="F880">
        <v>6.5750000000000003E-2</v>
      </c>
      <c r="G880">
        <v>0.1643</v>
      </c>
      <c r="H880">
        <v>9.8599999999999993E-2</v>
      </c>
      <c r="I880">
        <v>4034.8359999999998</v>
      </c>
      <c r="J880">
        <v>5593.7129999999997</v>
      </c>
    </row>
    <row r="881" spans="1:10">
      <c r="A881">
        <v>63</v>
      </c>
      <c r="B881">
        <v>9</v>
      </c>
      <c r="C881" t="s">
        <v>105</v>
      </c>
      <c r="D881">
        <v>-33.921435381120702</v>
      </c>
      <c r="E881">
        <v>18.843127849817598</v>
      </c>
      <c r="F881">
        <v>6.5750000000000003E-2</v>
      </c>
      <c r="G881">
        <v>0.1643</v>
      </c>
      <c r="H881">
        <v>9.8599999999999993E-2</v>
      </c>
      <c r="I881">
        <v>4671.4399999999996</v>
      </c>
      <c r="J881">
        <v>5958.1819999999998</v>
      </c>
    </row>
    <row r="882" spans="1:10">
      <c r="A882">
        <v>64</v>
      </c>
      <c r="B882">
        <v>9</v>
      </c>
      <c r="C882" t="s">
        <v>105</v>
      </c>
      <c r="D882">
        <v>-33.923066180049197</v>
      </c>
      <c r="E882">
        <v>18.842604658461301</v>
      </c>
      <c r="F882">
        <v>6.5750000000000003E-2</v>
      </c>
      <c r="G882">
        <v>0.1643</v>
      </c>
      <c r="H882">
        <v>9.8599999999999993E-2</v>
      </c>
      <c r="I882">
        <v>4341.4040000000005</v>
      </c>
      <c r="J882">
        <v>5900.2809999999999</v>
      </c>
    </row>
    <row r="883" spans="1:10">
      <c r="A883">
        <v>65</v>
      </c>
      <c r="B883">
        <v>9</v>
      </c>
      <c r="C883" t="s">
        <v>105</v>
      </c>
      <c r="D883">
        <v>-33.924195468724001</v>
      </c>
      <c r="E883">
        <v>18.843843070912101</v>
      </c>
      <c r="F883">
        <v>6.5750000000000003E-2</v>
      </c>
      <c r="G883">
        <v>0.1643</v>
      </c>
      <c r="H883">
        <v>9.8599999999999993E-2</v>
      </c>
      <c r="I883">
        <v>4013.8519999999999</v>
      </c>
      <c r="J883">
        <v>5572.7290000000003</v>
      </c>
    </row>
    <row r="884" spans="1:10">
      <c r="A884">
        <v>66</v>
      </c>
      <c r="B884">
        <v>9</v>
      </c>
      <c r="C884" t="s">
        <v>105</v>
      </c>
      <c r="D884">
        <v>-33.926541617047903</v>
      </c>
      <c r="E884">
        <v>18.8380380614567</v>
      </c>
      <c r="F884">
        <v>6.5750000000000003E-2</v>
      </c>
      <c r="G884">
        <v>0.1643</v>
      </c>
      <c r="H884">
        <v>9.8599999999999993E-2</v>
      </c>
      <c r="I884">
        <v>5972.3630000000003</v>
      </c>
      <c r="J884">
        <v>3483.3710000000001</v>
      </c>
    </row>
    <row r="885" spans="1:10">
      <c r="A885">
        <v>67</v>
      </c>
      <c r="B885">
        <v>9</v>
      </c>
      <c r="C885" t="s">
        <v>105</v>
      </c>
      <c r="D885">
        <v>-33.924789582590002</v>
      </c>
      <c r="E885">
        <v>18.8438721365928</v>
      </c>
      <c r="F885">
        <v>6.5750000000000003E-2</v>
      </c>
      <c r="G885">
        <v>0.1643</v>
      </c>
      <c r="H885">
        <v>9.8599999999999993E-2</v>
      </c>
      <c r="I885">
        <v>3963.6790000000001</v>
      </c>
      <c r="J885">
        <v>5522.5559999999996</v>
      </c>
    </row>
    <row r="886" spans="1:10">
      <c r="A886">
        <v>68</v>
      </c>
      <c r="B886">
        <v>9</v>
      </c>
      <c r="C886" t="s">
        <v>105</v>
      </c>
      <c r="D886">
        <v>-33.925660234512499</v>
      </c>
      <c r="E886">
        <v>18.839087788235499</v>
      </c>
      <c r="F886">
        <v>6.5750000000000003E-2</v>
      </c>
      <c r="G886">
        <v>0.1643</v>
      </c>
      <c r="H886">
        <v>9.8599999999999993E-2</v>
      </c>
      <c r="I886">
        <v>4805.5450000000001</v>
      </c>
      <c r="J886">
        <v>6364.4219999999996</v>
      </c>
    </row>
    <row r="887" spans="1:10">
      <c r="A887">
        <v>69</v>
      </c>
      <c r="B887">
        <v>9</v>
      </c>
      <c r="C887" t="s">
        <v>105</v>
      </c>
      <c r="D887">
        <v>-33.920800284073501</v>
      </c>
      <c r="E887">
        <v>18.842293471919699</v>
      </c>
      <c r="F887">
        <v>6.5750000000000003E-2</v>
      </c>
      <c r="G887">
        <v>0.1643</v>
      </c>
      <c r="H887">
        <v>9.8599999999999993E-2</v>
      </c>
      <c r="I887">
        <v>4861.4629999999997</v>
      </c>
      <c r="J887">
        <v>6072.8969999999999</v>
      </c>
    </row>
    <row r="888" spans="1:10">
      <c r="A888">
        <v>70</v>
      </c>
      <c r="B888">
        <v>9</v>
      </c>
      <c r="C888" t="s">
        <v>105</v>
      </c>
      <c r="D888">
        <v>-33.926459894668902</v>
      </c>
      <c r="E888">
        <v>18.840263693520299</v>
      </c>
      <c r="F888">
        <v>6.5750000000000003E-2</v>
      </c>
      <c r="G888">
        <v>0.1643</v>
      </c>
      <c r="H888">
        <v>9.8599999999999993E-2</v>
      </c>
      <c r="I888">
        <v>4791.1819999999998</v>
      </c>
      <c r="J888">
        <v>6350.0590000000002</v>
      </c>
    </row>
    <row r="889" spans="1:10">
      <c r="A889">
        <v>71</v>
      </c>
      <c r="B889">
        <v>9</v>
      </c>
      <c r="C889" t="s">
        <v>105</v>
      </c>
      <c r="D889">
        <v>-33.923520749519</v>
      </c>
      <c r="E889">
        <v>18.840276870383999</v>
      </c>
      <c r="F889">
        <v>6.5750000000000003E-2</v>
      </c>
      <c r="G889">
        <v>0.1643</v>
      </c>
      <c r="H889">
        <v>9.8599999999999993E-2</v>
      </c>
      <c r="I889">
        <v>4568.9960000000001</v>
      </c>
      <c r="J889">
        <v>6127.8729999999996</v>
      </c>
    </row>
    <row r="890" spans="1:10">
      <c r="A890">
        <v>72</v>
      </c>
      <c r="B890">
        <v>9</v>
      </c>
      <c r="C890" t="s">
        <v>105</v>
      </c>
      <c r="D890">
        <v>-33.920035552765903</v>
      </c>
      <c r="E890">
        <v>18.843684306490601</v>
      </c>
      <c r="F890">
        <v>6.5750000000000003E-2</v>
      </c>
      <c r="G890">
        <v>0.1643</v>
      </c>
      <c r="H890">
        <v>9.8599999999999993E-2</v>
      </c>
      <c r="I890">
        <v>4573.16</v>
      </c>
      <c r="J890">
        <v>6490.701</v>
      </c>
    </row>
    <row r="891" spans="1:10">
      <c r="A891">
        <v>73</v>
      </c>
      <c r="B891">
        <v>9</v>
      </c>
      <c r="C891" t="s">
        <v>105</v>
      </c>
      <c r="D891">
        <v>-33.9260806484249</v>
      </c>
      <c r="E891">
        <v>18.843929826324899</v>
      </c>
      <c r="F891">
        <v>6.5750000000000003E-2</v>
      </c>
      <c r="G891">
        <v>0.1643</v>
      </c>
      <c r="H891">
        <v>9.8599999999999993E-2</v>
      </c>
      <c r="I891">
        <v>4093.922</v>
      </c>
      <c r="J891">
        <v>5652.799</v>
      </c>
    </row>
    <row r="892" spans="1:10">
      <c r="A892">
        <v>74</v>
      </c>
      <c r="B892">
        <v>9</v>
      </c>
      <c r="C892" t="s">
        <v>105</v>
      </c>
      <c r="D892">
        <v>-33.921806641761997</v>
      </c>
      <c r="E892">
        <v>18.840602409744299</v>
      </c>
      <c r="F892">
        <v>6.5750000000000003E-2</v>
      </c>
      <c r="G892">
        <v>0.1643</v>
      </c>
      <c r="H892">
        <v>9.8599999999999993E-2</v>
      </c>
      <c r="I892">
        <v>4513.9750000000004</v>
      </c>
      <c r="J892">
        <v>6072.8519999999999</v>
      </c>
    </row>
    <row r="893" spans="1:10">
      <c r="A893">
        <v>75</v>
      </c>
      <c r="B893">
        <v>9</v>
      </c>
      <c r="C893" t="s">
        <v>105</v>
      </c>
      <c r="D893">
        <v>-33.924097611503598</v>
      </c>
      <c r="E893">
        <v>18.837533503580101</v>
      </c>
      <c r="F893">
        <v>6.5750000000000003E-2</v>
      </c>
      <c r="G893">
        <v>0.1643</v>
      </c>
      <c r="H893">
        <v>9.8599999999999993E-2</v>
      </c>
      <c r="I893">
        <v>4945.3230000000003</v>
      </c>
      <c r="J893">
        <v>6504.2</v>
      </c>
    </row>
    <row r="894" spans="1:10">
      <c r="A894">
        <v>76</v>
      </c>
      <c r="B894">
        <v>9</v>
      </c>
      <c r="C894" t="s">
        <v>105</v>
      </c>
      <c r="D894">
        <v>-33.920177703409003</v>
      </c>
      <c r="E894">
        <v>18.8396666030871</v>
      </c>
      <c r="F894">
        <v>6.5750000000000003E-2</v>
      </c>
      <c r="G894">
        <v>0.1643</v>
      </c>
      <c r="H894">
        <v>9.8599999999999993E-2</v>
      </c>
      <c r="I894">
        <v>4731.8109999999997</v>
      </c>
      <c r="J894">
        <v>6290.6880000000001</v>
      </c>
    </row>
    <row r="895" spans="1:10">
      <c r="A895">
        <v>77</v>
      </c>
      <c r="B895">
        <v>9</v>
      </c>
      <c r="C895" t="s">
        <v>105</v>
      </c>
      <c r="D895">
        <v>-33.925834602871198</v>
      </c>
      <c r="E895">
        <v>18.838189161110002</v>
      </c>
      <c r="F895">
        <v>6.5750000000000003E-2</v>
      </c>
      <c r="G895">
        <v>0.1643</v>
      </c>
      <c r="H895">
        <v>9.8599999999999993E-2</v>
      </c>
      <c r="I895">
        <v>4787.8789999999999</v>
      </c>
      <c r="J895">
        <v>6346.7550000000001</v>
      </c>
    </row>
    <row r="896" spans="1:10">
      <c r="A896">
        <v>78</v>
      </c>
      <c r="B896">
        <v>9</v>
      </c>
      <c r="C896" t="s">
        <v>105</v>
      </c>
      <c r="D896">
        <v>-33.9200625791253</v>
      </c>
      <c r="E896">
        <v>18.8362459207863</v>
      </c>
      <c r="F896">
        <v>6.5750000000000003E-2</v>
      </c>
      <c r="G896">
        <v>0.1643</v>
      </c>
      <c r="H896">
        <v>9.8599999999999993E-2</v>
      </c>
      <c r="I896">
        <v>5043.3549999999996</v>
      </c>
      <c r="J896">
        <v>6602.232</v>
      </c>
    </row>
    <row r="897" spans="1:10">
      <c r="A897">
        <v>79</v>
      </c>
      <c r="B897">
        <v>9</v>
      </c>
      <c r="C897" t="s">
        <v>105</v>
      </c>
      <c r="D897">
        <v>-33.9264635078559</v>
      </c>
      <c r="E897">
        <v>18.842858356366701</v>
      </c>
      <c r="F897">
        <v>6.5750000000000003E-2</v>
      </c>
      <c r="G897">
        <v>0.1643</v>
      </c>
      <c r="H897">
        <v>9.8599999999999993E-2</v>
      </c>
      <c r="I897">
        <v>4178.0159999999996</v>
      </c>
      <c r="J897">
        <v>5736.893</v>
      </c>
    </row>
    <row r="898" spans="1:10">
      <c r="A898">
        <v>80</v>
      </c>
      <c r="B898">
        <v>9</v>
      </c>
      <c r="C898" t="s">
        <v>105</v>
      </c>
      <c r="D898">
        <v>-33.924202472130901</v>
      </c>
      <c r="E898">
        <v>18.841617075992499</v>
      </c>
      <c r="F898">
        <v>6.5750000000000003E-2</v>
      </c>
      <c r="G898">
        <v>0.1643</v>
      </c>
      <c r="H898">
        <v>9.8599999999999993E-2</v>
      </c>
      <c r="I898">
        <v>4580.3860000000004</v>
      </c>
      <c r="J898">
        <v>6139.2629999999999</v>
      </c>
    </row>
    <row r="899" spans="1:10">
      <c r="A899">
        <v>81</v>
      </c>
      <c r="B899">
        <v>9</v>
      </c>
      <c r="C899" t="s">
        <v>105</v>
      </c>
      <c r="D899">
        <v>-33.922015249181001</v>
      </c>
      <c r="E899">
        <v>18.836602746684701</v>
      </c>
      <c r="F899">
        <v>6.5750000000000003E-2</v>
      </c>
      <c r="G899">
        <v>0.1643</v>
      </c>
      <c r="H899">
        <v>9.8599999999999993E-2</v>
      </c>
      <c r="I899">
        <v>5056.8999999999996</v>
      </c>
      <c r="J899">
        <v>6615.777</v>
      </c>
    </row>
    <row r="900" spans="1:10">
      <c r="A900">
        <v>82</v>
      </c>
      <c r="B900">
        <v>9</v>
      </c>
      <c r="C900" t="s">
        <v>105</v>
      </c>
      <c r="D900">
        <v>-33.922908195714903</v>
      </c>
      <c r="E900">
        <v>18.844116399441599</v>
      </c>
      <c r="F900">
        <v>6.5750000000000003E-2</v>
      </c>
      <c r="G900">
        <v>0.1643</v>
      </c>
      <c r="H900">
        <v>9.8599999999999993E-2</v>
      </c>
      <c r="I900">
        <v>4072.0929999999998</v>
      </c>
      <c r="J900">
        <v>5630.9690000000001</v>
      </c>
    </row>
    <row r="901" spans="1:10">
      <c r="A901">
        <v>83</v>
      </c>
      <c r="B901">
        <v>9</v>
      </c>
      <c r="C901" t="s">
        <v>105</v>
      </c>
      <c r="D901">
        <v>-33.925736742719998</v>
      </c>
      <c r="E901">
        <v>18.837471807545398</v>
      </c>
      <c r="F901">
        <v>6.5750000000000003E-2</v>
      </c>
      <c r="G901">
        <v>0.1643</v>
      </c>
      <c r="H901">
        <v>9.8599999999999993E-2</v>
      </c>
      <c r="I901">
        <v>6074.0829999999996</v>
      </c>
      <c r="J901">
        <v>3585.0909999999999</v>
      </c>
    </row>
    <row r="902" spans="1:10">
      <c r="A902">
        <v>84</v>
      </c>
      <c r="B902">
        <v>9</v>
      </c>
      <c r="C902" t="s">
        <v>105</v>
      </c>
      <c r="D902">
        <v>-33.921276917158998</v>
      </c>
      <c r="E902">
        <v>18.843281043690801</v>
      </c>
      <c r="F902">
        <v>6.5750000000000003E-2</v>
      </c>
      <c r="G902">
        <v>0.1643</v>
      </c>
      <c r="H902">
        <v>9.8599999999999993E-2</v>
      </c>
      <c r="I902">
        <v>4767.6790000000001</v>
      </c>
      <c r="J902">
        <v>6054.4210000000003</v>
      </c>
    </row>
    <row r="903" spans="1:10">
      <c r="A903">
        <v>85</v>
      </c>
      <c r="B903">
        <v>9</v>
      </c>
      <c r="C903" t="s">
        <v>105</v>
      </c>
      <c r="D903">
        <v>-33.923835009648997</v>
      </c>
      <c r="E903">
        <v>18.840139291632099</v>
      </c>
      <c r="F903">
        <v>6.5750000000000003E-2</v>
      </c>
      <c r="G903">
        <v>0.1643</v>
      </c>
      <c r="H903">
        <v>9.8599999999999993E-2</v>
      </c>
      <c r="I903">
        <v>4570.7719999999999</v>
      </c>
      <c r="J903">
        <v>6129.6490000000003</v>
      </c>
    </row>
    <row r="904" spans="1:10">
      <c r="A904">
        <v>86</v>
      </c>
      <c r="B904">
        <v>9</v>
      </c>
      <c r="C904" t="s">
        <v>105</v>
      </c>
      <c r="D904">
        <v>-33.920073712127198</v>
      </c>
      <c r="E904">
        <v>18.842416523511101</v>
      </c>
      <c r="F904">
        <v>6.5750000000000003E-2</v>
      </c>
      <c r="G904">
        <v>0.1643</v>
      </c>
      <c r="H904">
        <v>9.8599999999999993E-2</v>
      </c>
      <c r="I904">
        <v>4860.549</v>
      </c>
      <c r="J904">
        <v>6154.1379999999999</v>
      </c>
    </row>
    <row r="905" spans="1:10">
      <c r="A905">
        <v>87</v>
      </c>
      <c r="B905">
        <v>9</v>
      </c>
      <c r="C905" t="s">
        <v>105</v>
      </c>
      <c r="D905">
        <v>-33.919448750469897</v>
      </c>
      <c r="E905">
        <v>18.842651743357202</v>
      </c>
      <c r="F905">
        <v>6.5750000000000003E-2</v>
      </c>
      <c r="G905">
        <v>0.1643</v>
      </c>
      <c r="H905">
        <v>9.8599999999999993E-2</v>
      </c>
      <c r="I905">
        <v>4837.9279999999999</v>
      </c>
      <c r="J905">
        <v>6755.4679999999998</v>
      </c>
    </row>
    <row r="906" spans="1:10">
      <c r="A906">
        <v>88</v>
      </c>
      <c r="B906">
        <v>9</v>
      </c>
      <c r="C906" t="s">
        <v>105</v>
      </c>
      <c r="D906">
        <v>-33.922888240405797</v>
      </c>
      <c r="E906">
        <v>18.8383801636237</v>
      </c>
      <c r="F906">
        <v>6.5750000000000003E-2</v>
      </c>
      <c r="G906">
        <v>0.1643</v>
      </c>
      <c r="H906">
        <v>9.8599999999999993E-2</v>
      </c>
      <c r="I906">
        <v>4839.6850000000004</v>
      </c>
      <c r="J906">
        <v>6398.5619999999999</v>
      </c>
    </row>
    <row r="907" spans="1:10">
      <c r="A907">
        <v>89</v>
      </c>
      <c r="B907">
        <v>9</v>
      </c>
      <c r="C907" t="s">
        <v>105</v>
      </c>
      <c r="D907">
        <v>-33.926587700623202</v>
      </c>
      <c r="E907">
        <v>18.840614895625301</v>
      </c>
      <c r="F907">
        <v>6.5750000000000003E-2</v>
      </c>
      <c r="G907">
        <v>0.1643</v>
      </c>
      <c r="H907">
        <v>9.8599999999999993E-2</v>
      </c>
      <c r="I907">
        <v>4789.951</v>
      </c>
      <c r="J907">
        <v>6348.8280000000004</v>
      </c>
    </row>
    <row r="908" spans="1:10">
      <c r="A908">
        <v>90</v>
      </c>
      <c r="B908">
        <v>9</v>
      </c>
      <c r="C908" t="s">
        <v>105</v>
      </c>
      <c r="D908">
        <v>-33.921396856679799</v>
      </c>
      <c r="E908">
        <v>18.840702522085099</v>
      </c>
      <c r="F908">
        <v>6.5750000000000003E-2</v>
      </c>
      <c r="G908">
        <v>0.1643</v>
      </c>
      <c r="H908">
        <v>9.8599999999999993E-2</v>
      </c>
      <c r="I908">
        <v>4537.759</v>
      </c>
      <c r="J908">
        <v>6096.6360000000004</v>
      </c>
    </row>
    <row r="909" spans="1:10">
      <c r="A909">
        <v>91</v>
      </c>
      <c r="B909">
        <v>9</v>
      </c>
      <c r="C909" t="s">
        <v>105</v>
      </c>
      <c r="D909">
        <v>-33.924280075108399</v>
      </c>
      <c r="E909">
        <v>18.844276263712899</v>
      </c>
      <c r="F909">
        <v>6.5750000000000003E-2</v>
      </c>
      <c r="G909">
        <v>0.1643</v>
      </c>
      <c r="H909">
        <v>9.8599999999999993E-2</v>
      </c>
      <c r="I909">
        <v>3964.2979999999998</v>
      </c>
      <c r="J909">
        <v>5523.1750000000002</v>
      </c>
    </row>
    <row r="910" spans="1:10">
      <c r="A910">
        <v>92</v>
      </c>
      <c r="B910">
        <v>9</v>
      </c>
      <c r="C910" t="s">
        <v>105</v>
      </c>
      <c r="D910">
        <v>-33.919460468588198</v>
      </c>
      <c r="E910">
        <v>18.838821360838399</v>
      </c>
      <c r="F910">
        <v>6.5750000000000003E-2</v>
      </c>
      <c r="G910">
        <v>0.1643</v>
      </c>
      <c r="H910">
        <v>9.8599999999999993E-2</v>
      </c>
      <c r="I910">
        <v>5139.317</v>
      </c>
      <c r="J910">
        <v>6496.2619999999997</v>
      </c>
    </row>
    <row r="911" spans="1:10">
      <c r="A911">
        <v>93</v>
      </c>
      <c r="B911">
        <v>9</v>
      </c>
      <c r="C911" t="s">
        <v>105</v>
      </c>
      <c r="D911">
        <v>-33.921748417053102</v>
      </c>
      <c r="E911">
        <v>18.8428347599157</v>
      </c>
      <c r="F911">
        <v>6.5750000000000003E-2</v>
      </c>
      <c r="G911">
        <v>0.1643</v>
      </c>
      <c r="H911">
        <v>9.8599999999999993E-2</v>
      </c>
      <c r="I911">
        <v>4679.8500000000004</v>
      </c>
      <c r="J911">
        <v>5931.2139999999999</v>
      </c>
    </row>
    <row r="912" spans="1:10">
      <c r="A912">
        <v>94</v>
      </c>
      <c r="B912">
        <v>9</v>
      </c>
      <c r="C912" t="s">
        <v>105</v>
      </c>
      <c r="D912">
        <v>-33.920168453324997</v>
      </c>
      <c r="E912">
        <v>18.842895233392099</v>
      </c>
      <c r="F912">
        <v>6.5750000000000003E-2</v>
      </c>
      <c r="G912">
        <v>0.1643</v>
      </c>
      <c r="H912">
        <v>9.8599999999999993E-2</v>
      </c>
      <c r="I912">
        <v>4871.33</v>
      </c>
      <c r="J912">
        <v>6158.0709999999999</v>
      </c>
    </row>
    <row r="913" spans="1:10">
      <c r="A913">
        <v>95</v>
      </c>
      <c r="B913">
        <v>9</v>
      </c>
      <c r="C913" t="s">
        <v>105</v>
      </c>
      <c r="D913">
        <v>-33.927054162073603</v>
      </c>
      <c r="E913">
        <v>18.838110647486499</v>
      </c>
      <c r="F913">
        <v>6.5750000000000003E-2</v>
      </c>
      <c r="G913">
        <v>0.1643</v>
      </c>
      <c r="H913">
        <v>9.8599999999999993E-2</v>
      </c>
      <c r="I913">
        <v>5927.4750000000004</v>
      </c>
      <c r="J913">
        <v>3438.4830000000002</v>
      </c>
    </row>
    <row r="914" spans="1:10">
      <c r="A914">
        <v>96</v>
      </c>
      <c r="B914">
        <v>9</v>
      </c>
      <c r="C914" t="s">
        <v>105</v>
      </c>
      <c r="D914">
        <v>-33.924678948155801</v>
      </c>
      <c r="E914">
        <v>18.841406261475701</v>
      </c>
      <c r="F914">
        <v>6.5750000000000003E-2</v>
      </c>
      <c r="G914">
        <v>0.1643</v>
      </c>
      <c r="H914">
        <v>9.8599999999999993E-2</v>
      </c>
      <c r="I914">
        <v>4588.62</v>
      </c>
      <c r="J914">
        <v>6147.4970000000003</v>
      </c>
    </row>
    <row r="915" spans="1:10">
      <c r="A915">
        <v>97</v>
      </c>
      <c r="B915">
        <v>9</v>
      </c>
      <c r="C915" t="s">
        <v>105</v>
      </c>
      <c r="D915">
        <v>-33.926471230595098</v>
      </c>
      <c r="E915">
        <v>18.840791655461398</v>
      </c>
      <c r="F915">
        <v>6.5750000000000003E-2</v>
      </c>
      <c r="G915">
        <v>0.1643</v>
      </c>
      <c r="H915">
        <v>9.8599999999999993E-2</v>
      </c>
      <c r="I915">
        <v>4790.3450000000003</v>
      </c>
      <c r="J915">
        <v>6349.2219999999998</v>
      </c>
    </row>
    <row r="916" spans="1:10">
      <c r="A916">
        <v>98</v>
      </c>
      <c r="B916">
        <v>9</v>
      </c>
      <c r="C916" t="s">
        <v>105</v>
      </c>
      <c r="D916">
        <v>-33.926365822870501</v>
      </c>
      <c r="E916">
        <v>18.8410241677846</v>
      </c>
      <c r="F916">
        <v>6.5750000000000003E-2</v>
      </c>
      <c r="G916">
        <v>0.1643</v>
      </c>
      <c r="H916">
        <v>9.8599999999999993E-2</v>
      </c>
      <c r="I916">
        <v>4771.5259999999998</v>
      </c>
      <c r="J916">
        <v>6330.4030000000002</v>
      </c>
    </row>
    <row r="917" spans="1:10">
      <c r="A917">
        <v>99</v>
      </c>
      <c r="B917">
        <v>9</v>
      </c>
      <c r="C917" t="s">
        <v>105</v>
      </c>
      <c r="D917">
        <v>-33.924428961684903</v>
      </c>
      <c r="E917">
        <v>18.8402635736268</v>
      </c>
      <c r="F917">
        <v>6.5750000000000003E-2</v>
      </c>
      <c r="G917">
        <v>0.1643</v>
      </c>
      <c r="H917">
        <v>9.8599999999999993E-2</v>
      </c>
      <c r="I917">
        <v>4603.0050000000001</v>
      </c>
      <c r="J917">
        <v>6161.8819999999996</v>
      </c>
    </row>
    <row r="918" spans="1:10">
      <c r="A918">
        <v>100</v>
      </c>
      <c r="B918">
        <v>9</v>
      </c>
      <c r="C918" t="s">
        <v>105</v>
      </c>
      <c r="D918">
        <v>-33.921402652434899</v>
      </c>
      <c r="E918">
        <v>18.836386137523998</v>
      </c>
      <c r="F918">
        <v>6.5750000000000003E-2</v>
      </c>
      <c r="G918">
        <v>0.1643</v>
      </c>
      <c r="H918">
        <v>9.8599999999999993E-2</v>
      </c>
      <c r="I918">
        <v>5114.9170000000004</v>
      </c>
      <c r="J918">
        <v>6673.7939999999999</v>
      </c>
    </row>
    <row r="919" spans="1:10">
      <c r="A919">
        <v>101</v>
      </c>
      <c r="B919">
        <v>9</v>
      </c>
      <c r="C919" t="s">
        <v>105</v>
      </c>
      <c r="D919">
        <v>-33.925564699682802</v>
      </c>
      <c r="E919">
        <v>18.841266148892799</v>
      </c>
      <c r="F919">
        <v>6.5750000000000003E-2</v>
      </c>
      <c r="G919">
        <v>0.1643</v>
      </c>
      <c r="H919">
        <v>9.8599999999999993E-2</v>
      </c>
      <c r="I919">
        <v>4687.8360000000002</v>
      </c>
      <c r="J919">
        <v>6246.7120000000004</v>
      </c>
    </row>
    <row r="920" spans="1:10">
      <c r="A920">
        <v>102</v>
      </c>
      <c r="B920">
        <v>9</v>
      </c>
      <c r="C920" t="s">
        <v>105</v>
      </c>
      <c r="D920">
        <v>-33.923253996267498</v>
      </c>
      <c r="E920">
        <v>18.844149579773301</v>
      </c>
      <c r="F920">
        <v>6.5750000000000003E-2</v>
      </c>
      <c r="G920">
        <v>0.1643</v>
      </c>
      <c r="H920">
        <v>9.8599999999999993E-2</v>
      </c>
      <c r="I920">
        <v>4070.05</v>
      </c>
      <c r="J920">
        <v>5628.9269999999997</v>
      </c>
    </row>
    <row r="921" spans="1:10">
      <c r="A921">
        <v>103</v>
      </c>
      <c r="B921">
        <v>9</v>
      </c>
      <c r="C921" t="s">
        <v>105</v>
      </c>
      <c r="D921">
        <v>-33.920606346295301</v>
      </c>
      <c r="E921">
        <v>18.8405876021267</v>
      </c>
      <c r="F921">
        <v>6.5750000000000003E-2</v>
      </c>
      <c r="G921">
        <v>0.1643</v>
      </c>
      <c r="H921">
        <v>9.8599999999999993E-2</v>
      </c>
      <c r="I921">
        <v>4984.893</v>
      </c>
      <c r="J921">
        <v>6207.1310000000003</v>
      </c>
    </row>
    <row r="922" spans="1:10">
      <c r="A922">
        <v>104</v>
      </c>
      <c r="B922">
        <v>9</v>
      </c>
      <c r="C922" t="s">
        <v>105</v>
      </c>
      <c r="D922">
        <v>-33.926964301400901</v>
      </c>
      <c r="E922">
        <v>18.844527356015899</v>
      </c>
      <c r="F922">
        <v>6.5750000000000003E-2</v>
      </c>
      <c r="G922">
        <v>0.1643</v>
      </c>
      <c r="H922">
        <v>9.8599999999999993E-2</v>
      </c>
      <c r="I922">
        <v>4045.1260000000002</v>
      </c>
      <c r="J922">
        <v>5604.0029999999997</v>
      </c>
    </row>
    <row r="923" spans="1:10">
      <c r="A923">
        <v>105</v>
      </c>
      <c r="B923">
        <v>9</v>
      </c>
      <c r="C923" t="s">
        <v>105</v>
      </c>
      <c r="D923">
        <v>-33.919985192330103</v>
      </c>
      <c r="E923">
        <v>18.841483587177301</v>
      </c>
      <c r="F923">
        <v>6.5750000000000003E-2</v>
      </c>
      <c r="G923">
        <v>0.1643</v>
      </c>
      <c r="H923">
        <v>9.8599999999999993E-2</v>
      </c>
      <c r="I923">
        <v>4913.83</v>
      </c>
      <c r="J923">
        <v>6229.8969999999999</v>
      </c>
    </row>
    <row r="924" spans="1:10">
      <c r="A924">
        <v>106</v>
      </c>
      <c r="B924">
        <v>9</v>
      </c>
      <c r="C924" t="s">
        <v>105</v>
      </c>
      <c r="D924">
        <v>-33.925554740262697</v>
      </c>
      <c r="E924">
        <v>18.840227548510299</v>
      </c>
      <c r="F924">
        <v>6.5750000000000003E-2</v>
      </c>
      <c r="G924">
        <v>0.1643</v>
      </c>
      <c r="H924">
        <v>9.8599999999999993E-2</v>
      </c>
      <c r="I924">
        <v>4714.884</v>
      </c>
      <c r="J924">
        <v>6273.7610000000004</v>
      </c>
    </row>
    <row r="925" spans="1:10">
      <c r="A925">
        <v>107</v>
      </c>
      <c r="B925">
        <v>9</v>
      </c>
      <c r="C925" t="s">
        <v>105</v>
      </c>
      <c r="D925">
        <v>-33.926619338611196</v>
      </c>
      <c r="E925">
        <v>18.836818911472498</v>
      </c>
      <c r="F925">
        <v>6.5750000000000003E-2</v>
      </c>
      <c r="G925">
        <v>0.1643</v>
      </c>
      <c r="H925">
        <v>9.8599999999999993E-2</v>
      </c>
      <c r="I925">
        <v>6040.1049999999996</v>
      </c>
      <c r="J925">
        <v>3551.1129999999998</v>
      </c>
    </row>
    <row r="926" spans="1:10">
      <c r="A926">
        <v>108</v>
      </c>
      <c r="B926">
        <v>9</v>
      </c>
      <c r="C926" t="s">
        <v>105</v>
      </c>
      <c r="D926">
        <v>-33.920458293784499</v>
      </c>
      <c r="E926">
        <v>18.836002338431602</v>
      </c>
      <c r="F926">
        <v>6.5750000000000003E-2</v>
      </c>
      <c r="G926">
        <v>0.1643</v>
      </c>
      <c r="H926">
        <v>9.8599999999999993E-2</v>
      </c>
      <c r="I926">
        <v>4996.5690000000004</v>
      </c>
      <c r="J926">
        <v>6555.4459999999999</v>
      </c>
    </row>
    <row r="927" spans="1:10">
      <c r="A927">
        <v>109</v>
      </c>
      <c r="B927">
        <v>9</v>
      </c>
      <c r="C927" t="s">
        <v>105</v>
      </c>
      <c r="D927">
        <v>-33.919488021605801</v>
      </c>
      <c r="E927">
        <v>18.836392838797199</v>
      </c>
      <c r="F927">
        <v>6.5750000000000003E-2</v>
      </c>
      <c r="G927">
        <v>0.1643</v>
      </c>
      <c r="H927">
        <v>9.8599999999999993E-2</v>
      </c>
      <c r="I927">
        <v>5380.9089999999997</v>
      </c>
      <c r="J927">
        <v>6650.7610000000004</v>
      </c>
    </row>
    <row r="928" spans="1:10">
      <c r="A928">
        <v>110</v>
      </c>
      <c r="B928">
        <v>9</v>
      </c>
      <c r="C928" t="s">
        <v>105</v>
      </c>
      <c r="D928">
        <v>-33.921383396415997</v>
      </c>
      <c r="E928">
        <v>18.837603063743501</v>
      </c>
      <c r="F928">
        <v>6.5750000000000003E-2</v>
      </c>
      <c r="G928">
        <v>0.1643</v>
      </c>
      <c r="H928">
        <v>9.8599999999999993E-2</v>
      </c>
      <c r="I928">
        <v>4796.2579999999998</v>
      </c>
      <c r="J928">
        <v>6355.1350000000002</v>
      </c>
    </row>
    <row r="929" spans="1:10">
      <c r="A929">
        <v>111</v>
      </c>
      <c r="B929">
        <v>9</v>
      </c>
      <c r="C929" t="s">
        <v>105</v>
      </c>
      <c r="D929">
        <v>-33.925557153718401</v>
      </c>
      <c r="E929">
        <v>18.838331294229</v>
      </c>
      <c r="F929">
        <v>6.5750000000000003E-2</v>
      </c>
      <c r="G929">
        <v>0.1643</v>
      </c>
      <c r="H929">
        <v>9.8599999999999993E-2</v>
      </c>
      <c r="I929">
        <v>4789.0069999999996</v>
      </c>
      <c r="J929">
        <v>6347.884</v>
      </c>
    </row>
    <row r="930" spans="1:10">
      <c r="A930">
        <v>112</v>
      </c>
      <c r="B930">
        <v>9</v>
      </c>
      <c r="C930" t="s">
        <v>105</v>
      </c>
      <c r="D930">
        <v>-33.921096451098101</v>
      </c>
      <c r="E930">
        <v>18.837811026796501</v>
      </c>
      <c r="F930">
        <v>6.5750000000000003E-2</v>
      </c>
      <c r="G930">
        <v>0.1643</v>
      </c>
      <c r="H930">
        <v>9.8599999999999993E-2</v>
      </c>
      <c r="I930">
        <v>4804.6530000000002</v>
      </c>
      <c r="J930">
        <v>6363.53</v>
      </c>
    </row>
    <row r="931" spans="1:10">
      <c r="A931">
        <v>113</v>
      </c>
      <c r="B931">
        <v>9</v>
      </c>
      <c r="C931" t="s">
        <v>105</v>
      </c>
      <c r="D931">
        <v>-33.922996393015303</v>
      </c>
      <c r="E931">
        <v>18.842231792964299</v>
      </c>
      <c r="F931">
        <v>6.5750000000000003E-2</v>
      </c>
      <c r="G931">
        <v>0.1643</v>
      </c>
      <c r="H931">
        <v>9.8599999999999993E-2</v>
      </c>
      <c r="I931">
        <v>4361.9290000000001</v>
      </c>
      <c r="J931">
        <v>5920.8059999999996</v>
      </c>
    </row>
    <row r="932" spans="1:10">
      <c r="A932">
        <v>114</v>
      </c>
      <c r="B932">
        <v>9</v>
      </c>
      <c r="C932" t="s">
        <v>105</v>
      </c>
      <c r="D932">
        <v>-33.923673531065397</v>
      </c>
      <c r="E932">
        <v>18.839446122605199</v>
      </c>
      <c r="F932">
        <v>6.5750000000000003E-2</v>
      </c>
      <c r="G932">
        <v>0.1643</v>
      </c>
      <c r="H932">
        <v>9.8599999999999993E-2</v>
      </c>
      <c r="I932">
        <v>4782.1570000000002</v>
      </c>
      <c r="J932">
        <v>6341.0339999999997</v>
      </c>
    </row>
    <row r="933" spans="1:10">
      <c r="A933">
        <v>115</v>
      </c>
      <c r="B933">
        <v>9</v>
      </c>
      <c r="C933" t="s">
        <v>105</v>
      </c>
      <c r="D933">
        <v>-33.926488052865899</v>
      </c>
      <c r="E933">
        <v>18.843949410695</v>
      </c>
      <c r="F933">
        <v>6.5750000000000003E-2</v>
      </c>
      <c r="G933">
        <v>0.1643</v>
      </c>
      <c r="H933">
        <v>9.8599999999999993E-2</v>
      </c>
      <c r="I933">
        <v>4112.4679999999998</v>
      </c>
      <c r="J933">
        <v>5671.3450000000003</v>
      </c>
    </row>
    <row r="934" spans="1:10">
      <c r="A934">
        <v>116</v>
      </c>
      <c r="B934">
        <v>9</v>
      </c>
      <c r="C934" t="s">
        <v>105</v>
      </c>
      <c r="D934">
        <v>-33.920631575884499</v>
      </c>
      <c r="E934">
        <v>18.843017857866201</v>
      </c>
      <c r="F934">
        <v>6.5750000000000003E-2</v>
      </c>
      <c r="G934">
        <v>0.1643</v>
      </c>
      <c r="H934">
        <v>9.8599999999999993E-2</v>
      </c>
      <c r="I934">
        <v>4806.7060000000001</v>
      </c>
      <c r="J934">
        <v>6093.4480000000003</v>
      </c>
    </row>
    <row r="935" spans="1:10">
      <c r="A935">
        <v>117</v>
      </c>
      <c r="B935">
        <v>9</v>
      </c>
      <c r="C935" t="s">
        <v>105</v>
      </c>
      <c r="D935">
        <v>-33.922328165262002</v>
      </c>
      <c r="E935">
        <v>18.843034618394199</v>
      </c>
      <c r="F935">
        <v>6.5750000000000003E-2</v>
      </c>
      <c r="G935">
        <v>0.1643</v>
      </c>
      <c r="H935">
        <v>9.8599999999999993E-2</v>
      </c>
      <c r="I935">
        <v>4256.0339999999997</v>
      </c>
      <c r="J935">
        <v>5814.9110000000001</v>
      </c>
    </row>
    <row r="936" spans="1:10">
      <c r="A936">
        <v>118</v>
      </c>
      <c r="B936">
        <v>9</v>
      </c>
      <c r="C936" t="s">
        <v>105</v>
      </c>
      <c r="D936">
        <v>-33.921209399601601</v>
      </c>
      <c r="E936">
        <v>18.844475831473201</v>
      </c>
      <c r="F936">
        <v>6.5750000000000003E-2</v>
      </c>
      <c r="G936">
        <v>0.1643</v>
      </c>
      <c r="H936">
        <v>9.8599999999999993E-2</v>
      </c>
      <c r="I936">
        <v>4497.6329999999998</v>
      </c>
      <c r="J936">
        <v>6415.1729999999998</v>
      </c>
    </row>
    <row r="937" spans="1:10">
      <c r="A937">
        <v>119</v>
      </c>
      <c r="B937">
        <v>9</v>
      </c>
      <c r="C937" t="s">
        <v>105</v>
      </c>
      <c r="D937">
        <v>-33.920960009892902</v>
      </c>
      <c r="E937">
        <v>18.842716300428901</v>
      </c>
      <c r="F937">
        <v>6.5750000000000003E-2</v>
      </c>
      <c r="G937">
        <v>0.1643</v>
      </c>
      <c r="H937">
        <v>9.8599999999999993E-2</v>
      </c>
      <c r="I937">
        <v>4744.5959999999995</v>
      </c>
      <c r="J937">
        <v>6031.3379999999997</v>
      </c>
    </row>
    <row r="938" spans="1:10">
      <c r="A938">
        <v>120</v>
      </c>
      <c r="B938">
        <v>9</v>
      </c>
      <c r="C938" t="s">
        <v>105</v>
      </c>
      <c r="D938">
        <v>-33.919328819879397</v>
      </c>
      <c r="E938">
        <v>18.837399245330001</v>
      </c>
      <c r="F938">
        <v>6.5750000000000003E-2</v>
      </c>
      <c r="G938">
        <v>0.1643</v>
      </c>
      <c r="H938">
        <v>9.8599999999999993E-2</v>
      </c>
      <c r="I938">
        <v>5307.3540000000003</v>
      </c>
      <c r="J938">
        <v>6581.4920000000002</v>
      </c>
    </row>
    <row r="939" spans="1:10">
      <c r="A939">
        <v>121</v>
      </c>
      <c r="B939">
        <v>9</v>
      </c>
      <c r="C939" t="s">
        <v>105</v>
      </c>
      <c r="D939">
        <v>-33.925320422089598</v>
      </c>
      <c r="E939">
        <v>18.8423257769381</v>
      </c>
      <c r="F939">
        <v>6.5750000000000003E-2</v>
      </c>
      <c r="G939">
        <v>0.1643</v>
      </c>
      <c r="H939">
        <v>9.8599999999999993E-2</v>
      </c>
      <c r="I939">
        <v>4648.4110000000001</v>
      </c>
      <c r="J939">
        <v>6207.2870000000003</v>
      </c>
    </row>
    <row r="940" spans="1:10">
      <c r="A940">
        <v>122</v>
      </c>
      <c r="B940">
        <v>9</v>
      </c>
      <c r="C940" t="s">
        <v>105</v>
      </c>
      <c r="D940">
        <v>-33.923306221808701</v>
      </c>
      <c r="E940">
        <v>18.842857517873199</v>
      </c>
      <c r="F940">
        <v>6.5750000000000003E-2</v>
      </c>
      <c r="G940">
        <v>0.1643</v>
      </c>
      <c r="H940">
        <v>9.8599999999999993E-2</v>
      </c>
      <c r="I940">
        <v>4141.95</v>
      </c>
      <c r="J940">
        <v>5700.8270000000002</v>
      </c>
    </row>
    <row r="941" spans="1:10">
      <c r="A941">
        <v>123</v>
      </c>
      <c r="B941">
        <v>9</v>
      </c>
      <c r="C941" t="s">
        <v>105</v>
      </c>
      <c r="D941">
        <v>-33.920279190476698</v>
      </c>
      <c r="E941">
        <v>18.842060150387201</v>
      </c>
      <c r="F941">
        <v>6.5750000000000003E-2</v>
      </c>
      <c r="G941">
        <v>0.1643</v>
      </c>
      <c r="H941">
        <v>9.8599999999999993E-2</v>
      </c>
      <c r="I941">
        <v>4872.6139999999996</v>
      </c>
      <c r="J941">
        <v>6142.7430000000004</v>
      </c>
    </row>
    <row r="942" spans="1:10">
      <c r="A942">
        <v>124</v>
      </c>
      <c r="B942">
        <v>9</v>
      </c>
      <c r="C942" t="s">
        <v>105</v>
      </c>
      <c r="D942">
        <v>-33.926884867930198</v>
      </c>
      <c r="E942">
        <v>18.8412665693074</v>
      </c>
      <c r="F942">
        <v>6.5750000000000003E-2</v>
      </c>
      <c r="G942">
        <v>0.1643</v>
      </c>
      <c r="H942">
        <v>9.8599999999999993E-2</v>
      </c>
      <c r="I942">
        <v>4781.4660000000003</v>
      </c>
      <c r="J942">
        <v>6340.3429999999998</v>
      </c>
    </row>
    <row r="943" spans="1:10">
      <c r="A943">
        <v>125</v>
      </c>
      <c r="B943">
        <v>9</v>
      </c>
      <c r="C943" t="s">
        <v>105</v>
      </c>
      <c r="D943">
        <v>-33.9231118588024</v>
      </c>
      <c r="E943">
        <v>18.8377557971715</v>
      </c>
      <c r="F943">
        <v>6.5750000000000003E-2</v>
      </c>
      <c r="G943">
        <v>0.1643</v>
      </c>
      <c r="H943">
        <v>9.8599999999999993E-2</v>
      </c>
      <c r="I943">
        <v>4895.6030000000001</v>
      </c>
      <c r="J943">
        <v>6454.48</v>
      </c>
    </row>
    <row r="944" spans="1:10">
      <c r="A944">
        <v>126</v>
      </c>
      <c r="B944">
        <v>9</v>
      </c>
      <c r="C944" t="s">
        <v>105</v>
      </c>
      <c r="D944">
        <v>-33.919938270097902</v>
      </c>
      <c r="E944">
        <v>18.838387848511498</v>
      </c>
      <c r="F944">
        <v>6.5750000000000003E-2</v>
      </c>
      <c r="G944">
        <v>0.1643</v>
      </c>
      <c r="H944">
        <v>9.8599999999999993E-2</v>
      </c>
      <c r="I944">
        <v>4873.0050000000001</v>
      </c>
      <c r="J944">
        <v>6431.8819999999996</v>
      </c>
    </row>
    <row r="945" spans="1:10">
      <c r="A945">
        <v>127</v>
      </c>
      <c r="B945">
        <v>9</v>
      </c>
      <c r="C945" t="s">
        <v>105</v>
      </c>
      <c r="D945">
        <v>-33.927046243433701</v>
      </c>
      <c r="E945">
        <v>18.838905323318102</v>
      </c>
      <c r="F945">
        <v>6.5750000000000003E-2</v>
      </c>
      <c r="G945">
        <v>0.1643</v>
      </c>
      <c r="H945">
        <v>9.8599999999999993E-2</v>
      </c>
      <c r="I945">
        <v>5978.6509999999998</v>
      </c>
      <c r="J945">
        <v>3489.6590000000001</v>
      </c>
    </row>
    <row r="946" spans="1:10">
      <c r="A946">
        <v>128</v>
      </c>
      <c r="B946">
        <v>9</v>
      </c>
      <c r="C946" t="s">
        <v>105</v>
      </c>
      <c r="D946">
        <v>-33.924334931120903</v>
      </c>
      <c r="E946">
        <v>18.837559674128698</v>
      </c>
      <c r="F946">
        <v>6.5750000000000003E-2</v>
      </c>
      <c r="G946">
        <v>0.1643</v>
      </c>
      <c r="H946">
        <v>9.8599999999999993E-2</v>
      </c>
      <c r="I946">
        <v>4927.5169999999998</v>
      </c>
      <c r="J946">
        <v>6486.3940000000002</v>
      </c>
    </row>
    <row r="947" spans="1:10">
      <c r="A947">
        <v>129</v>
      </c>
      <c r="B947">
        <v>9</v>
      </c>
      <c r="C947" t="s">
        <v>105</v>
      </c>
      <c r="D947">
        <v>-33.924342978922297</v>
      </c>
      <c r="E947">
        <v>18.838693806020299</v>
      </c>
      <c r="F947">
        <v>6.5750000000000003E-2</v>
      </c>
      <c r="G947">
        <v>0.1643</v>
      </c>
      <c r="H947">
        <v>9.8599999999999993E-2</v>
      </c>
      <c r="I947">
        <v>4766.732</v>
      </c>
      <c r="J947">
        <v>6325.6090000000004</v>
      </c>
    </row>
    <row r="948" spans="1:10">
      <c r="A948">
        <v>130</v>
      </c>
      <c r="B948">
        <v>9</v>
      </c>
      <c r="C948" t="s">
        <v>105</v>
      </c>
      <c r="D948">
        <v>-33.919674771402804</v>
      </c>
      <c r="E948">
        <v>18.839182956157899</v>
      </c>
      <c r="F948">
        <v>6.5750000000000003E-2</v>
      </c>
      <c r="G948">
        <v>0.1643</v>
      </c>
      <c r="H948">
        <v>9.8599999999999993E-2</v>
      </c>
      <c r="I948">
        <v>5153.5680000000002</v>
      </c>
      <c r="J948">
        <v>6396.0280000000002</v>
      </c>
    </row>
    <row r="949" spans="1:10">
      <c r="A949">
        <v>131</v>
      </c>
      <c r="B949">
        <v>9</v>
      </c>
      <c r="C949" t="s">
        <v>105</v>
      </c>
      <c r="D949">
        <v>-33.924110404604498</v>
      </c>
      <c r="E949">
        <v>18.844852641179099</v>
      </c>
      <c r="F949">
        <v>6.5750000000000003E-2</v>
      </c>
      <c r="G949">
        <v>0.1643</v>
      </c>
      <c r="H949">
        <v>9.8599999999999993E-2</v>
      </c>
      <c r="I949">
        <v>3898.4949999999999</v>
      </c>
      <c r="J949">
        <v>5457.3720000000003</v>
      </c>
    </row>
    <row r="950" spans="1:10">
      <c r="A950">
        <v>132</v>
      </c>
      <c r="B950">
        <v>9</v>
      </c>
      <c r="C950" t="s">
        <v>105</v>
      </c>
      <c r="D950">
        <v>-33.9255475542368</v>
      </c>
      <c r="E950">
        <v>18.8395758735392</v>
      </c>
      <c r="F950">
        <v>6.5750000000000003E-2</v>
      </c>
      <c r="G950">
        <v>0.1643</v>
      </c>
      <c r="H950">
        <v>9.8599999999999993E-2</v>
      </c>
      <c r="I950">
        <v>4811.835</v>
      </c>
      <c r="J950">
        <v>6370.7120000000004</v>
      </c>
    </row>
    <row r="951" spans="1:10">
      <c r="A951">
        <v>133</v>
      </c>
      <c r="B951">
        <v>9</v>
      </c>
      <c r="C951" t="s">
        <v>105</v>
      </c>
      <c r="D951">
        <v>-33.925594104933602</v>
      </c>
      <c r="E951">
        <v>18.8423218158396</v>
      </c>
      <c r="F951">
        <v>6.5750000000000003E-2</v>
      </c>
      <c r="G951">
        <v>0.1643</v>
      </c>
      <c r="H951">
        <v>9.8599999999999993E-2</v>
      </c>
      <c r="I951">
        <v>4164.2240000000002</v>
      </c>
      <c r="J951">
        <v>5723.1009999999997</v>
      </c>
    </row>
    <row r="952" spans="1:10">
      <c r="A952">
        <v>134</v>
      </c>
      <c r="B952">
        <v>9</v>
      </c>
      <c r="C952" t="s">
        <v>105</v>
      </c>
      <c r="D952">
        <v>-33.926823618782898</v>
      </c>
      <c r="E952">
        <v>18.839094573586401</v>
      </c>
      <c r="F952">
        <v>6.5750000000000003E-2</v>
      </c>
      <c r="G952">
        <v>0.1643</v>
      </c>
      <c r="H952">
        <v>9.8599999999999993E-2</v>
      </c>
      <c r="I952">
        <v>6008.6210000000001</v>
      </c>
      <c r="J952">
        <v>3519.6289999999999</v>
      </c>
    </row>
    <row r="953" spans="1:10">
      <c r="A953">
        <v>135</v>
      </c>
      <c r="B953">
        <v>9</v>
      </c>
      <c r="C953" t="s">
        <v>105</v>
      </c>
      <c r="D953">
        <v>-33.924501414208699</v>
      </c>
      <c r="E953">
        <v>18.8365239282784</v>
      </c>
      <c r="F953">
        <v>6.5750000000000003E-2</v>
      </c>
      <c r="G953">
        <v>0.1643</v>
      </c>
      <c r="H953">
        <v>9.8599999999999993E-2</v>
      </c>
      <c r="I953">
        <v>4988.4189999999999</v>
      </c>
      <c r="J953">
        <v>6547.2960000000003</v>
      </c>
    </row>
    <row r="954" spans="1:10">
      <c r="A954">
        <v>136</v>
      </c>
      <c r="B954">
        <v>9</v>
      </c>
      <c r="C954" t="s">
        <v>105</v>
      </c>
      <c r="D954">
        <v>-33.920507236094103</v>
      </c>
      <c r="E954">
        <v>18.8360794648518</v>
      </c>
      <c r="F954">
        <v>6.5750000000000003E-2</v>
      </c>
      <c r="G954">
        <v>0.1643</v>
      </c>
      <c r="H954">
        <v>9.8599999999999993E-2</v>
      </c>
      <c r="I954">
        <v>4993.5870000000004</v>
      </c>
      <c r="J954">
        <v>6552.4639999999999</v>
      </c>
    </row>
    <row r="955" spans="1:10">
      <c r="A955">
        <v>137</v>
      </c>
      <c r="B955">
        <v>9</v>
      </c>
      <c r="C955" t="s">
        <v>105</v>
      </c>
      <c r="D955">
        <v>-33.924981201170702</v>
      </c>
      <c r="E955">
        <v>18.843795772311299</v>
      </c>
      <c r="F955">
        <v>6.5750000000000003E-2</v>
      </c>
      <c r="G955">
        <v>0.1643</v>
      </c>
      <c r="H955">
        <v>9.8599999999999993E-2</v>
      </c>
      <c r="I955">
        <v>3985.3409999999999</v>
      </c>
      <c r="J955">
        <v>5544.2179999999998</v>
      </c>
    </row>
    <row r="956" spans="1:10">
      <c r="A956">
        <v>138</v>
      </c>
      <c r="B956">
        <v>9</v>
      </c>
      <c r="C956" t="s">
        <v>105</v>
      </c>
      <c r="D956">
        <v>-33.925102899284298</v>
      </c>
      <c r="E956">
        <v>18.838749176232199</v>
      </c>
      <c r="F956">
        <v>6.5750000000000003E-2</v>
      </c>
      <c r="G956">
        <v>0.1643</v>
      </c>
      <c r="H956">
        <v>9.8599999999999993E-2</v>
      </c>
      <c r="I956">
        <v>4786.308</v>
      </c>
      <c r="J956">
        <v>6345.1850000000004</v>
      </c>
    </row>
    <row r="957" spans="1:10">
      <c r="A957">
        <v>139</v>
      </c>
      <c r="B957">
        <v>9</v>
      </c>
      <c r="C957" t="s">
        <v>105</v>
      </c>
      <c r="D957">
        <v>-33.919979244188099</v>
      </c>
      <c r="E957">
        <v>18.839985811560101</v>
      </c>
      <c r="F957">
        <v>6.5750000000000003E-2</v>
      </c>
      <c r="G957">
        <v>0.1643</v>
      </c>
      <c r="H957">
        <v>9.8599999999999993E-2</v>
      </c>
      <c r="I957">
        <v>4741.741</v>
      </c>
      <c r="J957">
        <v>6300.6180000000004</v>
      </c>
    </row>
    <row r="958" spans="1:10">
      <c r="A958">
        <v>140</v>
      </c>
      <c r="B958">
        <v>9</v>
      </c>
      <c r="C958" t="s">
        <v>105</v>
      </c>
      <c r="D958">
        <v>-33.926104861140303</v>
      </c>
      <c r="E958">
        <v>18.840486748667299</v>
      </c>
      <c r="F958">
        <v>6.5750000000000003E-2</v>
      </c>
      <c r="G958">
        <v>0.1643</v>
      </c>
      <c r="H958">
        <v>9.8599999999999993E-2</v>
      </c>
      <c r="I958">
        <v>4762.8869999999997</v>
      </c>
      <c r="J958">
        <v>6321.7640000000001</v>
      </c>
    </row>
    <row r="959" spans="1:10">
      <c r="A959">
        <v>141</v>
      </c>
      <c r="B959">
        <v>9</v>
      </c>
      <c r="C959" t="s">
        <v>105</v>
      </c>
      <c r="D959">
        <v>-33.919509508669698</v>
      </c>
      <c r="E959">
        <v>18.840468357794698</v>
      </c>
      <c r="F959">
        <v>6.5750000000000003E-2</v>
      </c>
      <c r="G959">
        <v>0.1643</v>
      </c>
      <c r="H959">
        <v>9.8599999999999993E-2</v>
      </c>
      <c r="I959">
        <v>5031.5969999999998</v>
      </c>
      <c r="J959">
        <v>6310.1379999999999</v>
      </c>
    </row>
    <row r="960" spans="1:10">
      <c r="A960">
        <v>142</v>
      </c>
      <c r="B960">
        <v>9</v>
      </c>
      <c r="C960" t="s">
        <v>105</v>
      </c>
      <c r="D960">
        <v>-33.919320230917698</v>
      </c>
      <c r="E960">
        <v>18.839535132040901</v>
      </c>
      <c r="F960">
        <v>6.5750000000000003E-2</v>
      </c>
      <c r="G960">
        <v>0.1643</v>
      </c>
      <c r="H960">
        <v>9.8599999999999993E-2</v>
      </c>
      <c r="I960">
        <v>5072.8819999999996</v>
      </c>
      <c r="J960">
        <v>6429.8270000000002</v>
      </c>
    </row>
    <row r="961" spans="1:10">
      <c r="A961">
        <v>143</v>
      </c>
      <c r="B961">
        <v>9</v>
      </c>
      <c r="C961" t="s">
        <v>105</v>
      </c>
      <c r="D961">
        <v>-33.922241641496598</v>
      </c>
      <c r="E961">
        <v>18.842547779024599</v>
      </c>
      <c r="F961">
        <v>6.5750000000000003E-2</v>
      </c>
      <c r="G961">
        <v>0.1643</v>
      </c>
      <c r="H961">
        <v>9.8599999999999993E-2</v>
      </c>
      <c r="I961">
        <v>4301.3519999999999</v>
      </c>
      <c r="J961">
        <v>5860.2290000000003</v>
      </c>
    </row>
    <row r="962" spans="1:10">
      <c r="A962">
        <v>144</v>
      </c>
      <c r="B962">
        <v>9</v>
      </c>
      <c r="C962" t="s">
        <v>105</v>
      </c>
      <c r="D962">
        <v>-33.926635943801998</v>
      </c>
      <c r="E962">
        <v>18.844101558338799</v>
      </c>
      <c r="F962">
        <v>6.5750000000000003E-2</v>
      </c>
      <c r="G962">
        <v>0.1643</v>
      </c>
      <c r="H962">
        <v>9.8599999999999993E-2</v>
      </c>
      <c r="I962">
        <v>4094.0160000000001</v>
      </c>
      <c r="J962">
        <v>5652.893</v>
      </c>
    </row>
    <row r="963" spans="1:10">
      <c r="A963">
        <v>145</v>
      </c>
      <c r="B963">
        <v>9</v>
      </c>
      <c r="C963" t="s">
        <v>105</v>
      </c>
      <c r="D963">
        <v>-33.921824993225101</v>
      </c>
      <c r="E963">
        <v>18.843508553906201</v>
      </c>
      <c r="F963">
        <v>6.5750000000000003E-2</v>
      </c>
      <c r="G963">
        <v>0.1643</v>
      </c>
      <c r="H963">
        <v>9.8599999999999993E-2</v>
      </c>
      <c r="I963">
        <v>4615.6850000000004</v>
      </c>
      <c r="J963">
        <v>5902.4269999999997</v>
      </c>
    </row>
    <row r="964" spans="1:10">
      <c r="A964">
        <v>146</v>
      </c>
      <c r="B964">
        <v>9</v>
      </c>
      <c r="C964" t="s">
        <v>105</v>
      </c>
      <c r="D964">
        <v>-33.920219913888502</v>
      </c>
      <c r="E964">
        <v>18.8416528587077</v>
      </c>
      <c r="F964">
        <v>6.5750000000000003E-2</v>
      </c>
      <c r="G964">
        <v>0.1643</v>
      </c>
      <c r="H964">
        <v>9.8599999999999993E-2</v>
      </c>
      <c r="I964">
        <v>4903.47</v>
      </c>
      <c r="J964">
        <v>6240.2579999999998</v>
      </c>
    </row>
    <row r="965" spans="1:10">
      <c r="A965">
        <v>147</v>
      </c>
      <c r="B965">
        <v>9</v>
      </c>
      <c r="C965" t="s">
        <v>105</v>
      </c>
      <c r="D965">
        <v>-33.926509481025597</v>
      </c>
      <c r="E965">
        <v>18.838639495026801</v>
      </c>
      <c r="F965">
        <v>6.5750000000000003E-2</v>
      </c>
      <c r="G965">
        <v>0.1643</v>
      </c>
      <c r="H965">
        <v>9.8599999999999993E-2</v>
      </c>
      <c r="I965">
        <v>6004.9870000000001</v>
      </c>
      <c r="J965">
        <v>3515.9949999999999</v>
      </c>
    </row>
    <row r="966" spans="1:10">
      <c r="A966">
        <v>148</v>
      </c>
      <c r="B966">
        <v>9</v>
      </c>
      <c r="C966" t="s">
        <v>105</v>
      </c>
      <c r="D966">
        <v>-33.921806685992003</v>
      </c>
      <c r="E966">
        <v>18.837866297122801</v>
      </c>
      <c r="F966">
        <v>6.5750000000000003E-2</v>
      </c>
      <c r="G966">
        <v>0.1643</v>
      </c>
      <c r="H966">
        <v>9.8599999999999993E-2</v>
      </c>
      <c r="I966">
        <v>4746.0749999999998</v>
      </c>
      <c r="J966">
        <v>6304.951</v>
      </c>
    </row>
    <row r="967" spans="1:10">
      <c r="A967">
        <v>149</v>
      </c>
      <c r="B967">
        <v>9</v>
      </c>
      <c r="C967" t="s">
        <v>105</v>
      </c>
      <c r="D967">
        <v>-33.921123605409598</v>
      </c>
      <c r="E967">
        <v>18.839132960745001</v>
      </c>
      <c r="F967">
        <v>6.5750000000000003E-2</v>
      </c>
      <c r="G967">
        <v>0.1643</v>
      </c>
      <c r="H967">
        <v>9.8599999999999993E-2</v>
      </c>
      <c r="I967">
        <v>4800.625</v>
      </c>
      <c r="J967">
        <v>6359.5020000000004</v>
      </c>
    </row>
    <row r="968" spans="1:10">
      <c r="A968">
        <v>150</v>
      </c>
      <c r="B968">
        <v>9</v>
      </c>
      <c r="C968" t="s">
        <v>105</v>
      </c>
      <c r="D968">
        <v>-33.923977894484601</v>
      </c>
      <c r="E968">
        <v>18.841782990096799</v>
      </c>
      <c r="F968">
        <v>6.5750000000000003E-2</v>
      </c>
      <c r="G968">
        <v>0.1643</v>
      </c>
      <c r="H968">
        <v>9.8599999999999993E-2</v>
      </c>
      <c r="I968">
        <v>4589.5969999999998</v>
      </c>
      <c r="J968">
        <v>6148.473</v>
      </c>
    </row>
    <row r="969" spans="1:10">
      <c r="A969">
        <v>151</v>
      </c>
      <c r="B969">
        <v>9</v>
      </c>
      <c r="C969" t="s">
        <v>105</v>
      </c>
      <c r="D969">
        <v>-33.920249932351503</v>
      </c>
      <c r="E969">
        <v>18.836412374637501</v>
      </c>
      <c r="F969">
        <v>6.5750000000000003E-2</v>
      </c>
      <c r="G969">
        <v>0.1643</v>
      </c>
      <c r="H969">
        <v>9.8599999999999993E-2</v>
      </c>
      <c r="I969">
        <v>4952.223</v>
      </c>
      <c r="J969">
        <v>6511.1</v>
      </c>
    </row>
    <row r="970" spans="1:10">
      <c r="A970">
        <v>152</v>
      </c>
      <c r="B970">
        <v>9</v>
      </c>
      <c r="C970" t="s">
        <v>105</v>
      </c>
      <c r="D970">
        <v>-33.9198878470091</v>
      </c>
      <c r="E970">
        <v>18.844843482159899</v>
      </c>
      <c r="F970">
        <v>6.5750000000000003E-2</v>
      </c>
      <c r="G970">
        <v>0.1643</v>
      </c>
      <c r="H970">
        <v>9.8599999999999993E-2</v>
      </c>
      <c r="I970">
        <v>4460.9979999999996</v>
      </c>
      <c r="J970">
        <v>6378.5389999999998</v>
      </c>
    </row>
    <row r="971" spans="1:10">
      <c r="A971">
        <v>153</v>
      </c>
      <c r="B971">
        <v>9</v>
      </c>
      <c r="C971" t="s">
        <v>105</v>
      </c>
      <c r="D971">
        <v>-33.926818353563597</v>
      </c>
      <c r="E971">
        <v>18.8372438756113</v>
      </c>
      <c r="F971">
        <v>6.5750000000000003E-2</v>
      </c>
      <c r="G971">
        <v>0.1643</v>
      </c>
      <c r="H971">
        <v>9.8599999999999993E-2</v>
      </c>
      <c r="I971">
        <v>5997.6030000000001</v>
      </c>
      <c r="J971">
        <v>3508.61</v>
      </c>
    </row>
    <row r="972" spans="1:10">
      <c r="A972">
        <v>154</v>
      </c>
      <c r="B972">
        <v>9</v>
      </c>
      <c r="C972" t="s">
        <v>105</v>
      </c>
      <c r="D972">
        <v>-33.921984540264901</v>
      </c>
      <c r="E972">
        <v>18.843707548990899</v>
      </c>
      <c r="F972">
        <v>6.5750000000000003E-2</v>
      </c>
      <c r="G972">
        <v>0.1643</v>
      </c>
      <c r="H972">
        <v>9.8599999999999993E-2</v>
      </c>
      <c r="I972">
        <v>4631.18</v>
      </c>
      <c r="J972">
        <v>5913.9319999999998</v>
      </c>
    </row>
    <row r="973" spans="1:10">
      <c r="A973">
        <v>155</v>
      </c>
      <c r="B973">
        <v>9</v>
      </c>
      <c r="C973" t="s">
        <v>105</v>
      </c>
      <c r="D973">
        <v>-33.9251574387144</v>
      </c>
      <c r="E973">
        <v>18.838400415411499</v>
      </c>
      <c r="F973">
        <v>6.5750000000000003E-2</v>
      </c>
      <c r="G973">
        <v>0.1643</v>
      </c>
      <c r="H973">
        <v>9.8599999999999993E-2</v>
      </c>
      <c r="I973">
        <v>4810.1790000000001</v>
      </c>
      <c r="J973">
        <v>6369.0559999999996</v>
      </c>
    </row>
    <row r="974" spans="1:10">
      <c r="A974">
        <v>156</v>
      </c>
      <c r="B974">
        <v>9</v>
      </c>
      <c r="C974" t="s">
        <v>105</v>
      </c>
      <c r="D974">
        <v>-33.919576424827</v>
      </c>
      <c r="E974">
        <v>18.843412796540498</v>
      </c>
      <c r="F974">
        <v>6.5750000000000003E-2</v>
      </c>
      <c r="G974">
        <v>0.1643</v>
      </c>
      <c r="H974">
        <v>9.8599999999999993E-2</v>
      </c>
      <c r="I974">
        <v>4610.83</v>
      </c>
      <c r="J974">
        <v>6528.3710000000001</v>
      </c>
    </row>
    <row r="975" spans="1:10">
      <c r="A975">
        <v>157</v>
      </c>
      <c r="B975">
        <v>9</v>
      </c>
      <c r="C975" t="s">
        <v>105</v>
      </c>
      <c r="D975">
        <v>-33.924684189102102</v>
      </c>
      <c r="E975">
        <v>18.8430091277095</v>
      </c>
      <c r="F975">
        <v>6.5750000000000003E-2</v>
      </c>
      <c r="G975">
        <v>0.1643</v>
      </c>
      <c r="H975">
        <v>9.8599999999999993E-2</v>
      </c>
      <c r="I975">
        <v>4648.4110000000001</v>
      </c>
      <c r="J975">
        <v>6207.2870000000003</v>
      </c>
    </row>
    <row r="976" spans="1:10">
      <c r="A976">
        <v>158</v>
      </c>
      <c r="B976">
        <v>9</v>
      </c>
      <c r="C976" t="s">
        <v>105</v>
      </c>
      <c r="D976">
        <v>-33.921115228614703</v>
      </c>
      <c r="E976">
        <v>18.84187912849</v>
      </c>
      <c r="F976">
        <v>6.5750000000000003E-2</v>
      </c>
      <c r="G976">
        <v>0.1643</v>
      </c>
      <c r="H976">
        <v>9.8599999999999993E-2</v>
      </c>
      <c r="I976">
        <v>4487.3720000000003</v>
      </c>
      <c r="J976">
        <v>6046.2489999999998</v>
      </c>
    </row>
    <row r="977" spans="1:10">
      <c r="A977">
        <v>159</v>
      </c>
      <c r="B977">
        <v>9</v>
      </c>
      <c r="C977" t="s">
        <v>105</v>
      </c>
      <c r="D977">
        <v>-33.925872508875898</v>
      </c>
      <c r="E977">
        <v>18.836245285835499</v>
      </c>
      <c r="F977">
        <v>6.5750000000000003E-2</v>
      </c>
      <c r="G977">
        <v>0.1643</v>
      </c>
      <c r="H977">
        <v>9.8599999999999993E-2</v>
      </c>
      <c r="I977">
        <v>6068.7089999999998</v>
      </c>
      <c r="J977">
        <v>3579.7170000000001</v>
      </c>
    </row>
    <row r="978" spans="1:10">
      <c r="A978">
        <v>160</v>
      </c>
      <c r="B978">
        <v>9</v>
      </c>
      <c r="C978" t="s">
        <v>105</v>
      </c>
      <c r="D978">
        <v>-33.924125151900597</v>
      </c>
      <c r="E978">
        <v>18.843438650186101</v>
      </c>
      <c r="F978">
        <v>6.5750000000000003E-2</v>
      </c>
      <c r="G978">
        <v>0.1643</v>
      </c>
      <c r="H978">
        <v>9.8599999999999993E-2</v>
      </c>
      <c r="I978">
        <v>4085.6759999999999</v>
      </c>
      <c r="J978">
        <v>5644.5529999999999</v>
      </c>
    </row>
    <row r="979" spans="1:10">
      <c r="A979">
        <v>161</v>
      </c>
      <c r="B979">
        <v>9</v>
      </c>
      <c r="C979" t="s">
        <v>105</v>
      </c>
      <c r="D979">
        <v>-33.9236807039646</v>
      </c>
      <c r="E979">
        <v>18.844728671416199</v>
      </c>
      <c r="F979">
        <v>6.5750000000000003E-2</v>
      </c>
      <c r="G979">
        <v>0.1643</v>
      </c>
      <c r="H979">
        <v>9.8599999999999993E-2</v>
      </c>
      <c r="I979">
        <v>4025.8989999999999</v>
      </c>
      <c r="J979">
        <v>5584.7759999999998</v>
      </c>
    </row>
    <row r="980" spans="1:10">
      <c r="A980">
        <v>162</v>
      </c>
      <c r="B980">
        <v>9</v>
      </c>
      <c r="C980" t="s">
        <v>105</v>
      </c>
      <c r="D980">
        <v>-33.923008748017601</v>
      </c>
      <c r="E980">
        <v>18.844613081331602</v>
      </c>
      <c r="F980">
        <v>6.5750000000000003E-2</v>
      </c>
      <c r="G980">
        <v>0.1643</v>
      </c>
      <c r="H980">
        <v>9.8599999999999993E-2</v>
      </c>
      <c r="I980">
        <v>3913.4169999999999</v>
      </c>
      <c r="J980">
        <v>5472.2929999999997</v>
      </c>
    </row>
    <row r="981" spans="1:10">
      <c r="A981">
        <v>163</v>
      </c>
      <c r="B981">
        <v>9</v>
      </c>
      <c r="C981" t="s">
        <v>105</v>
      </c>
      <c r="D981">
        <v>-33.926998320735201</v>
      </c>
      <c r="E981">
        <v>18.841710673566698</v>
      </c>
      <c r="F981">
        <v>6.5750000000000003E-2</v>
      </c>
      <c r="G981">
        <v>0.1643</v>
      </c>
      <c r="H981">
        <v>9.8599999999999993E-2</v>
      </c>
      <c r="I981">
        <v>4203.5469999999996</v>
      </c>
      <c r="J981">
        <v>5762.4229999999998</v>
      </c>
    </row>
    <row r="982" spans="1:10">
      <c r="A982">
        <v>164</v>
      </c>
      <c r="B982">
        <v>9</v>
      </c>
      <c r="C982" t="s">
        <v>105</v>
      </c>
      <c r="D982">
        <v>-33.920419800827403</v>
      </c>
      <c r="E982">
        <v>18.844263246961599</v>
      </c>
      <c r="F982">
        <v>6.5750000000000003E-2</v>
      </c>
      <c r="G982">
        <v>0.1643</v>
      </c>
      <c r="H982">
        <v>9.8599999999999993E-2</v>
      </c>
      <c r="I982">
        <v>4538.8620000000001</v>
      </c>
      <c r="J982">
        <v>6456.4030000000002</v>
      </c>
    </row>
    <row r="983" spans="1:10">
      <c r="A983">
        <v>165</v>
      </c>
      <c r="B983">
        <v>9</v>
      </c>
      <c r="C983" t="s">
        <v>105</v>
      </c>
      <c r="D983">
        <v>-33.923172640736503</v>
      </c>
      <c r="E983">
        <v>18.840212938446601</v>
      </c>
      <c r="F983">
        <v>6.5750000000000003E-2</v>
      </c>
      <c r="G983">
        <v>0.1643</v>
      </c>
      <c r="H983">
        <v>9.8599999999999993E-2</v>
      </c>
      <c r="I983">
        <v>4600.152</v>
      </c>
      <c r="J983">
        <v>6159.0290000000005</v>
      </c>
    </row>
    <row r="984" spans="1:10">
      <c r="A984">
        <v>166</v>
      </c>
      <c r="B984">
        <v>9</v>
      </c>
      <c r="C984" t="s">
        <v>105</v>
      </c>
      <c r="D984">
        <v>-33.9217535110418</v>
      </c>
      <c r="E984">
        <v>18.843557716402199</v>
      </c>
      <c r="F984">
        <v>6.5750000000000003E-2</v>
      </c>
      <c r="G984">
        <v>0.1643</v>
      </c>
      <c r="H984">
        <v>9.8599999999999993E-2</v>
      </c>
      <c r="I984">
        <v>4619.0969999999998</v>
      </c>
      <c r="J984">
        <v>5905.8389999999999</v>
      </c>
    </row>
    <row r="985" spans="1:10">
      <c r="A985">
        <v>167</v>
      </c>
      <c r="B985">
        <v>9</v>
      </c>
      <c r="C985" t="s">
        <v>105</v>
      </c>
      <c r="D985">
        <v>-33.920615137706598</v>
      </c>
      <c r="E985">
        <v>18.842860890483699</v>
      </c>
      <c r="F985">
        <v>6.5750000000000003E-2</v>
      </c>
      <c r="G985">
        <v>0.1643</v>
      </c>
      <c r="H985">
        <v>9.8599999999999993E-2</v>
      </c>
      <c r="I985">
        <v>4800.402</v>
      </c>
      <c r="J985">
        <v>6087.1440000000002</v>
      </c>
    </row>
    <row r="986" spans="1:10">
      <c r="A986">
        <v>168</v>
      </c>
      <c r="B986">
        <v>9</v>
      </c>
      <c r="C986" t="s">
        <v>105</v>
      </c>
      <c r="D986">
        <v>-33.922004305469699</v>
      </c>
      <c r="E986">
        <v>18.838990161132902</v>
      </c>
      <c r="F986">
        <v>6.5750000000000003E-2</v>
      </c>
      <c r="G986">
        <v>0.1643</v>
      </c>
      <c r="H986">
        <v>9.8599999999999993E-2</v>
      </c>
      <c r="I986">
        <v>4738.7839999999997</v>
      </c>
      <c r="J986">
        <v>6297.6610000000001</v>
      </c>
    </row>
    <row r="987" spans="1:10">
      <c r="A987">
        <v>169</v>
      </c>
      <c r="B987">
        <v>9</v>
      </c>
      <c r="C987" t="s">
        <v>105</v>
      </c>
      <c r="D987">
        <v>-33.923308216093901</v>
      </c>
      <c r="E987">
        <v>18.843887945275998</v>
      </c>
      <c r="F987">
        <v>6.5750000000000003E-2</v>
      </c>
      <c r="G987">
        <v>0.1643</v>
      </c>
      <c r="H987">
        <v>9.8599999999999993E-2</v>
      </c>
      <c r="I987">
        <v>4080.82</v>
      </c>
      <c r="J987">
        <v>5639.6970000000001</v>
      </c>
    </row>
    <row r="988" spans="1:10">
      <c r="A988">
        <v>170</v>
      </c>
      <c r="B988">
        <v>9</v>
      </c>
      <c r="C988" t="s">
        <v>105</v>
      </c>
      <c r="D988">
        <v>-33.923941580514999</v>
      </c>
      <c r="E988">
        <v>18.840567503037398</v>
      </c>
      <c r="F988">
        <v>6.5750000000000003E-2</v>
      </c>
      <c r="G988">
        <v>0.1643</v>
      </c>
      <c r="H988">
        <v>9.8599999999999993E-2</v>
      </c>
      <c r="I988">
        <v>4547.2820000000002</v>
      </c>
      <c r="J988">
        <v>6106.1589999999997</v>
      </c>
    </row>
    <row r="989" spans="1:10">
      <c r="A989">
        <v>171</v>
      </c>
      <c r="B989">
        <v>9</v>
      </c>
      <c r="C989" t="s">
        <v>105</v>
      </c>
      <c r="D989">
        <v>-33.926652538153299</v>
      </c>
      <c r="E989">
        <v>18.840978734348798</v>
      </c>
      <c r="F989">
        <v>6.5750000000000003E-2</v>
      </c>
      <c r="G989">
        <v>0.1643</v>
      </c>
      <c r="H989">
        <v>9.8599999999999993E-2</v>
      </c>
      <c r="I989">
        <v>4795.6570000000002</v>
      </c>
      <c r="J989">
        <v>6354.5339999999997</v>
      </c>
    </row>
    <row r="990" spans="1:10">
      <c r="A990">
        <v>172</v>
      </c>
      <c r="B990">
        <v>9</v>
      </c>
      <c r="C990" t="s">
        <v>105</v>
      </c>
      <c r="D990">
        <v>-33.921613692167902</v>
      </c>
      <c r="E990">
        <v>18.842833420585801</v>
      </c>
      <c r="F990">
        <v>6.5750000000000003E-2</v>
      </c>
      <c r="G990">
        <v>0.1643</v>
      </c>
      <c r="H990">
        <v>9.8599999999999993E-2</v>
      </c>
      <c r="I990">
        <v>4691.5780000000004</v>
      </c>
      <c r="J990">
        <v>5942.942</v>
      </c>
    </row>
    <row r="991" spans="1:10">
      <c r="A991">
        <v>173</v>
      </c>
      <c r="B991">
        <v>9</v>
      </c>
      <c r="C991" t="s">
        <v>105</v>
      </c>
      <c r="D991">
        <v>-33.9270752555041</v>
      </c>
      <c r="E991">
        <v>18.8435121611802</v>
      </c>
      <c r="F991">
        <v>6.5750000000000003E-2</v>
      </c>
      <c r="G991">
        <v>0.1643</v>
      </c>
      <c r="H991">
        <v>9.8599999999999993E-2</v>
      </c>
      <c r="I991">
        <v>4121.3890000000001</v>
      </c>
      <c r="J991">
        <v>5680.2659999999996</v>
      </c>
    </row>
    <row r="992" spans="1:10">
      <c r="A992">
        <v>174</v>
      </c>
      <c r="B992">
        <v>9</v>
      </c>
      <c r="C992" t="s">
        <v>105</v>
      </c>
      <c r="D992">
        <v>-33.923770507178297</v>
      </c>
      <c r="E992">
        <v>18.8386342847656</v>
      </c>
      <c r="F992">
        <v>6.5750000000000003E-2</v>
      </c>
      <c r="G992">
        <v>0.1643</v>
      </c>
      <c r="H992">
        <v>9.8599999999999993E-2</v>
      </c>
      <c r="I992">
        <v>4819.4129999999996</v>
      </c>
      <c r="J992">
        <v>6378.29</v>
      </c>
    </row>
    <row r="993" spans="1:10">
      <c r="A993">
        <v>175</v>
      </c>
      <c r="B993">
        <v>9</v>
      </c>
      <c r="C993" t="s">
        <v>105</v>
      </c>
      <c r="D993">
        <v>-33.9199994566385</v>
      </c>
      <c r="E993">
        <v>18.8393176108593</v>
      </c>
      <c r="F993">
        <v>6.5750000000000003E-2</v>
      </c>
      <c r="G993">
        <v>0.1643</v>
      </c>
      <c r="H993">
        <v>9.8599999999999993E-2</v>
      </c>
      <c r="I993">
        <v>4786.8729999999996</v>
      </c>
      <c r="J993">
        <v>6345.75</v>
      </c>
    </row>
    <row r="994" spans="1:10">
      <c r="A994">
        <v>176</v>
      </c>
      <c r="B994">
        <v>9</v>
      </c>
      <c r="C994" t="s">
        <v>105</v>
      </c>
      <c r="D994">
        <v>-33.923494824409403</v>
      </c>
      <c r="E994">
        <v>18.8432970976673</v>
      </c>
      <c r="F994">
        <v>6.5750000000000003E-2</v>
      </c>
      <c r="G994">
        <v>0.1643</v>
      </c>
      <c r="H994">
        <v>9.8599999999999993E-2</v>
      </c>
      <c r="I994">
        <v>4115.2719999999999</v>
      </c>
      <c r="J994">
        <v>5674.1490000000003</v>
      </c>
    </row>
    <row r="995" spans="1:10">
      <c r="A995">
        <v>177</v>
      </c>
      <c r="B995">
        <v>9</v>
      </c>
      <c r="C995" t="s">
        <v>105</v>
      </c>
      <c r="D995">
        <v>-33.922155141366602</v>
      </c>
      <c r="E995">
        <v>18.844300132060798</v>
      </c>
      <c r="F995">
        <v>6.5750000000000003E-2</v>
      </c>
      <c r="G995">
        <v>0.1643</v>
      </c>
      <c r="H995">
        <v>9.8599999999999993E-2</v>
      </c>
      <c r="I995">
        <v>4599.6189999999997</v>
      </c>
      <c r="J995">
        <v>5860.7920000000004</v>
      </c>
    </row>
    <row r="996" spans="1:10">
      <c r="A996">
        <v>178</v>
      </c>
      <c r="B996">
        <v>9</v>
      </c>
      <c r="C996" t="s">
        <v>105</v>
      </c>
      <c r="D996">
        <v>-33.924272981708398</v>
      </c>
      <c r="E996">
        <v>18.836881498058698</v>
      </c>
      <c r="F996">
        <v>6.5750000000000003E-2</v>
      </c>
      <c r="G996">
        <v>0.1643</v>
      </c>
      <c r="H996">
        <v>9.8599999999999993E-2</v>
      </c>
      <c r="I996">
        <v>4979.95</v>
      </c>
      <c r="J996">
        <v>6538.8270000000002</v>
      </c>
    </row>
    <row r="997" spans="1:10">
      <c r="A997">
        <v>179</v>
      </c>
      <c r="B997">
        <v>9</v>
      </c>
      <c r="C997" t="s">
        <v>105</v>
      </c>
      <c r="D997">
        <v>-33.925512037997201</v>
      </c>
      <c r="E997">
        <v>18.841472911515201</v>
      </c>
      <c r="F997">
        <v>6.5750000000000003E-2</v>
      </c>
      <c r="G997">
        <v>0.1643</v>
      </c>
      <c r="H997">
        <v>9.8599999999999993E-2</v>
      </c>
      <c r="I997">
        <v>4677.7160000000003</v>
      </c>
      <c r="J997">
        <v>6236.5929999999998</v>
      </c>
    </row>
    <row r="998" spans="1:10">
      <c r="A998">
        <v>180</v>
      </c>
      <c r="B998">
        <v>9</v>
      </c>
      <c r="C998" t="s">
        <v>105</v>
      </c>
      <c r="D998">
        <v>-33.9248349601841</v>
      </c>
      <c r="E998">
        <v>18.836650409835201</v>
      </c>
      <c r="F998">
        <v>6.5750000000000003E-2</v>
      </c>
      <c r="G998">
        <v>0.1643</v>
      </c>
      <c r="H998">
        <v>9.8599999999999993E-2</v>
      </c>
      <c r="I998">
        <v>4961.0739999999996</v>
      </c>
      <c r="J998">
        <v>6519.951</v>
      </c>
    </row>
    <row r="999" spans="1:10">
      <c r="A999">
        <v>181</v>
      </c>
      <c r="B999">
        <v>9</v>
      </c>
      <c r="C999" t="s">
        <v>105</v>
      </c>
      <c r="D999">
        <v>-33.925734572528199</v>
      </c>
      <c r="E999">
        <v>18.844877863168101</v>
      </c>
      <c r="F999">
        <v>6.5750000000000003E-2</v>
      </c>
      <c r="G999">
        <v>0.1643</v>
      </c>
      <c r="H999">
        <v>9.8599999999999993E-2</v>
      </c>
      <c r="I999">
        <v>3997.895</v>
      </c>
      <c r="J999">
        <v>5556.7719999999999</v>
      </c>
    </row>
    <row r="1000" spans="1:10">
      <c r="A1000">
        <v>182</v>
      </c>
      <c r="B1000">
        <v>9</v>
      </c>
      <c r="C1000" t="s">
        <v>105</v>
      </c>
      <c r="D1000">
        <v>-33.9215142970383</v>
      </c>
      <c r="E1000">
        <v>18.842956401188399</v>
      </c>
      <c r="F1000">
        <v>6.5750000000000003E-2</v>
      </c>
      <c r="G1000">
        <v>0.1643</v>
      </c>
      <c r="H1000">
        <v>9.8599999999999993E-2</v>
      </c>
      <c r="I1000">
        <v>4693.04</v>
      </c>
      <c r="J1000">
        <v>5944.4030000000002</v>
      </c>
    </row>
    <row r="1001" spans="1:10">
      <c r="A1001">
        <v>183</v>
      </c>
      <c r="B1001">
        <v>9</v>
      </c>
      <c r="C1001" t="s">
        <v>105</v>
      </c>
      <c r="D1001">
        <v>-33.920559303933103</v>
      </c>
      <c r="E1001">
        <v>18.837147649756901</v>
      </c>
      <c r="F1001">
        <v>6.5750000000000003E-2</v>
      </c>
      <c r="G1001">
        <v>0.1643</v>
      </c>
      <c r="H1001">
        <v>9.8599999999999993E-2</v>
      </c>
      <c r="I1001">
        <v>4889.9620000000004</v>
      </c>
      <c r="J1001">
        <v>6448.8389999999999</v>
      </c>
    </row>
    <row r="1002" spans="1:10">
      <c r="A1002">
        <v>184</v>
      </c>
      <c r="B1002">
        <v>9</v>
      </c>
      <c r="C1002" t="s">
        <v>105</v>
      </c>
      <c r="D1002">
        <v>-33.921538121733001</v>
      </c>
      <c r="E1002">
        <v>18.8395733250169</v>
      </c>
      <c r="F1002">
        <v>6.5750000000000003E-2</v>
      </c>
      <c r="G1002">
        <v>0.1643</v>
      </c>
      <c r="H1002">
        <v>9.8599999999999993E-2</v>
      </c>
      <c r="I1002">
        <v>4715.0820000000003</v>
      </c>
      <c r="J1002">
        <v>6273.9589999999998</v>
      </c>
    </row>
    <row r="1003" spans="1:10">
      <c r="A1003">
        <v>185</v>
      </c>
      <c r="B1003">
        <v>9</v>
      </c>
      <c r="C1003" t="s">
        <v>105</v>
      </c>
      <c r="D1003">
        <v>-33.9219951379471</v>
      </c>
      <c r="E1003">
        <v>18.8384149593311</v>
      </c>
      <c r="F1003">
        <v>6.5750000000000003E-2</v>
      </c>
      <c r="G1003">
        <v>0.1643</v>
      </c>
      <c r="H1003">
        <v>9.8599999999999993E-2</v>
      </c>
      <c r="I1003">
        <v>4699.9260000000004</v>
      </c>
      <c r="J1003">
        <v>6258.8019999999997</v>
      </c>
    </row>
    <row r="1004" spans="1:10">
      <c r="A1004">
        <v>186</v>
      </c>
      <c r="B1004">
        <v>9</v>
      </c>
      <c r="C1004" t="s">
        <v>105</v>
      </c>
      <c r="D1004">
        <v>-33.926997625164802</v>
      </c>
      <c r="E1004">
        <v>18.836145310341799</v>
      </c>
      <c r="F1004">
        <v>6.5750000000000003E-2</v>
      </c>
      <c r="G1004">
        <v>0.1643</v>
      </c>
      <c r="H1004">
        <v>9.8599999999999993E-2</v>
      </c>
      <c r="I1004">
        <v>5832.6570000000002</v>
      </c>
      <c r="J1004">
        <v>3343.665</v>
      </c>
    </row>
    <row r="1005" spans="1:10">
      <c r="A1005">
        <v>187</v>
      </c>
      <c r="B1005">
        <v>9</v>
      </c>
      <c r="C1005" t="s">
        <v>105</v>
      </c>
      <c r="D1005">
        <v>-33.921306631609298</v>
      </c>
      <c r="E1005">
        <v>18.841987355436</v>
      </c>
      <c r="F1005">
        <v>6.5750000000000003E-2</v>
      </c>
      <c r="G1005">
        <v>0.1643</v>
      </c>
      <c r="H1005">
        <v>9.8599999999999993E-2</v>
      </c>
      <c r="I1005">
        <v>4452.57</v>
      </c>
      <c r="J1005">
        <v>6011.4470000000001</v>
      </c>
    </row>
    <row r="1006" spans="1:10">
      <c r="A1006">
        <v>188</v>
      </c>
      <c r="B1006">
        <v>9</v>
      </c>
      <c r="C1006" t="s">
        <v>105</v>
      </c>
      <c r="D1006">
        <v>-33.926469277512503</v>
      </c>
      <c r="E1006">
        <v>18.8448576774373</v>
      </c>
      <c r="F1006">
        <v>6.5750000000000003E-2</v>
      </c>
      <c r="G1006">
        <v>0.1643</v>
      </c>
      <c r="H1006">
        <v>9.8599999999999993E-2</v>
      </c>
      <c r="I1006">
        <v>3995.9259999999999</v>
      </c>
      <c r="J1006">
        <v>5554.8029999999999</v>
      </c>
    </row>
    <row r="1007" spans="1:10">
      <c r="A1007">
        <v>189</v>
      </c>
      <c r="B1007">
        <v>9</v>
      </c>
      <c r="C1007" t="s">
        <v>105</v>
      </c>
      <c r="D1007">
        <v>-33.925920701258697</v>
      </c>
      <c r="E1007">
        <v>18.843378522626899</v>
      </c>
      <c r="F1007">
        <v>6.5750000000000003E-2</v>
      </c>
      <c r="G1007">
        <v>0.1643</v>
      </c>
      <c r="H1007">
        <v>9.8599999999999993E-2</v>
      </c>
      <c r="I1007">
        <v>4105.3029999999999</v>
      </c>
      <c r="J1007">
        <v>5664.18</v>
      </c>
    </row>
    <row r="1008" spans="1:10">
      <c r="A1008">
        <v>190</v>
      </c>
      <c r="B1008">
        <v>9</v>
      </c>
      <c r="C1008" t="s">
        <v>105</v>
      </c>
      <c r="D1008">
        <v>-33.921357104490497</v>
      </c>
      <c r="E1008">
        <v>18.836786842927701</v>
      </c>
      <c r="F1008">
        <v>6.5750000000000003E-2</v>
      </c>
      <c r="G1008">
        <v>0.1643</v>
      </c>
      <c r="H1008">
        <v>9.8599999999999993E-2</v>
      </c>
      <c r="I1008">
        <v>5105.1080000000002</v>
      </c>
      <c r="J1008">
        <v>6663.9849999999997</v>
      </c>
    </row>
    <row r="1009" spans="1:10">
      <c r="A1009">
        <v>191</v>
      </c>
      <c r="B1009">
        <v>9</v>
      </c>
      <c r="C1009" t="s">
        <v>105</v>
      </c>
      <c r="D1009">
        <v>-33.924057045827801</v>
      </c>
      <c r="E1009">
        <v>18.844799226627899</v>
      </c>
      <c r="F1009">
        <v>6.5750000000000003E-2</v>
      </c>
      <c r="G1009">
        <v>0.1643</v>
      </c>
      <c r="H1009">
        <v>9.8599999999999993E-2</v>
      </c>
      <c r="I1009">
        <v>3895.8760000000002</v>
      </c>
      <c r="J1009">
        <v>5454.7529999999997</v>
      </c>
    </row>
    <row r="1010" spans="1:10">
      <c r="A1010">
        <v>192</v>
      </c>
      <c r="B1010">
        <v>9</v>
      </c>
      <c r="C1010" t="s">
        <v>105</v>
      </c>
      <c r="D1010">
        <v>-33.924926336550897</v>
      </c>
      <c r="E1010">
        <v>18.841178789746198</v>
      </c>
      <c r="F1010">
        <v>6.5750000000000003E-2</v>
      </c>
      <c r="G1010">
        <v>0.1643</v>
      </c>
      <c r="H1010">
        <v>9.8599999999999993E-2</v>
      </c>
      <c r="I1010">
        <v>4622.1819999999998</v>
      </c>
      <c r="J1010">
        <v>6181.0590000000002</v>
      </c>
    </row>
    <row r="1011" spans="1:10">
      <c r="A1011">
        <v>193</v>
      </c>
      <c r="B1011">
        <v>9</v>
      </c>
      <c r="C1011" t="s">
        <v>105</v>
      </c>
      <c r="D1011">
        <v>-33.923942598899899</v>
      </c>
      <c r="E1011">
        <v>18.8438938088828</v>
      </c>
      <c r="F1011">
        <v>6.5750000000000003E-2</v>
      </c>
      <c r="G1011">
        <v>0.1643</v>
      </c>
      <c r="H1011">
        <v>9.8599999999999993E-2</v>
      </c>
      <c r="I1011">
        <v>4024.97</v>
      </c>
      <c r="J1011">
        <v>5583.8459999999995</v>
      </c>
    </row>
    <row r="1012" spans="1:10">
      <c r="A1012">
        <v>194</v>
      </c>
      <c r="B1012">
        <v>9</v>
      </c>
      <c r="C1012" t="s">
        <v>105</v>
      </c>
      <c r="D1012">
        <v>-33.925458741770797</v>
      </c>
      <c r="E1012">
        <v>18.837508168672599</v>
      </c>
      <c r="F1012">
        <v>6.5750000000000003E-2</v>
      </c>
      <c r="G1012">
        <v>0.1643</v>
      </c>
      <c r="H1012">
        <v>9.8599999999999993E-2</v>
      </c>
      <c r="I1012">
        <v>4850.9040000000005</v>
      </c>
      <c r="J1012">
        <v>6409.7809999999999</v>
      </c>
    </row>
    <row r="1013" spans="1:10">
      <c r="A1013">
        <v>195</v>
      </c>
      <c r="B1013">
        <v>9</v>
      </c>
      <c r="C1013" t="s">
        <v>105</v>
      </c>
      <c r="D1013">
        <v>-33.919450322257497</v>
      </c>
      <c r="E1013">
        <v>18.844400538984502</v>
      </c>
      <c r="F1013">
        <v>6.5750000000000003E-2</v>
      </c>
      <c r="G1013">
        <v>0.1643</v>
      </c>
      <c r="H1013">
        <v>9.8599999999999993E-2</v>
      </c>
      <c r="I1013">
        <v>4483.9440000000004</v>
      </c>
      <c r="J1013">
        <v>6401.4849999999997</v>
      </c>
    </row>
    <row r="1014" spans="1:10">
      <c r="A1014">
        <v>196</v>
      </c>
      <c r="B1014">
        <v>9</v>
      </c>
      <c r="C1014" t="s">
        <v>105</v>
      </c>
      <c r="D1014">
        <v>-33.9217799564369</v>
      </c>
      <c r="E1014">
        <v>18.8391526037604</v>
      </c>
      <c r="F1014">
        <v>6.5750000000000003E-2</v>
      </c>
      <c r="G1014">
        <v>0.1643</v>
      </c>
      <c r="H1014">
        <v>9.8599999999999993E-2</v>
      </c>
      <c r="I1014">
        <v>4647.7920000000004</v>
      </c>
      <c r="J1014">
        <v>6206.6679999999997</v>
      </c>
    </row>
    <row r="1015" spans="1:10">
      <c r="A1015">
        <v>197</v>
      </c>
      <c r="B1015">
        <v>9</v>
      </c>
      <c r="C1015" t="s">
        <v>105</v>
      </c>
      <c r="D1015">
        <v>-33.925062650552299</v>
      </c>
      <c r="E1015">
        <v>18.839736640160499</v>
      </c>
      <c r="F1015">
        <v>6.5750000000000003E-2</v>
      </c>
      <c r="G1015">
        <v>0.1643</v>
      </c>
      <c r="H1015">
        <v>9.8599999999999993E-2</v>
      </c>
      <c r="I1015">
        <v>4689.6850000000004</v>
      </c>
      <c r="J1015">
        <v>6248.5619999999999</v>
      </c>
    </row>
    <row r="1016" spans="1:10">
      <c r="A1016">
        <v>198</v>
      </c>
      <c r="B1016">
        <v>9</v>
      </c>
      <c r="C1016" t="s">
        <v>105</v>
      </c>
      <c r="D1016">
        <v>-33.923589124830499</v>
      </c>
      <c r="E1016">
        <v>18.8407592704244</v>
      </c>
      <c r="F1016">
        <v>6.5750000000000003E-2</v>
      </c>
      <c r="G1016">
        <v>0.1643</v>
      </c>
      <c r="H1016">
        <v>9.8599999999999993E-2</v>
      </c>
      <c r="I1016">
        <v>4531.723</v>
      </c>
      <c r="J1016">
        <v>6090.5990000000002</v>
      </c>
    </row>
    <row r="1017" spans="1:10">
      <c r="A1017">
        <v>199</v>
      </c>
      <c r="B1017">
        <v>9</v>
      </c>
      <c r="C1017" t="s">
        <v>105</v>
      </c>
      <c r="D1017">
        <v>-33.920119904723201</v>
      </c>
      <c r="E1017">
        <v>18.8383013136194</v>
      </c>
      <c r="F1017">
        <v>6.5750000000000003E-2</v>
      </c>
      <c r="G1017">
        <v>0.1643</v>
      </c>
      <c r="H1017">
        <v>9.8599999999999993E-2</v>
      </c>
      <c r="I1017">
        <v>4882.6139999999996</v>
      </c>
      <c r="J1017">
        <v>6441.49</v>
      </c>
    </row>
    <row r="1018" spans="1:10">
      <c r="A1018">
        <v>200</v>
      </c>
      <c r="B1018">
        <v>9</v>
      </c>
      <c r="C1018" t="s">
        <v>105</v>
      </c>
      <c r="D1018">
        <v>-33.925841161694201</v>
      </c>
      <c r="E1018">
        <v>18.837003318564701</v>
      </c>
      <c r="F1018">
        <v>6.5750000000000003E-2</v>
      </c>
      <c r="G1018">
        <v>0.1643</v>
      </c>
      <c r="H1018">
        <v>9.8599999999999993E-2</v>
      </c>
      <c r="I1018">
        <v>6093.8860000000004</v>
      </c>
      <c r="J1018">
        <v>3604.8939999999998</v>
      </c>
    </row>
    <row r="1019" spans="1:10">
      <c r="A1019">
        <v>201</v>
      </c>
      <c r="B1019">
        <v>9</v>
      </c>
      <c r="C1019" t="s">
        <v>105</v>
      </c>
      <c r="D1019">
        <v>-33.920493981254701</v>
      </c>
      <c r="E1019">
        <v>18.841492577397499</v>
      </c>
      <c r="F1019">
        <v>6.5750000000000003E-2</v>
      </c>
      <c r="G1019">
        <v>0.1643</v>
      </c>
      <c r="H1019">
        <v>9.8599999999999993E-2</v>
      </c>
      <c r="I1019">
        <v>4900.598</v>
      </c>
      <c r="J1019">
        <v>6170.7269999999999</v>
      </c>
    </row>
    <row r="1020" spans="1:10">
      <c r="A1020">
        <v>202</v>
      </c>
      <c r="B1020">
        <v>9</v>
      </c>
      <c r="C1020" t="s">
        <v>105</v>
      </c>
      <c r="D1020">
        <v>-33.919891948234103</v>
      </c>
      <c r="E1020">
        <v>18.838180209565898</v>
      </c>
      <c r="F1020">
        <v>6.5750000000000003E-2</v>
      </c>
      <c r="G1020">
        <v>0.1643</v>
      </c>
      <c r="H1020">
        <v>9.8599999999999993E-2</v>
      </c>
      <c r="I1020">
        <v>4892.4279999999999</v>
      </c>
      <c r="J1020">
        <v>6451.3050000000003</v>
      </c>
    </row>
    <row r="1021" spans="1:10">
      <c r="A1021">
        <v>203</v>
      </c>
      <c r="B1021">
        <v>9</v>
      </c>
      <c r="C1021" t="s">
        <v>105</v>
      </c>
      <c r="D1021">
        <v>-33.926567633662202</v>
      </c>
      <c r="E1021">
        <v>18.838786243063499</v>
      </c>
      <c r="F1021">
        <v>6.5750000000000003E-2</v>
      </c>
      <c r="G1021">
        <v>0.1643</v>
      </c>
      <c r="H1021">
        <v>9.8599999999999993E-2</v>
      </c>
      <c r="I1021">
        <v>6009.6350000000002</v>
      </c>
      <c r="J1021">
        <v>3520.643</v>
      </c>
    </row>
    <row r="1022" spans="1:10">
      <c r="A1022">
        <v>204</v>
      </c>
      <c r="B1022">
        <v>9</v>
      </c>
      <c r="C1022" t="s">
        <v>105</v>
      </c>
      <c r="D1022">
        <v>-33.922936776732399</v>
      </c>
      <c r="E1022">
        <v>18.836966536698299</v>
      </c>
      <c r="F1022">
        <v>6.5750000000000003E-2</v>
      </c>
      <c r="G1022">
        <v>0.1643</v>
      </c>
      <c r="H1022">
        <v>9.8599999999999993E-2</v>
      </c>
      <c r="I1022">
        <v>5029.8140000000003</v>
      </c>
      <c r="J1022">
        <v>6588.6909999999998</v>
      </c>
    </row>
    <row r="1023" spans="1:10">
      <c r="A1023">
        <v>205</v>
      </c>
      <c r="B1023">
        <v>9</v>
      </c>
      <c r="C1023" t="s">
        <v>105</v>
      </c>
      <c r="D1023">
        <v>-33.922099656897203</v>
      </c>
      <c r="E1023">
        <v>18.841997849162802</v>
      </c>
      <c r="F1023">
        <v>6.5750000000000003E-2</v>
      </c>
      <c r="G1023">
        <v>0.1643</v>
      </c>
      <c r="H1023">
        <v>9.8599999999999993E-2</v>
      </c>
      <c r="I1023">
        <v>4370.0940000000001</v>
      </c>
      <c r="J1023">
        <v>5928.9709999999995</v>
      </c>
    </row>
    <row r="1024" spans="1:10">
      <c r="A1024">
        <v>206</v>
      </c>
      <c r="B1024">
        <v>9</v>
      </c>
      <c r="C1024" t="s">
        <v>105</v>
      </c>
      <c r="D1024">
        <v>-33.926092352676299</v>
      </c>
      <c r="E1024">
        <v>18.842926402196699</v>
      </c>
      <c r="F1024">
        <v>6.5750000000000003E-2</v>
      </c>
      <c r="G1024">
        <v>0.1643</v>
      </c>
      <c r="H1024">
        <v>9.8599999999999993E-2</v>
      </c>
      <c r="I1024">
        <v>4153.7330000000002</v>
      </c>
      <c r="J1024">
        <v>5712.61</v>
      </c>
    </row>
    <row r="1025" spans="1:10">
      <c r="A1025">
        <v>207</v>
      </c>
      <c r="B1025">
        <v>9</v>
      </c>
      <c r="C1025" t="s">
        <v>105</v>
      </c>
      <c r="D1025">
        <v>-33.9223362876957</v>
      </c>
      <c r="E1025">
        <v>18.8408308729718</v>
      </c>
      <c r="F1025">
        <v>6.5750000000000003E-2</v>
      </c>
      <c r="G1025">
        <v>0.1643</v>
      </c>
      <c r="H1025">
        <v>9.8599999999999993E-2</v>
      </c>
      <c r="I1025">
        <v>4569.2920000000004</v>
      </c>
      <c r="J1025">
        <v>6128.1689999999999</v>
      </c>
    </row>
    <row r="1026" spans="1:10">
      <c r="A1026">
        <v>208</v>
      </c>
      <c r="B1026">
        <v>9</v>
      </c>
      <c r="C1026" t="s">
        <v>105</v>
      </c>
      <c r="D1026">
        <v>-33.920852670717998</v>
      </c>
      <c r="E1026">
        <v>18.8368629175663</v>
      </c>
      <c r="F1026">
        <v>6.5750000000000003E-2</v>
      </c>
      <c r="G1026">
        <v>0.1643</v>
      </c>
      <c r="H1026">
        <v>9.8599999999999993E-2</v>
      </c>
      <c r="I1026">
        <v>4887.4189999999999</v>
      </c>
      <c r="J1026">
        <v>6446.2950000000001</v>
      </c>
    </row>
    <row r="1027" spans="1:10">
      <c r="A1027">
        <v>209</v>
      </c>
      <c r="B1027">
        <v>9</v>
      </c>
      <c r="C1027" t="s">
        <v>105</v>
      </c>
      <c r="D1027">
        <v>-33.925189132564398</v>
      </c>
      <c r="E1027">
        <v>18.839627038583298</v>
      </c>
      <c r="F1027">
        <v>6.5750000000000003E-2</v>
      </c>
      <c r="G1027">
        <v>0.1643</v>
      </c>
      <c r="H1027">
        <v>9.8599999999999993E-2</v>
      </c>
      <c r="I1027">
        <v>4706.8149999999996</v>
      </c>
      <c r="J1027">
        <v>6265.692</v>
      </c>
    </row>
    <row r="1028" spans="1:10">
      <c r="A1028">
        <v>210</v>
      </c>
      <c r="B1028">
        <v>9</v>
      </c>
      <c r="C1028" t="s">
        <v>105</v>
      </c>
      <c r="D1028">
        <v>-33.924069074610699</v>
      </c>
      <c r="E1028">
        <v>18.837156901248399</v>
      </c>
      <c r="F1028">
        <v>6.5750000000000003E-2</v>
      </c>
      <c r="G1028">
        <v>0.1643</v>
      </c>
      <c r="H1028">
        <v>9.8599999999999993E-2</v>
      </c>
      <c r="I1028">
        <v>4975.4539999999997</v>
      </c>
      <c r="J1028">
        <v>6534.3310000000001</v>
      </c>
    </row>
    <row r="1029" spans="1:10">
      <c r="A1029">
        <v>211</v>
      </c>
      <c r="B1029">
        <v>9</v>
      </c>
      <c r="C1029" t="s">
        <v>105</v>
      </c>
      <c r="D1029">
        <v>-33.926199937904002</v>
      </c>
      <c r="E1029">
        <v>18.844087044284102</v>
      </c>
      <c r="F1029">
        <v>6.5750000000000003E-2</v>
      </c>
      <c r="G1029">
        <v>0.1643</v>
      </c>
      <c r="H1029">
        <v>9.8599999999999993E-2</v>
      </c>
      <c r="I1029">
        <v>4071.1109999999999</v>
      </c>
      <c r="J1029">
        <v>5629.9880000000003</v>
      </c>
    </row>
    <row r="1030" spans="1:10">
      <c r="A1030">
        <v>212</v>
      </c>
      <c r="B1030">
        <v>9</v>
      </c>
      <c r="C1030" t="s">
        <v>105</v>
      </c>
      <c r="D1030">
        <v>-33.9196248138351</v>
      </c>
      <c r="E1030">
        <v>18.836847339865901</v>
      </c>
      <c r="F1030">
        <v>6.5750000000000003E-2</v>
      </c>
      <c r="G1030">
        <v>0.1643</v>
      </c>
      <c r="H1030">
        <v>9.8599999999999993E-2</v>
      </c>
      <c r="I1030">
        <v>5333.2479999999996</v>
      </c>
      <c r="J1030">
        <v>6607.3850000000002</v>
      </c>
    </row>
    <row r="1031" spans="1:10">
      <c r="A1031">
        <v>213</v>
      </c>
      <c r="B1031">
        <v>9</v>
      </c>
      <c r="C1031" t="s">
        <v>105</v>
      </c>
      <c r="D1031">
        <v>-33.9263525120179</v>
      </c>
      <c r="E1031">
        <v>18.837862528371598</v>
      </c>
      <c r="F1031">
        <v>6.5750000000000003E-2</v>
      </c>
      <c r="G1031">
        <v>0.1643</v>
      </c>
      <c r="H1031">
        <v>9.8599999999999993E-2</v>
      </c>
      <c r="I1031">
        <v>5998.85</v>
      </c>
      <c r="J1031">
        <v>3509.857</v>
      </c>
    </row>
    <row r="1032" spans="1:10">
      <c r="A1032">
        <v>214</v>
      </c>
      <c r="B1032">
        <v>9</v>
      </c>
      <c r="C1032" t="s">
        <v>105</v>
      </c>
      <c r="D1032">
        <v>-33.926034410543799</v>
      </c>
      <c r="E1032">
        <v>18.843600687646902</v>
      </c>
      <c r="F1032">
        <v>6.5750000000000003E-2</v>
      </c>
      <c r="G1032">
        <v>0.1643</v>
      </c>
      <c r="H1032">
        <v>9.8599999999999993E-2</v>
      </c>
      <c r="I1032">
        <v>4094.0569999999998</v>
      </c>
      <c r="J1032">
        <v>5652.9340000000002</v>
      </c>
    </row>
    <row r="1033" spans="1:10">
      <c r="A1033">
        <v>215</v>
      </c>
      <c r="B1033">
        <v>9</v>
      </c>
      <c r="C1033" t="s">
        <v>105</v>
      </c>
      <c r="D1033">
        <v>-33.923172114153402</v>
      </c>
      <c r="E1033">
        <v>18.844482591932501</v>
      </c>
      <c r="F1033">
        <v>6.5750000000000003E-2</v>
      </c>
      <c r="G1033">
        <v>0.1643</v>
      </c>
      <c r="H1033">
        <v>9.8599999999999993E-2</v>
      </c>
      <c r="I1033">
        <v>4055.9839999999999</v>
      </c>
      <c r="J1033">
        <v>5614.86</v>
      </c>
    </row>
    <row r="1034" spans="1:10">
      <c r="A1034">
        <v>216</v>
      </c>
      <c r="B1034">
        <v>9</v>
      </c>
      <c r="C1034" t="s">
        <v>105</v>
      </c>
      <c r="D1034">
        <v>-33.922018147708698</v>
      </c>
      <c r="E1034">
        <v>18.839108570706401</v>
      </c>
      <c r="F1034">
        <v>6.5750000000000003E-2</v>
      </c>
      <c r="G1034">
        <v>0.1643</v>
      </c>
      <c r="H1034">
        <v>9.8599999999999993E-2</v>
      </c>
      <c r="I1034">
        <v>4747.7049999999999</v>
      </c>
      <c r="J1034">
        <v>6306.5820000000003</v>
      </c>
    </row>
    <row r="1035" spans="1:10">
      <c r="A1035">
        <v>217</v>
      </c>
      <c r="B1035">
        <v>9</v>
      </c>
      <c r="C1035" t="s">
        <v>105</v>
      </c>
      <c r="D1035">
        <v>-33.9210926207368</v>
      </c>
      <c r="E1035">
        <v>18.8433707034938</v>
      </c>
      <c r="F1035">
        <v>6.5750000000000003E-2</v>
      </c>
      <c r="G1035">
        <v>0.1643</v>
      </c>
      <c r="H1035">
        <v>9.8599999999999993E-2</v>
      </c>
      <c r="I1035">
        <v>4756.4840000000004</v>
      </c>
      <c r="J1035">
        <v>6043.2259999999997</v>
      </c>
    </row>
    <row r="1036" spans="1:10">
      <c r="A1036">
        <v>218</v>
      </c>
      <c r="B1036">
        <v>9</v>
      </c>
      <c r="C1036" t="s">
        <v>105</v>
      </c>
      <c r="D1036">
        <v>-33.922441992747103</v>
      </c>
      <c r="E1036">
        <v>18.841165968203299</v>
      </c>
      <c r="F1036">
        <v>6.5750000000000003E-2</v>
      </c>
      <c r="G1036">
        <v>0.1643</v>
      </c>
      <c r="H1036">
        <v>9.8599999999999993E-2</v>
      </c>
      <c r="I1036">
        <v>4569.7719999999999</v>
      </c>
      <c r="J1036">
        <v>6128.6490000000003</v>
      </c>
    </row>
    <row r="1037" spans="1:10">
      <c r="A1037">
        <v>219</v>
      </c>
      <c r="B1037">
        <v>9</v>
      </c>
      <c r="C1037" t="s">
        <v>105</v>
      </c>
      <c r="D1037">
        <v>-33.923811783890997</v>
      </c>
      <c r="E1037">
        <v>18.844330300823099</v>
      </c>
      <c r="F1037">
        <v>6.5750000000000003E-2</v>
      </c>
      <c r="G1037">
        <v>0.1643</v>
      </c>
      <c r="H1037">
        <v>9.8599999999999993E-2</v>
      </c>
      <c r="I1037">
        <v>4012.92</v>
      </c>
      <c r="J1037">
        <v>5571.7969999999996</v>
      </c>
    </row>
    <row r="1038" spans="1:10">
      <c r="A1038">
        <v>220</v>
      </c>
      <c r="B1038">
        <v>9</v>
      </c>
      <c r="C1038" t="s">
        <v>105</v>
      </c>
      <c r="D1038">
        <v>-33.924793267217503</v>
      </c>
      <c r="E1038">
        <v>18.836074442153802</v>
      </c>
      <c r="F1038">
        <v>6.5750000000000003E-2</v>
      </c>
      <c r="G1038">
        <v>0.1643</v>
      </c>
      <c r="H1038">
        <v>9.8599999999999993E-2</v>
      </c>
      <c r="I1038">
        <v>4998.7250000000004</v>
      </c>
      <c r="J1038">
        <v>6557.6019999999999</v>
      </c>
    </row>
    <row r="1039" spans="1:10">
      <c r="A1039">
        <v>221</v>
      </c>
      <c r="B1039">
        <v>9</v>
      </c>
      <c r="C1039" t="s">
        <v>105</v>
      </c>
      <c r="D1039">
        <v>-33.924814891276498</v>
      </c>
      <c r="E1039">
        <v>18.840359912337199</v>
      </c>
      <c r="F1039">
        <v>6.5750000000000003E-2</v>
      </c>
      <c r="G1039">
        <v>0.1643</v>
      </c>
      <c r="H1039">
        <v>9.8599999999999993E-2</v>
      </c>
      <c r="I1039">
        <v>4623.5540000000001</v>
      </c>
      <c r="J1039">
        <v>6182.4309999999996</v>
      </c>
    </row>
    <row r="1040" spans="1:10">
      <c r="A1040">
        <v>222</v>
      </c>
      <c r="B1040">
        <v>9</v>
      </c>
      <c r="C1040" t="s">
        <v>105</v>
      </c>
      <c r="D1040">
        <v>-33.919582377155699</v>
      </c>
      <c r="E1040">
        <v>18.840187482020699</v>
      </c>
      <c r="F1040">
        <v>6.5750000000000003E-2</v>
      </c>
      <c r="G1040">
        <v>0.1643</v>
      </c>
      <c r="H1040">
        <v>9.8599999999999993E-2</v>
      </c>
      <c r="I1040">
        <v>5038.9229999999998</v>
      </c>
      <c r="J1040">
        <v>6317.4629999999997</v>
      </c>
    </row>
    <row r="1041" spans="1:10">
      <c r="A1041">
        <v>223</v>
      </c>
      <c r="B1041">
        <v>9</v>
      </c>
      <c r="C1041" t="s">
        <v>105</v>
      </c>
      <c r="D1041">
        <v>-33.926107143935603</v>
      </c>
      <c r="E1041">
        <v>18.840941120351602</v>
      </c>
      <c r="F1041">
        <v>6.5750000000000003E-2</v>
      </c>
      <c r="G1041">
        <v>0.1643</v>
      </c>
      <c r="H1041">
        <v>9.8599999999999993E-2</v>
      </c>
      <c r="I1041">
        <v>4747.63</v>
      </c>
      <c r="J1041">
        <v>6306.5069999999996</v>
      </c>
    </row>
    <row r="1042" spans="1:10">
      <c r="A1042">
        <v>224</v>
      </c>
      <c r="B1042">
        <v>9</v>
      </c>
      <c r="C1042" t="s">
        <v>105</v>
      </c>
      <c r="D1042">
        <v>-33.926400914699897</v>
      </c>
      <c r="E1042">
        <v>18.836017538180201</v>
      </c>
      <c r="F1042">
        <v>6.5750000000000003E-2</v>
      </c>
      <c r="G1042">
        <v>0.1643</v>
      </c>
      <c r="H1042">
        <v>9.8599999999999993E-2</v>
      </c>
      <c r="I1042">
        <v>6042.6130000000003</v>
      </c>
      <c r="J1042">
        <v>3553.6210000000001</v>
      </c>
    </row>
    <row r="1043" spans="1:10">
      <c r="A1043">
        <v>225</v>
      </c>
      <c r="B1043">
        <v>9</v>
      </c>
      <c r="C1043" t="s">
        <v>105</v>
      </c>
      <c r="D1043">
        <v>-33.926095060769697</v>
      </c>
      <c r="E1043">
        <v>18.843455183132502</v>
      </c>
      <c r="F1043">
        <v>6.5750000000000003E-2</v>
      </c>
      <c r="G1043">
        <v>0.1643</v>
      </c>
      <c r="H1043">
        <v>9.8599999999999993E-2</v>
      </c>
      <c r="I1043">
        <v>4109.3630000000003</v>
      </c>
      <c r="J1043">
        <v>5668.24</v>
      </c>
    </row>
    <row r="1044" spans="1:10">
      <c r="A1044">
        <v>226</v>
      </c>
      <c r="B1044">
        <v>9</v>
      </c>
      <c r="C1044" t="s">
        <v>105</v>
      </c>
      <c r="D1044">
        <v>-33.920346444810498</v>
      </c>
      <c r="E1044">
        <v>18.837276814292601</v>
      </c>
      <c r="F1044">
        <v>6.5750000000000003E-2</v>
      </c>
      <c r="G1044">
        <v>0.1643</v>
      </c>
      <c r="H1044">
        <v>9.8599999999999993E-2</v>
      </c>
      <c r="I1044">
        <v>4909.2110000000002</v>
      </c>
      <c r="J1044">
        <v>6468.0879999999997</v>
      </c>
    </row>
    <row r="1045" spans="1:10">
      <c r="A1045">
        <v>227</v>
      </c>
      <c r="B1045">
        <v>9</v>
      </c>
      <c r="C1045" t="s">
        <v>105</v>
      </c>
      <c r="D1045">
        <v>-33.9264572247356</v>
      </c>
      <c r="E1045">
        <v>18.8426366375184</v>
      </c>
      <c r="F1045">
        <v>6.5750000000000003E-2</v>
      </c>
      <c r="G1045">
        <v>0.1643</v>
      </c>
      <c r="H1045">
        <v>9.8599999999999993E-2</v>
      </c>
      <c r="I1045">
        <v>4194.348</v>
      </c>
      <c r="J1045">
        <v>5753.2250000000004</v>
      </c>
    </row>
    <row r="1046" spans="1:10">
      <c r="A1046">
        <v>228</v>
      </c>
      <c r="B1046">
        <v>9</v>
      </c>
      <c r="C1046" t="s">
        <v>105</v>
      </c>
      <c r="D1046">
        <v>-33.923384288026597</v>
      </c>
      <c r="E1046">
        <v>18.841606385856998</v>
      </c>
      <c r="F1046">
        <v>6.5750000000000003E-2</v>
      </c>
      <c r="G1046">
        <v>0.1643</v>
      </c>
      <c r="H1046">
        <v>9.8599999999999993E-2</v>
      </c>
      <c r="I1046">
        <v>4433.7070000000003</v>
      </c>
      <c r="J1046">
        <v>5992.5839999999998</v>
      </c>
    </row>
    <row r="1047" spans="1:10">
      <c r="A1047">
        <v>229</v>
      </c>
      <c r="B1047">
        <v>9</v>
      </c>
      <c r="C1047" t="s">
        <v>105</v>
      </c>
      <c r="D1047">
        <v>-33.926664681808603</v>
      </c>
      <c r="E1047">
        <v>18.837954702850901</v>
      </c>
      <c r="F1047">
        <v>6.5750000000000003E-2</v>
      </c>
      <c r="G1047">
        <v>0.1643</v>
      </c>
      <c r="H1047">
        <v>9.8599999999999993E-2</v>
      </c>
      <c r="I1047">
        <v>5967.1580000000004</v>
      </c>
      <c r="J1047">
        <v>3478.1660000000002</v>
      </c>
    </row>
    <row r="1048" spans="1:10">
      <c r="A1048">
        <v>230</v>
      </c>
      <c r="B1048">
        <v>9</v>
      </c>
      <c r="C1048" t="s">
        <v>105</v>
      </c>
      <c r="D1048">
        <v>-33.923396614659197</v>
      </c>
      <c r="E1048">
        <v>18.840910718750301</v>
      </c>
      <c r="F1048">
        <v>6.5750000000000003E-2</v>
      </c>
      <c r="G1048">
        <v>0.1643</v>
      </c>
      <c r="H1048">
        <v>9.8599999999999993E-2</v>
      </c>
      <c r="I1048">
        <v>4502.7219999999998</v>
      </c>
      <c r="J1048">
        <v>6061.5990000000002</v>
      </c>
    </row>
    <row r="1049" spans="1:10">
      <c r="A1049">
        <v>231</v>
      </c>
      <c r="B1049">
        <v>9</v>
      </c>
      <c r="C1049" t="s">
        <v>105</v>
      </c>
      <c r="D1049">
        <v>-33.920351306208197</v>
      </c>
      <c r="E1049">
        <v>18.836595806059499</v>
      </c>
      <c r="F1049">
        <v>6.5750000000000003E-2</v>
      </c>
      <c r="G1049">
        <v>0.1643</v>
      </c>
      <c r="H1049">
        <v>9.8599999999999993E-2</v>
      </c>
      <c r="I1049">
        <v>4944.2179999999998</v>
      </c>
      <c r="J1049">
        <v>6503.0950000000003</v>
      </c>
    </row>
    <row r="1050" spans="1:10">
      <c r="A1050">
        <v>232</v>
      </c>
      <c r="B1050">
        <v>9</v>
      </c>
      <c r="C1050" t="s">
        <v>105</v>
      </c>
      <c r="D1050">
        <v>-33.923209159414697</v>
      </c>
      <c r="E1050">
        <v>18.8391871566883</v>
      </c>
      <c r="F1050">
        <v>6.5750000000000003E-2</v>
      </c>
      <c r="G1050">
        <v>0.1643</v>
      </c>
      <c r="H1050">
        <v>9.8599999999999993E-2</v>
      </c>
      <c r="I1050">
        <v>4665.3440000000001</v>
      </c>
      <c r="J1050">
        <v>6224.2209999999995</v>
      </c>
    </row>
    <row r="1051" spans="1:10">
      <c r="A1051">
        <v>233</v>
      </c>
      <c r="B1051">
        <v>9</v>
      </c>
      <c r="C1051" t="s">
        <v>105</v>
      </c>
      <c r="D1051">
        <v>-33.921594443933998</v>
      </c>
      <c r="E1051">
        <v>18.843053048573299</v>
      </c>
      <c r="F1051">
        <v>6.5750000000000003E-2</v>
      </c>
      <c r="G1051">
        <v>0.1643</v>
      </c>
      <c r="H1051">
        <v>9.8599999999999993E-2</v>
      </c>
      <c r="I1051">
        <v>4680.5029999999997</v>
      </c>
      <c r="J1051">
        <v>5931.8670000000002</v>
      </c>
    </row>
    <row r="1052" spans="1:10">
      <c r="A1052">
        <v>234</v>
      </c>
      <c r="B1052">
        <v>9</v>
      </c>
      <c r="C1052" t="s">
        <v>105</v>
      </c>
      <c r="D1052">
        <v>-33.920945870492098</v>
      </c>
      <c r="E1052">
        <v>18.8388524467059</v>
      </c>
      <c r="F1052">
        <v>6.5750000000000003E-2</v>
      </c>
      <c r="G1052">
        <v>0.1643</v>
      </c>
      <c r="H1052">
        <v>9.8599999999999993E-2</v>
      </c>
      <c r="I1052">
        <v>4773.6949999999997</v>
      </c>
      <c r="J1052">
        <v>6332.5720000000001</v>
      </c>
    </row>
    <row r="1053" spans="1:10">
      <c r="A1053">
        <v>235</v>
      </c>
      <c r="B1053">
        <v>9</v>
      </c>
      <c r="C1053" t="s">
        <v>105</v>
      </c>
      <c r="D1053">
        <v>-33.920466146870702</v>
      </c>
      <c r="E1053">
        <v>18.837440934310099</v>
      </c>
      <c r="F1053">
        <v>6.5750000000000003E-2</v>
      </c>
      <c r="G1053">
        <v>0.1643</v>
      </c>
      <c r="H1053">
        <v>9.8599999999999993E-2</v>
      </c>
      <c r="I1053">
        <v>4894.8819999999996</v>
      </c>
      <c r="J1053">
        <v>6453.759</v>
      </c>
    </row>
    <row r="1054" spans="1:10">
      <c r="A1054">
        <v>236</v>
      </c>
      <c r="B1054">
        <v>9</v>
      </c>
      <c r="C1054" t="s">
        <v>105</v>
      </c>
      <c r="D1054">
        <v>-33.922041807754603</v>
      </c>
      <c r="E1054">
        <v>18.838800875368101</v>
      </c>
      <c r="F1054">
        <v>6.5750000000000003E-2</v>
      </c>
      <c r="G1054">
        <v>0.1643</v>
      </c>
      <c r="H1054">
        <v>9.8599999999999993E-2</v>
      </c>
      <c r="I1054">
        <v>4729.1310000000003</v>
      </c>
      <c r="J1054">
        <v>6288.0079999999998</v>
      </c>
    </row>
    <row r="1055" spans="1:10">
      <c r="A1055">
        <v>237</v>
      </c>
      <c r="B1055">
        <v>9</v>
      </c>
      <c r="C1055" t="s">
        <v>105</v>
      </c>
      <c r="D1055">
        <v>-33.926595310394198</v>
      </c>
      <c r="E1055">
        <v>18.844666180936901</v>
      </c>
      <c r="F1055">
        <v>6.5750000000000003E-2</v>
      </c>
      <c r="G1055">
        <v>0.1643</v>
      </c>
      <c r="H1055">
        <v>9.8599999999999993E-2</v>
      </c>
      <c r="I1055">
        <v>4004.6260000000002</v>
      </c>
      <c r="J1055">
        <v>5563.5029999999997</v>
      </c>
    </row>
    <row r="1056" spans="1:10">
      <c r="A1056">
        <v>238</v>
      </c>
      <c r="B1056">
        <v>9</v>
      </c>
      <c r="C1056" t="s">
        <v>105</v>
      </c>
      <c r="D1056">
        <v>-33.922864597938499</v>
      </c>
      <c r="E1056">
        <v>18.836311084612699</v>
      </c>
      <c r="F1056">
        <v>6.5750000000000003E-2</v>
      </c>
      <c r="G1056">
        <v>0.1643</v>
      </c>
      <c r="H1056">
        <v>9.8599999999999993E-2</v>
      </c>
      <c r="I1056">
        <v>5163.0969999999998</v>
      </c>
      <c r="J1056">
        <v>6721.9740000000002</v>
      </c>
    </row>
    <row r="1057" spans="1:10">
      <c r="A1057">
        <v>239</v>
      </c>
      <c r="B1057">
        <v>9</v>
      </c>
      <c r="C1057" t="s">
        <v>105</v>
      </c>
      <c r="D1057">
        <v>-33.924861026323697</v>
      </c>
      <c r="E1057">
        <v>18.843207931601199</v>
      </c>
      <c r="F1057">
        <v>6.5750000000000003E-2</v>
      </c>
      <c r="G1057">
        <v>0.1643</v>
      </c>
      <c r="H1057">
        <v>9.8599999999999993E-2</v>
      </c>
      <c r="I1057">
        <v>4648.4110000000001</v>
      </c>
      <c r="J1057">
        <v>6207.2870000000003</v>
      </c>
    </row>
    <row r="1058" spans="1:10">
      <c r="A1058">
        <v>240</v>
      </c>
      <c r="B1058">
        <v>9</v>
      </c>
      <c r="C1058" t="s">
        <v>105</v>
      </c>
      <c r="D1058">
        <v>-33.922714763566702</v>
      </c>
      <c r="E1058">
        <v>18.8360311364243</v>
      </c>
      <c r="F1058">
        <v>6.5750000000000003E-2</v>
      </c>
      <c r="G1058">
        <v>0.1643</v>
      </c>
      <c r="H1058">
        <v>9.8599999999999993E-2</v>
      </c>
      <c r="I1058">
        <v>5193.6450000000004</v>
      </c>
      <c r="J1058">
        <v>6752.5219999999999</v>
      </c>
    </row>
    <row r="1059" spans="1:10">
      <c r="A1059">
        <v>241</v>
      </c>
      <c r="B1059">
        <v>9</v>
      </c>
      <c r="C1059" t="s">
        <v>105</v>
      </c>
      <c r="D1059">
        <v>-33.921757465039299</v>
      </c>
      <c r="E1059">
        <v>18.8423331928363</v>
      </c>
      <c r="F1059">
        <v>6.5750000000000003E-2</v>
      </c>
      <c r="G1059">
        <v>0.1643</v>
      </c>
      <c r="H1059">
        <v>9.8599999999999993E-2</v>
      </c>
      <c r="I1059">
        <v>4349.9290000000001</v>
      </c>
      <c r="J1059">
        <v>5908.8059999999996</v>
      </c>
    </row>
    <row r="1060" spans="1:10">
      <c r="A1060">
        <v>242</v>
      </c>
      <c r="B1060">
        <v>9</v>
      </c>
      <c r="C1060" t="s">
        <v>105</v>
      </c>
      <c r="D1060">
        <v>-33.923955236186799</v>
      </c>
      <c r="E1060">
        <v>18.8448238998105</v>
      </c>
      <c r="F1060">
        <v>6.5750000000000003E-2</v>
      </c>
      <c r="G1060">
        <v>0.1643</v>
      </c>
      <c r="H1060">
        <v>9.8599999999999993E-2</v>
      </c>
      <c r="I1060">
        <v>3884.962</v>
      </c>
      <c r="J1060">
        <v>5443.8389999999999</v>
      </c>
    </row>
    <row r="1061" spans="1:10">
      <c r="A1061">
        <v>243</v>
      </c>
      <c r="B1061">
        <v>9</v>
      </c>
      <c r="C1061" t="s">
        <v>105</v>
      </c>
      <c r="D1061">
        <v>-33.9263505976038</v>
      </c>
      <c r="E1061">
        <v>18.8364958111367</v>
      </c>
      <c r="F1061">
        <v>6.5750000000000003E-2</v>
      </c>
      <c r="G1061">
        <v>0.1643</v>
      </c>
      <c r="H1061">
        <v>9.8599999999999993E-2</v>
      </c>
      <c r="I1061">
        <v>6082.2290000000003</v>
      </c>
      <c r="J1061">
        <v>3593.2370000000001</v>
      </c>
    </row>
    <row r="1062" spans="1:10">
      <c r="A1062">
        <v>244</v>
      </c>
      <c r="B1062">
        <v>9</v>
      </c>
      <c r="C1062" t="s">
        <v>105</v>
      </c>
      <c r="D1062">
        <v>-33.9255603659361</v>
      </c>
      <c r="E1062">
        <v>18.842367327227802</v>
      </c>
      <c r="F1062">
        <v>6.5750000000000003E-2</v>
      </c>
      <c r="G1062">
        <v>0.1643</v>
      </c>
      <c r="H1062">
        <v>9.8599999999999993E-2</v>
      </c>
      <c r="I1062">
        <v>4160.25</v>
      </c>
      <c r="J1062">
        <v>5719.1260000000002</v>
      </c>
    </row>
    <row r="1063" spans="1:10">
      <c r="A1063">
        <v>245</v>
      </c>
      <c r="B1063">
        <v>9</v>
      </c>
      <c r="C1063" t="s">
        <v>105</v>
      </c>
      <c r="D1063">
        <v>-33.921607072360203</v>
      </c>
      <c r="E1063">
        <v>18.8368398172871</v>
      </c>
      <c r="F1063">
        <v>6.5750000000000003E-2</v>
      </c>
      <c r="G1063">
        <v>0.1643</v>
      </c>
      <c r="H1063">
        <v>9.8599999999999993E-2</v>
      </c>
      <c r="I1063">
        <v>5079.9719999999998</v>
      </c>
      <c r="J1063">
        <v>6638.848</v>
      </c>
    </row>
    <row r="1064" spans="1:10">
      <c r="A1064">
        <v>246</v>
      </c>
      <c r="B1064">
        <v>9</v>
      </c>
      <c r="C1064" t="s">
        <v>105</v>
      </c>
      <c r="D1064">
        <v>-33.921314741419103</v>
      </c>
      <c r="E1064">
        <v>18.844086692801302</v>
      </c>
      <c r="F1064">
        <v>6.5750000000000003E-2</v>
      </c>
      <c r="G1064">
        <v>0.1643</v>
      </c>
      <c r="H1064">
        <v>9.8599999999999993E-2</v>
      </c>
      <c r="I1064">
        <v>4533.5450000000001</v>
      </c>
      <c r="J1064">
        <v>6451.085</v>
      </c>
    </row>
    <row r="1065" spans="1:10">
      <c r="A1065">
        <v>247</v>
      </c>
      <c r="B1065">
        <v>9</v>
      </c>
      <c r="C1065" t="s">
        <v>105</v>
      </c>
      <c r="D1065">
        <v>-33.919495555248403</v>
      </c>
      <c r="E1065">
        <v>18.844130451137701</v>
      </c>
      <c r="F1065">
        <v>6.5750000000000003E-2</v>
      </c>
      <c r="G1065">
        <v>0.1643</v>
      </c>
      <c r="H1065">
        <v>9.8599999999999993E-2</v>
      </c>
      <c r="I1065">
        <v>4500.6499999999996</v>
      </c>
      <c r="J1065">
        <v>6418.1909999999998</v>
      </c>
    </row>
    <row r="1066" spans="1:10">
      <c r="A1066">
        <v>248</v>
      </c>
      <c r="B1066">
        <v>9</v>
      </c>
      <c r="C1066" t="s">
        <v>105</v>
      </c>
      <c r="D1066">
        <v>-33.919832131723197</v>
      </c>
      <c r="E1066">
        <v>18.837398361273401</v>
      </c>
      <c r="F1066">
        <v>6.5750000000000003E-2</v>
      </c>
      <c r="G1066">
        <v>0.1643</v>
      </c>
      <c r="H1066">
        <v>9.8599999999999993E-2</v>
      </c>
      <c r="I1066">
        <v>4964.8239999999996</v>
      </c>
      <c r="J1066">
        <v>6523.701</v>
      </c>
    </row>
    <row r="1067" spans="1:10">
      <c r="A1067">
        <v>249</v>
      </c>
      <c r="B1067">
        <v>9</v>
      </c>
      <c r="C1067" t="s">
        <v>105</v>
      </c>
      <c r="D1067">
        <v>-33.922000851086104</v>
      </c>
      <c r="E1067">
        <v>18.843018692266501</v>
      </c>
      <c r="F1067">
        <v>6.5750000000000003E-2</v>
      </c>
      <c r="G1067">
        <v>0.1643</v>
      </c>
      <c r="H1067">
        <v>9.8599999999999993E-2</v>
      </c>
      <c r="I1067">
        <v>4288.6850000000004</v>
      </c>
      <c r="J1067">
        <v>5847.5609999999997</v>
      </c>
    </row>
    <row r="1068" spans="1:10">
      <c r="A1068">
        <v>250</v>
      </c>
      <c r="B1068">
        <v>9</v>
      </c>
      <c r="C1068" t="s">
        <v>105</v>
      </c>
      <c r="D1068">
        <v>-33.922384862372503</v>
      </c>
      <c r="E1068">
        <v>18.836747159167</v>
      </c>
      <c r="F1068">
        <v>6.5750000000000003E-2</v>
      </c>
      <c r="G1068">
        <v>0.1643</v>
      </c>
      <c r="H1068">
        <v>9.8599999999999993E-2</v>
      </c>
      <c r="I1068">
        <v>5055.2340000000004</v>
      </c>
      <c r="J1068">
        <v>6614.1109999999999</v>
      </c>
    </row>
    <row r="1069" spans="1:10">
      <c r="A1069">
        <v>251</v>
      </c>
      <c r="B1069">
        <v>9</v>
      </c>
      <c r="C1069" t="s">
        <v>105</v>
      </c>
      <c r="D1069">
        <v>-33.925011113230298</v>
      </c>
      <c r="E1069">
        <v>18.837537614322901</v>
      </c>
      <c r="F1069">
        <v>6.5750000000000003E-2</v>
      </c>
      <c r="G1069">
        <v>0.1643</v>
      </c>
      <c r="H1069">
        <v>9.8599999999999993E-2</v>
      </c>
      <c r="I1069">
        <v>4876.8130000000001</v>
      </c>
      <c r="J1069">
        <v>6435.69</v>
      </c>
    </row>
    <row r="1070" spans="1:10">
      <c r="A1070">
        <v>252</v>
      </c>
      <c r="B1070">
        <v>9</v>
      </c>
      <c r="C1070" t="s">
        <v>105</v>
      </c>
      <c r="D1070">
        <v>-33.919273938641503</v>
      </c>
      <c r="E1070">
        <v>18.8428619174266</v>
      </c>
      <c r="F1070">
        <v>6.5750000000000003E-2</v>
      </c>
      <c r="G1070">
        <v>0.1643</v>
      </c>
      <c r="H1070">
        <v>9.8599999999999993E-2</v>
      </c>
      <c r="I1070">
        <v>4672.6850000000004</v>
      </c>
      <c r="J1070">
        <v>6590.2259999999997</v>
      </c>
    </row>
    <row r="1071" spans="1:10">
      <c r="A1071">
        <v>253</v>
      </c>
      <c r="B1071">
        <v>9</v>
      </c>
      <c r="C1071" t="s">
        <v>105</v>
      </c>
      <c r="D1071">
        <v>-33.925818458447999</v>
      </c>
      <c r="E1071">
        <v>18.843271384054098</v>
      </c>
      <c r="F1071">
        <v>6.5750000000000003E-2</v>
      </c>
      <c r="G1071">
        <v>0.1643</v>
      </c>
      <c r="H1071">
        <v>9.8599999999999993E-2</v>
      </c>
      <c r="I1071">
        <v>4107.8209999999999</v>
      </c>
      <c r="J1071">
        <v>5666.6980000000003</v>
      </c>
    </row>
    <row r="1072" spans="1:10">
      <c r="A1072">
        <v>254</v>
      </c>
      <c r="B1072">
        <v>9</v>
      </c>
      <c r="C1072" t="s">
        <v>105</v>
      </c>
      <c r="D1072">
        <v>-33.923890228558001</v>
      </c>
      <c r="E1072">
        <v>18.840586256958002</v>
      </c>
      <c r="F1072">
        <v>6.5750000000000003E-2</v>
      </c>
      <c r="G1072">
        <v>0.1643</v>
      </c>
      <c r="H1072">
        <v>9.8599999999999993E-2</v>
      </c>
      <c r="I1072">
        <v>4542.3680000000004</v>
      </c>
      <c r="J1072">
        <v>6101.2449999999999</v>
      </c>
    </row>
    <row r="1073" spans="1:10">
      <c r="A1073">
        <v>255</v>
      </c>
      <c r="B1073">
        <v>9</v>
      </c>
      <c r="C1073" t="s">
        <v>105</v>
      </c>
      <c r="D1073">
        <v>-33.924673296716399</v>
      </c>
      <c r="E1073">
        <v>18.842760225259301</v>
      </c>
      <c r="F1073">
        <v>6.5750000000000003E-2</v>
      </c>
      <c r="G1073">
        <v>0.1643</v>
      </c>
      <c r="H1073">
        <v>9.8599999999999993E-2</v>
      </c>
      <c r="I1073">
        <v>4648.4110000000001</v>
      </c>
      <c r="J1073">
        <v>6207.2870000000003</v>
      </c>
    </row>
    <row r="1074" spans="1:10">
      <c r="A1074">
        <v>256</v>
      </c>
      <c r="B1074">
        <v>9</v>
      </c>
      <c r="C1074" t="s">
        <v>105</v>
      </c>
      <c r="D1074">
        <v>-33.926997018485601</v>
      </c>
      <c r="E1074">
        <v>18.838514187059001</v>
      </c>
      <c r="F1074">
        <v>6.5750000000000003E-2</v>
      </c>
      <c r="G1074">
        <v>0.1643</v>
      </c>
      <c r="H1074">
        <v>9.8599999999999993E-2</v>
      </c>
      <c r="I1074">
        <v>5957.7420000000002</v>
      </c>
      <c r="J1074">
        <v>3468.75</v>
      </c>
    </row>
    <row r="1075" spans="1:10">
      <c r="A1075">
        <v>257</v>
      </c>
      <c r="B1075">
        <v>9</v>
      </c>
      <c r="C1075" t="s">
        <v>105</v>
      </c>
      <c r="D1075">
        <v>-33.924692689062702</v>
      </c>
      <c r="E1075">
        <v>18.8373871679464</v>
      </c>
      <c r="F1075">
        <v>6.5750000000000003E-2</v>
      </c>
      <c r="G1075">
        <v>0.1643</v>
      </c>
      <c r="H1075">
        <v>9.8599999999999993E-2</v>
      </c>
      <c r="I1075">
        <v>4916.2950000000001</v>
      </c>
      <c r="J1075">
        <v>6475.1719999999996</v>
      </c>
    </row>
    <row r="1076" spans="1:10">
      <c r="A1076">
        <v>258</v>
      </c>
      <c r="B1076">
        <v>9</v>
      </c>
      <c r="C1076" t="s">
        <v>105</v>
      </c>
      <c r="D1076">
        <v>-33.921064251787399</v>
      </c>
      <c r="E1076">
        <v>18.840312585048199</v>
      </c>
      <c r="F1076">
        <v>6.5750000000000003E-2</v>
      </c>
      <c r="G1076">
        <v>0.1643</v>
      </c>
      <c r="H1076">
        <v>9.8599999999999993E-2</v>
      </c>
      <c r="I1076">
        <v>4581.3370000000004</v>
      </c>
      <c r="J1076">
        <v>6140.2139999999999</v>
      </c>
    </row>
    <row r="1077" spans="1:10">
      <c r="A1077">
        <v>259</v>
      </c>
      <c r="B1077">
        <v>9</v>
      </c>
      <c r="C1077" t="s">
        <v>105</v>
      </c>
      <c r="D1077">
        <v>-33.924523046763802</v>
      </c>
      <c r="E1077">
        <v>18.837844903794799</v>
      </c>
      <c r="F1077">
        <v>6.5750000000000003E-2</v>
      </c>
      <c r="G1077">
        <v>0.1643</v>
      </c>
      <c r="H1077">
        <v>9.8599999999999993E-2</v>
      </c>
      <c r="I1077">
        <v>4894.8029999999999</v>
      </c>
      <c r="J1077">
        <v>6453.68</v>
      </c>
    </row>
    <row r="1078" spans="1:10">
      <c r="A1078">
        <v>260</v>
      </c>
      <c r="B1078">
        <v>9</v>
      </c>
      <c r="C1078" t="s">
        <v>105</v>
      </c>
      <c r="D1078">
        <v>-33.920744765997497</v>
      </c>
      <c r="E1078">
        <v>18.844305130991501</v>
      </c>
      <c r="F1078">
        <v>6.5750000000000003E-2</v>
      </c>
      <c r="G1078">
        <v>0.1643</v>
      </c>
      <c r="H1078">
        <v>9.8599999999999993E-2</v>
      </c>
      <c r="I1078">
        <v>4525.2190000000001</v>
      </c>
      <c r="J1078">
        <v>6442.759</v>
      </c>
    </row>
    <row r="1079" spans="1:10">
      <c r="A1079">
        <v>261</v>
      </c>
      <c r="B1079">
        <v>9</v>
      </c>
      <c r="C1079" t="s">
        <v>105</v>
      </c>
      <c r="D1079">
        <v>-33.919937484129498</v>
      </c>
      <c r="E1079">
        <v>18.841973566412499</v>
      </c>
      <c r="F1079">
        <v>6.5750000000000003E-2</v>
      </c>
      <c r="G1079">
        <v>0.1643</v>
      </c>
      <c r="H1079">
        <v>9.8599999999999993E-2</v>
      </c>
      <c r="I1079">
        <v>4862.3710000000001</v>
      </c>
      <c r="J1079">
        <v>6779.9120000000003</v>
      </c>
    </row>
    <row r="1080" spans="1:10">
      <c r="A1080">
        <v>262</v>
      </c>
      <c r="B1080">
        <v>9</v>
      </c>
      <c r="C1080" t="s">
        <v>105</v>
      </c>
      <c r="D1080">
        <v>-33.919442838942203</v>
      </c>
      <c r="E1080">
        <v>18.8367647653711</v>
      </c>
      <c r="F1080">
        <v>6.5750000000000003E-2</v>
      </c>
      <c r="G1080">
        <v>0.1643</v>
      </c>
      <c r="H1080">
        <v>9.8599999999999993E-2</v>
      </c>
      <c r="I1080">
        <v>5342.1580000000004</v>
      </c>
      <c r="J1080">
        <v>6616.2950000000001</v>
      </c>
    </row>
    <row r="1081" spans="1:10">
      <c r="A1081">
        <v>263</v>
      </c>
      <c r="B1081">
        <v>9</v>
      </c>
      <c r="C1081" t="s">
        <v>105</v>
      </c>
      <c r="D1081">
        <v>-33.920648135889998</v>
      </c>
      <c r="E1081">
        <v>18.842092758747899</v>
      </c>
      <c r="F1081">
        <v>6.5750000000000003E-2</v>
      </c>
      <c r="G1081">
        <v>0.1643</v>
      </c>
      <c r="H1081">
        <v>9.8599999999999993E-2</v>
      </c>
      <c r="I1081">
        <v>4849.5240000000003</v>
      </c>
      <c r="J1081">
        <v>6084.8360000000002</v>
      </c>
    </row>
    <row r="1082" spans="1:10">
      <c r="A1082">
        <v>264</v>
      </c>
      <c r="B1082">
        <v>9</v>
      </c>
      <c r="C1082" t="s">
        <v>105</v>
      </c>
      <c r="D1082">
        <v>-33.9258653570568</v>
      </c>
      <c r="E1082">
        <v>18.844374240615601</v>
      </c>
      <c r="F1082">
        <v>6.5750000000000003E-2</v>
      </c>
      <c r="G1082">
        <v>0.1643</v>
      </c>
      <c r="H1082">
        <v>9.8599999999999993E-2</v>
      </c>
      <c r="I1082">
        <v>4036.6979999999999</v>
      </c>
      <c r="J1082">
        <v>5595.5749999999998</v>
      </c>
    </row>
    <row r="1083" spans="1:10">
      <c r="A1083">
        <v>265</v>
      </c>
      <c r="B1083">
        <v>9</v>
      </c>
      <c r="C1083" t="s">
        <v>105</v>
      </c>
      <c r="D1083">
        <v>-33.9232737546563</v>
      </c>
      <c r="E1083">
        <v>18.843943646478099</v>
      </c>
      <c r="F1083">
        <v>6.5750000000000003E-2</v>
      </c>
      <c r="G1083">
        <v>0.1643</v>
      </c>
      <c r="H1083">
        <v>9.8599999999999993E-2</v>
      </c>
      <c r="I1083">
        <v>4079.5940000000001</v>
      </c>
      <c r="J1083">
        <v>5638.4709999999995</v>
      </c>
    </row>
    <row r="1084" spans="1:10">
      <c r="A1084">
        <v>266</v>
      </c>
      <c r="B1084">
        <v>9</v>
      </c>
      <c r="C1084" t="s">
        <v>105</v>
      </c>
      <c r="D1084">
        <v>-33.921505918048602</v>
      </c>
      <c r="E1084">
        <v>18.837946836653099</v>
      </c>
      <c r="F1084">
        <v>6.5750000000000003E-2</v>
      </c>
      <c r="G1084">
        <v>0.1643</v>
      </c>
      <c r="H1084">
        <v>9.8599999999999993E-2</v>
      </c>
      <c r="I1084">
        <v>4763.9880000000003</v>
      </c>
      <c r="J1084">
        <v>6322.8649999999998</v>
      </c>
    </row>
    <row r="1085" spans="1:10">
      <c r="A1085">
        <v>267</v>
      </c>
      <c r="B1085">
        <v>9</v>
      </c>
      <c r="C1085" t="s">
        <v>105</v>
      </c>
      <c r="D1085">
        <v>-33.921982897525098</v>
      </c>
      <c r="E1085">
        <v>18.837129438208301</v>
      </c>
      <c r="F1085">
        <v>6.5750000000000003E-2</v>
      </c>
      <c r="G1085">
        <v>0.1643</v>
      </c>
      <c r="H1085">
        <v>9.8599999999999993E-2</v>
      </c>
      <c r="I1085">
        <v>5030.5150000000003</v>
      </c>
      <c r="J1085">
        <v>6589.3919999999998</v>
      </c>
    </row>
    <row r="1086" spans="1:10">
      <c r="A1086">
        <v>268</v>
      </c>
      <c r="B1086">
        <v>9</v>
      </c>
      <c r="C1086" t="s">
        <v>105</v>
      </c>
      <c r="D1086">
        <v>-33.926512181329301</v>
      </c>
      <c r="E1086">
        <v>18.841791810943601</v>
      </c>
      <c r="F1086">
        <v>6.5750000000000003E-2</v>
      </c>
      <c r="G1086">
        <v>0.1643</v>
      </c>
      <c r="H1086">
        <v>9.8599999999999993E-2</v>
      </c>
      <c r="I1086">
        <v>4203.5469999999996</v>
      </c>
      <c r="J1086">
        <v>5762.4229999999998</v>
      </c>
    </row>
    <row r="1087" spans="1:10">
      <c r="A1087">
        <v>269</v>
      </c>
      <c r="B1087">
        <v>9</v>
      </c>
      <c r="C1087" t="s">
        <v>105</v>
      </c>
      <c r="D1087">
        <v>-33.925473016887302</v>
      </c>
      <c r="E1087">
        <v>18.836965073225599</v>
      </c>
      <c r="F1087">
        <v>6.5750000000000003E-2</v>
      </c>
      <c r="G1087">
        <v>0.1643</v>
      </c>
      <c r="H1087">
        <v>9.8599999999999993E-2</v>
      </c>
      <c r="I1087">
        <v>6079.058</v>
      </c>
      <c r="J1087">
        <v>3590.0659999999998</v>
      </c>
    </row>
    <row r="1088" spans="1:10">
      <c r="A1088">
        <v>270</v>
      </c>
      <c r="B1088">
        <v>9</v>
      </c>
      <c r="C1088" t="s">
        <v>105</v>
      </c>
      <c r="D1088">
        <v>-33.923806776893898</v>
      </c>
      <c r="E1088">
        <v>18.840791653748798</v>
      </c>
      <c r="F1088">
        <v>6.5750000000000003E-2</v>
      </c>
      <c r="G1088">
        <v>0.1643</v>
      </c>
      <c r="H1088">
        <v>9.8599999999999993E-2</v>
      </c>
      <c r="I1088">
        <v>4520.8540000000003</v>
      </c>
      <c r="J1088">
        <v>6079.7309999999998</v>
      </c>
    </row>
    <row r="1089" spans="1:10">
      <c r="A1089">
        <v>271</v>
      </c>
      <c r="B1089">
        <v>9</v>
      </c>
      <c r="C1089" t="s">
        <v>105</v>
      </c>
      <c r="D1089">
        <v>-33.923205767281502</v>
      </c>
      <c r="E1089">
        <v>18.844279436649501</v>
      </c>
      <c r="F1089">
        <v>6.5750000000000003E-2</v>
      </c>
      <c r="G1089">
        <v>0.1643</v>
      </c>
      <c r="H1089">
        <v>9.8599999999999993E-2</v>
      </c>
      <c r="I1089">
        <v>4066.5889999999999</v>
      </c>
      <c r="J1089">
        <v>5625.4650000000001</v>
      </c>
    </row>
    <row r="1090" spans="1:10">
      <c r="A1090">
        <v>272</v>
      </c>
      <c r="B1090">
        <v>9</v>
      </c>
      <c r="C1090" t="s">
        <v>105</v>
      </c>
      <c r="D1090">
        <v>-33.919992087071201</v>
      </c>
      <c r="E1090">
        <v>18.844020718365801</v>
      </c>
      <c r="F1090">
        <v>6.5750000000000003E-2</v>
      </c>
      <c r="G1090">
        <v>0.1643</v>
      </c>
      <c r="H1090">
        <v>9.8599999999999993E-2</v>
      </c>
      <c r="I1090">
        <v>4553.6409999999996</v>
      </c>
      <c r="J1090">
        <v>6471.1819999999998</v>
      </c>
    </row>
    <row r="1091" spans="1:10">
      <c r="A1091">
        <v>273</v>
      </c>
      <c r="B1091">
        <v>9</v>
      </c>
      <c r="C1091" t="s">
        <v>105</v>
      </c>
      <c r="D1091">
        <v>-33.923998839754297</v>
      </c>
      <c r="E1091">
        <v>18.838635922124801</v>
      </c>
      <c r="F1091">
        <v>6.5750000000000003E-2</v>
      </c>
      <c r="G1091">
        <v>0.1643</v>
      </c>
      <c r="H1091">
        <v>9.8599999999999993E-2</v>
      </c>
      <c r="I1091">
        <v>4799.2280000000001</v>
      </c>
      <c r="J1091">
        <v>6358.1049999999996</v>
      </c>
    </row>
    <row r="1092" spans="1:10">
      <c r="A1092">
        <v>274</v>
      </c>
      <c r="B1092">
        <v>9</v>
      </c>
      <c r="C1092" t="s">
        <v>105</v>
      </c>
      <c r="D1092">
        <v>-33.920629213297403</v>
      </c>
      <c r="E1092">
        <v>18.843657295692299</v>
      </c>
      <c r="F1092">
        <v>6.5750000000000003E-2</v>
      </c>
      <c r="G1092">
        <v>0.1643</v>
      </c>
      <c r="H1092">
        <v>9.8599999999999993E-2</v>
      </c>
      <c r="I1092">
        <v>4586.759</v>
      </c>
      <c r="J1092">
        <v>6504.3</v>
      </c>
    </row>
    <row r="1093" spans="1:10">
      <c r="A1093">
        <v>275</v>
      </c>
      <c r="B1093">
        <v>9</v>
      </c>
      <c r="C1093" t="s">
        <v>105</v>
      </c>
      <c r="D1093">
        <v>-33.9267346375158</v>
      </c>
      <c r="E1093">
        <v>18.8426496623632</v>
      </c>
      <c r="F1093">
        <v>6.5750000000000003E-2</v>
      </c>
      <c r="G1093">
        <v>0.1643</v>
      </c>
      <c r="H1093">
        <v>9.8599999999999993E-2</v>
      </c>
      <c r="I1093">
        <v>4209.92</v>
      </c>
      <c r="J1093">
        <v>5768.7960000000003</v>
      </c>
    </row>
    <row r="1094" spans="1:10">
      <c r="A1094">
        <v>276</v>
      </c>
      <c r="B1094">
        <v>9</v>
      </c>
      <c r="C1094" t="s">
        <v>105</v>
      </c>
      <c r="D1094">
        <v>-33.920221438150101</v>
      </c>
      <c r="E1094">
        <v>18.8368837071569</v>
      </c>
      <c r="F1094">
        <v>6.5750000000000003E-2</v>
      </c>
      <c r="G1094">
        <v>0.1643</v>
      </c>
      <c r="H1094">
        <v>9.8599999999999993E-2</v>
      </c>
      <c r="I1094">
        <v>4946.3339999999998</v>
      </c>
      <c r="J1094">
        <v>6505.21</v>
      </c>
    </row>
    <row r="1095" spans="1:10">
      <c r="A1095">
        <v>277</v>
      </c>
      <c r="B1095">
        <v>9</v>
      </c>
      <c r="C1095" t="s">
        <v>105</v>
      </c>
      <c r="D1095">
        <v>-33.926486105118201</v>
      </c>
      <c r="E1095">
        <v>18.839492248937798</v>
      </c>
      <c r="F1095">
        <v>6.5750000000000003E-2</v>
      </c>
      <c r="G1095">
        <v>0.1643</v>
      </c>
      <c r="H1095">
        <v>9.8599999999999993E-2</v>
      </c>
      <c r="I1095">
        <v>4789.2479999999996</v>
      </c>
      <c r="J1095">
        <v>6348.125</v>
      </c>
    </row>
    <row r="1096" spans="1:10">
      <c r="A1096">
        <v>278</v>
      </c>
      <c r="B1096">
        <v>9</v>
      </c>
      <c r="C1096" t="s">
        <v>105</v>
      </c>
      <c r="D1096">
        <v>-33.926052499337104</v>
      </c>
      <c r="E1096">
        <v>18.8406614806755</v>
      </c>
      <c r="F1096">
        <v>6.5750000000000003E-2</v>
      </c>
      <c r="G1096">
        <v>0.1643</v>
      </c>
      <c r="H1096">
        <v>9.8599999999999993E-2</v>
      </c>
      <c r="I1096">
        <v>4751.5190000000002</v>
      </c>
      <c r="J1096">
        <v>6310.3959999999997</v>
      </c>
    </row>
    <row r="1097" spans="1:10">
      <c r="A1097">
        <v>279</v>
      </c>
      <c r="B1097">
        <v>9</v>
      </c>
      <c r="C1097" t="s">
        <v>105</v>
      </c>
      <c r="D1097">
        <v>-33.922740023000003</v>
      </c>
      <c r="E1097">
        <v>18.8435172599822</v>
      </c>
      <c r="F1097">
        <v>6.5750000000000003E-2</v>
      </c>
      <c r="G1097">
        <v>0.1643</v>
      </c>
      <c r="H1097">
        <v>9.8599999999999993E-2</v>
      </c>
      <c r="I1097">
        <v>4196.3339999999998</v>
      </c>
      <c r="J1097">
        <v>5755.2110000000002</v>
      </c>
    </row>
    <row r="1098" spans="1:10">
      <c r="A1098">
        <v>280</v>
      </c>
      <c r="B1098">
        <v>9</v>
      </c>
      <c r="C1098" t="s">
        <v>105</v>
      </c>
      <c r="D1098">
        <v>-33.922169983457302</v>
      </c>
      <c r="E1098">
        <v>18.840381185062402</v>
      </c>
      <c r="F1098">
        <v>6.5750000000000003E-2</v>
      </c>
      <c r="G1098">
        <v>0.1643</v>
      </c>
      <c r="H1098">
        <v>9.8599999999999993E-2</v>
      </c>
      <c r="I1098">
        <v>4587.3990000000003</v>
      </c>
      <c r="J1098">
        <v>6146.2749999999996</v>
      </c>
    </row>
    <row r="1099" spans="1:10">
      <c r="A1099">
        <v>281</v>
      </c>
      <c r="B1099">
        <v>9</v>
      </c>
      <c r="C1099" t="s">
        <v>105</v>
      </c>
      <c r="D1099">
        <v>-33.926098080743301</v>
      </c>
      <c r="E1099">
        <v>18.839422417394399</v>
      </c>
      <c r="F1099">
        <v>6.5750000000000003E-2</v>
      </c>
      <c r="G1099">
        <v>0.1643</v>
      </c>
      <c r="H1099">
        <v>9.8599999999999993E-2</v>
      </c>
      <c r="I1099">
        <v>4831.4279999999999</v>
      </c>
      <c r="J1099">
        <v>6390.3050000000003</v>
      </c>
    </row>
    <row r="1100" spans="1:10">
      <c r="A1100">
        <v>282</v>
      </c>
      <c r="B1100">
        <v>9</v>
      </c>
      <c r="C1100" t="s">
        <v>105</v>
      </c>
      <c r="D1100">
        <v>-33.923344156406003</v>
      </c>
      <c r="E1100">
        <v>18.837858990138599</v>
      </c>
      <c r="F1100">
        <v>6.5750000000000003E-2</v>
      </c>
      <c r="G1100">
        <v>0.1643</v>
      </c>
      <c r="H1100">
        <v>9.8599999999999993E-2</v>
      </c>
      <c r="I1100">
        <v>4900.6610000000001</v>
      </c>
      <c r="J1100">
        <v>6459.5379999999996</v>
      </c>
    </row>
    <row r="1101" spans="1:10">
      <c r="A1101">
        <v>283</v>
      </c>
      <c r="B1101">
        <v>9</v>
      </c>
      <c r="C1101" t="s">
        <v>105</v>
      </c>
      <c r="D1101">
        <v>-33.926176040593397</v>
      </c>
      <c r="E1101">
        <v>18.840986692928102</v>
      </c>
      <c r="F1101">
        <v>6.5750000000000003E-2</v>
      </c>
      <c r="G1101">
        <v>0.1643</v>
      </c>
      <c r="H1101">
        <v>9.8599999999999993E-2</v>
      </c>
      <c r="I1101">
        <v>4753.1949999999997</v>
      </c>
      <c r="J1101">
        <v>6312.0720000000001</v>
      </c>
    </row>
    <row r="1102" spans="1:10">
      <c r="A1102">
        <v>284</v>
      </c>
      <c r="B1102">
        <v>9</v>
      </c>
      <c r="C1102" t="s">
        <v>105</v>
      </c>
      <c r="D1102">
        <v>-33.926292539244699</v>
      </c>
      <c r="E1102">
        <v>18.8374445244539</v>
      </c>
      <c r="F1102">
        <v>6.5750000000000003E-2</v>
      </c>
      <c r="G1102">
        <v>0.1643</v>
      </c>
      <c r="H1102">
        <v>9.8599999999999993E-2</v>
      </c>
      <c r="I1102">
        <v>6029.3119999999999</v>
      </c>
      <c r="J1102">
        <v>3540.32</v>
      </c>
    </row>
    <row r="1103" spans="1:10">
      <c r="A1103">
        <v>0</v>
      </c>
      <c r="B1103">
        <v>10</v>
      </c>
      <c r="C1103" t="s">
        <v>106</v>
      </c>
      <c r="D1103">
        <v>-33.915899795700199</v>
      </c>
      <c r="E1103">
        <v>18.8463766346282</v>
      </c>
      <c r="F1103">
        <v>6.5750000000000003E-2</v>
      </c>
      <c r="G1103">
        <v>0.1643</v>
      </c>
      <c r="H1103">
        <v>9.8599999999999993E-2</v>
      </c>
      <c r="I1103">
        <v>4264.3239999999996</v>
      </c>
      <c r="J1103">
        <v>6181.8649999999998</v>
      </c>
    </row>
    <row r="1104" spans="1:10">
      <c r="A1104">
        <v>1</v>
      </c>
      <c r="B1104">
        <v>10</v>
      </c>
      <c r="C1104" t="s">
        <v>106</v>
      </c>
      <c r="D1104">
        <v>-33.914932425173298</v>
      </c>
      <c r="E1104">
        <v>18.845394250356399</v>
      </c>
      <c r="F1104">
        <v>6.5750000000000003E-2</v>
      </c>
      <c r="G1104">
        <v>0.1643</v>
      </c>
      <c r="H1104">
        <v>9.8599999999999993E-2</v>
      </c>
      <c r="I1104">
        <v>4800.9620000000004</v>
      </c>
      <c r="J1104">
        <v>6718.5020000000004</v>
      </c>
    </row>
    <row r="1105" spans="1:10">
      <c r="A1105">
        <v>2</v>
      </c>
      <c r="B1105">
        <v>10</v>
      </c>
      <c r="C1105" t="s">
        <v>106</v>
      </c>
      <c r="D1105">
        <v>-33.917973885397402</v>
      </c>
      <c r="E1105">
        <v>18.846365283986799</v>
      </c>
      <c r="F1105">
        <v>6.5750000000000003E-2</v>
      </c>
      <c r="G1105">
        <v>0.1643</v>
      </c>
      <c r="H1105">
        <v>9.8599999999999993E-2</v>
      </c>
      <c r="I1105">
        <v>4237.116</v>
      </c>
      <c r="J1105">
        <v>6154.6559999999999</v>
      </c>
    </row>
    <row r="1106" spans="1:10">
      <c r="A1106">
        <v>3</v>
      </c>
      <c r="B1106">
        <v>10</v>
      </c>
      <c r="C1106" t="s">
        <v>106</v>
      </c>
      <c r="D1106">
        <v>-33.916495422209998</v>
      </c>
      <c r="E1106">
        <v>18.845484053800998</v>
      </c>
      <c r="F1106">
        <v>6.5750000000000003E-2</v>
      </c>
      <c r="G1106">
        <v>0.1643</v>
      </c>
      <c r="H1106">
        <v>9.8599999999999993E-2</v>
      </c>
      <c r="I1106">
        <v>4315.6610000000001</v>
      </c>
      <c r="J1106">
        <v>6233.2020000000002</v>
      </c>
    </row>
    <row r="1107" spans="1:10">
      <c r="A1107">
        <v>4</v>
      </c>
      <c r="B1107">
        <v>10</v>
      </c>
      <c r="C1107" t="s">
        <v>106</v>
      </c>
      <c r="D1107">
        <v>-33.913111923226197</v>
      </c>
      <c r="E1107">
        <v>18.8449946324187</v>
      </c>
      <c r="F1107">
        <v>6.5750000000000003E-2</v>
      </c>
      <c r="G1107">
        <v>0.1643</v>
      </c>
      <c r="H1107">
        <v>9.8599999999999993E-2</v>
      </c>
      <c r="I1107">
        <v>4852.0590000000002</v>
      </c>
      <c r="J1107">
        <v>6769.6</v>
      </c>
    </row>
    <row r="1108" spans="1:10">
      <c r="A1108">
        <v>5</v>
      </c>
      <c r="B1108">
        <v>10</v>
      </c>
      <c r="C1108" t="s">
        <v>106</v>
      </c>
      <c r="D1108">
        <v>-33.918371499340999</v>
      </c>
      <c r="E1108">
        <v>18.846671261409799</v>
      </c>
      <c r="F1108">
        <v>6.5750000000000003E-2</v>
      </c>
      <c r="G1108">
        <v>0.1643</v>
      </c>
      <c r="H1108">
        <v>9.8599999999999993E-2</v>
      </c>
      <c r="I1108">
        <v>4271.232</v>
      </c>
      <c r="J1108">
        <v>6188.7730000000001</v>
      </c>
    </row>
    <row r="1109" spans="1:10">
      <c r="A1109">
        <v>6</v>
      </c>
      <c r="B1109">
        <v>10</v>
      </c>
      <c r="C1109" t="s">
        <v>106</v>
      </c>
      <c r="D1109">
        <v>-33.916631143912902</v>
      </c>
      <c r="E1109">
        <v>18.846154944919999</v>
      </c>
      <c r="F1109">
        <v>6.5750000000000003E-2</v>
      </c>
      <c r="G1109">
        <v>0.1643</v>
      </c>
      <c r="H1109">
        <v>9.8599999999999993E-2</v>
      </c>
      <c r="I1109">
        <v>4235.0969999999998</v>
      </c>
      <c r="J1109">
        <v>6152.6379999999999</v>
      </c>
    </row>
    <row r="1110" spans="1:10">
      <c r="A1110">
        <v>7</v>
      </c>
      <c r="B1110">
        <v>10</v>
      </c>
      <c r="C1110" t="s">
        <v>106</v>
      </c>
      <c r="D1110">
        <v>-33.9157467540794</v>
      </c>
      <c r="E1110">
        <v>18.8476172176243</v>
      </c>
      <c r="F1110">
        <v>6.5750000000000003E-2</v>
      </c>
      <c r="G1110">
        <v>0.1643</v>
      </c>
      <c r="H1110">
        <v>9.8599999999999993E-2</v>
      </c>
      <c r="I1110">
        <v>4221.6959999999999</v>
      </c>
      <c r="J1110">
        <v>6139.2370000000001</v>
      </c>
    </row>
    <row r="1111" spans="1:10">
      <c r="A1111">
        <v>8</v>
      </c>
      <c r="B1111">
        <v>10</v>
      </c>
      <c r="C1111" t="s">
        <v>106</v>
      </c>
      <c r="D1111">
        <v>-33.9157226827732</v>
      </c>
      <c r="E1111">
        <v>18.846231661791101</v>
      </c>
      <c r="F1111">
        <v>6.5750000000000003E-2</v>
      </c>
      <c r="G1111">
        <v>0.1643</v>
      </c>
      <c r="H1111">
        <v>9.8599999999999993E-2</v>
      </c>
      <c r="I1111">
        <v>4287.3289999999997</v>
      </c>
      <c r="J1111">
        <v>6204.87</v>
      </c>
    </row>
    <row r="1112" spans="1:10">
      <c r="A1112">
        <v>9</v>
      </c>
      <c r="B1112">
        <v>10</v>
      </c>
      <c r="C1112" t="s">
        <v>106</v>
      </c>
      <c r="D1112">
        <v>-33.914290687996903</v>
      </c>
      <c r="E1112">
        <v>18.8475173918381</v>
      </c>
      <c r="F1112">
        <v>6.5750000000000003E-2</v>
      </c>
      <c r="G1112">
        <v>0.1643</v>
      </c>
      <c r="H1112">
        <v>9.8599999999999993E-2</v>
      </c>
      <c r="I1112">
        <v>4351.9639999999999</v>
      </c>
      <c r="J1112">
        <v>6269.5050000000001</v>
      </c>
    </row>
    <row r="1113" spans="1:10">
      <c r="A1113">
        <v>10</v>
      </c>
      <c r="B1113">
        <v>10</v>
      </c>
      <c r="C1113" t="s">
        <v>106</v>
      </c>
      <c r="D1113">
        <v>-33.9154406543093</v>
      </c>
      <c r="E1113">
        <v>18.8464064286831</v>
      </c>
      <c r="F1113">
        <v>6.5750000000000003E-2</v>
      </c>
      <c r="G1113">
        <v>0.1643</v>
      </c>
      <c r="H1113">
        <v>9.8599999999999993E-2</v>
      </c>
      <c r="I1113">
        <v>4314.7820000000002</v>
      </c>
      <c r="J1113">
        <v>6232.3220000000001</v>
      </c>
    </row>
    <row r="1114" spans="1:10">
      <c r="A1114">
        <v>11</v>
      </c>
      <c r="B1114">
        <v>10</v>
      </c>
      <c r="C1114" t="s">
        <v>106</v>
      </c>
      <c r="D1114">
        <v>-33.9144157847687</v>
      </c>
      <c r="E1114">
        <v>18.845448655057499</v>
      </c>
      <c r="F1114">
        <v>6.5750000000000003E-2</v>
      </c>
      <c r="G1114">
        <v>0.1643</v>
      </c>
      <c r="H1114">
        <v>9.8599999999999993E-2</v>
      </c>
      <c r="I1114">
        <v>4551.8429999999998</v>
      </c>
      <c r="J1114">
        <v>6469.384</v>
      </c>
    </row>
    <row r="1115" spans="1:10">
      <c r="A1115">
        <v>12</v>
      </c>
      <c r="B1115">
        <v>10</v>
      </c>
      <c r="C1115" t="s">
        <v>106</v>
      </c>
      <c r="D1115">
        <v>-33.917653097103504</v>
      </c>
      <c r="E1115">
        <v>18.8475738716945</v>
      </c>
      <c r="F1115">
        <v>6.5750000000000003E-2</v>
      </c>
      <c r="G1115">
        <v>0.1643</v>
      </c>
      <c r="H1115">
        <v>9.8599999999999993E-2</v>
      </c>
      <c r="I1115">
        <v>4099.3379999999997</v>
      </c>
      <c r="J1115">
        <v>6016.8789999999999</v>
      </c>
    </row>
    <row r="1116" spans="1:10">
      <c r="A1116">
        <v>13</v>
      </c>
      <c r="B1116">
        <v>10</v>
      </c>
      <c r="C1116" t="s">
        <v>106</v>
      </c>
      <c r="D1116">
        <v>-33.918076002907902</v>
      </c>
      <c r="E1116">
        <v>18.846630367983501</v>
      </c>
      <c r="F1116">
        <v>6.5750000000000003E-2</v>
      </c>
      <c r="G1116">
        <v>0.1643</v>
      </c>
      <c r="H1116">
        <v>9.8599999999999993E-2</v>
      </c>
      <c r="I1116">
        <v>4216.3900000000003</v>
      </c>
      <c r="J1116">
        <v>6133.93</v>
      </c>
    </row>
    <row r="1117" spans="1:10">
      <c r="A1117">
        <v>14</v>
      </c>
      <c r="B1117">
        <v>10</v>
      </c>
      <c r="C1117" t="s">
        <v>106</v>
      </c>
      <c r="D1117">
        <v>-33.917769510403097</v>
      </c>
      <c r="E1117">
        <v>18.8472933753877</v>
      </c>
      <c r="F1117">
        <v>6.5750000000000003E-2</v>
      </c>
      <c r="G1117">
        <v>0.1643</v>
      </c>
      <c r="H1117">
        <v>9.8599999999999993E-2</v>
      </c>
      <c r="I1117">
        <v>4125.54</v>
      </c>
      <c r="J1117">
        <v>6043.08</v>
      </c>
    </row>
    <row r="1118" spans="1:10">
      <c r="A1118">
        <v>15</v>
      </c>
      <c r="B1118">
        <v>10</v>
      </c>
      <c r="C1118" t="s">
        <v>106</v>
      </c>
      <c r="D1118">
        <v>-33.915710163358597</v>
      </c>
      <c r="E1118">
        <v>18.847584788837001</v>
      </c>
      <c r="F1118">
        <v>6.5750000000000003E-2</v>
      </c>
      <c r="G1118">
        <v>0.1643</v>
      </c>
      <c r="H1118">
        <v>9.8599999999999993E-2</v>
      </c>
      <c r="I1118">
        <v>4224.9170000000004</v>
      </c>
      <c r="J1118">
        <v>6142.4579999999996</v>
      </c>
    </row>
    <row r="1119" spans="1:10">
      <c r="A1119">
        <v>16</v>
      </c>
      <c r="B1119">
        <v>10</v>
      </c>
      <c r="C1119" t="s">
        <v>106</v>
      </c>
      <c r="D1119">
        <v>-33.913562210620597</v>
      </c>
      <c r="E1119">
        <v>18.845227622453798</v>
      </c>
      <c r="F1119">
        <v>6.5750000000000003E-2</v>
      </c>
      <c r="G1119">
        <v>0.1643</v>
      </c>
      <c r="H1119">
        <v>9.8599999999999993E-2</v>
      </c>
      <c r="I1119">
        <v>4857.7160000000003</v>
      </c>
      <c r="J1119">
        <v>6775.2569999999996</v>
      </c>
    </row>
    <row r="1120" spans="1:10">
      <c r="A1120">
        <v>17</v>
      </c>
      <c r="B1120">
        <v>10</v>
      </c>
      <c r="C1120" t="s">
        <v>106</v>
      </c>
      <c r="D1120">
        <v>-33.918508705578503</v>
      </c>
      <c r="E1120">
        <v>18.8465748082793</v>
      </c>
      <c r="F1120">
        <v>6.5750000000000003E-2</v>
      </c>
      <c r="G1120">
        <v>0.1643</v>
      </c>
      <c r="H1120">
        <v>9.8599999999999993E-2</v>
      </c>
      <c r="I1120">
        <v>4271.4520000000002</v>
      </c>
      <c r="J1120">
        <v>6188.9930000000004</v>
      </c>
    </row>
    <row r="1121" spans="1:10">
      <c r="A1121">
        <v>18</v>
      </c>
      <c r="B1121">
        <v>10</v>
      </c>
      <c r="C1121" t="s">
        <v>106</v>
      </c>
      <c r="D1121">
        <v>-33.918691232281901</v>
      </c>
      <c r="E1121">
        <v>18.845092150841399</v>
      </c>
      <c r="F1121">
        <v>6.5750000000000003E-2</v>
      </c>
      <c r="G1121">
        <v>0.1643</v>
      </c>
      <c r="H1121">
        <v>9.8599999999999993E-2</v>
      </c>
      <c r="I1121">
        <v>4379.7160000000003</v>
      </c>
      <c r="J1121">
        <v>6297.2569999999996</v>
      </c>
    </row>
    <row r="1122" spans="1:10">
      <c r="A1122">
        <v>19</v>
      </c>
      <c r="B1122">
        <v>10</v>
      </c>
      <c r="C1122" t="s">
        <v>106</v>
      </c>
      <c r="D1122">
        <v>-33.915064791413101</v>
      </c>
      <c r="E1122">
        <v>18.847209519403101</v>
      </c>
      <c r="F1122">
        <v>6.5750000000000003E-2</v>
      </c>
      <c r="G1122">
        <v>0.1643</v>
      </c>
      <c r="H1122">
        <v>9.8599999999999993E-2</v>
      </c>
      <c r="I1122">
        <v>4314.9970000000003</v>
      </c>
      <c r="J1122">
        <v>6232.5379999999996</v>
      </c>
    </row>
    <row r="1123" spans="1:10">
      <c r="A1123">
        <v>20</v>
      </c>
      <c r="B1123">
        <v>10</v>
      </c>
      <c r="C1123" t="s">
        <v>106</v>
      </c>
      <c r="D1123">
        <v>-33.917195002000398</v>
      </c>
      <c r="E1123">
        <v>18.847282688443499</v>
      </c>
      <c r="F1123">
        <v>6.5750000000000003E-2</v>
      </c>
      <c r="G1123">
        <v>0.1643</v>
      </c>
      <c r="H1123">
        <v>9.8599999999999993E-2</v>
      </c>
      <c r="I1123">
        <v>4121.9409999999998</v>
      </c>
      <c r="J1123">
        <v>6039.482</v>
      </c>
    </row>
    <row r="1124" spans="1:10">
      <c r="A1124">
        <v>21</v>
      </c>
      <c r="B1124">
        <v>10</v>
      </c>
      <c r="C1124" t="s">
        <v>106</v>
      </c>
      <c r="D1124">
        <v>-33.916623229934203</v>
      </c>
      <c r="E1124">
        <v>18.845630630777698</v>
      </c>
      <c r="F1124">
        <v>6.5750000000000003E-2</v>
      </c>
      <c r="G1124">
        <v>0.1643</v>
      </c>
      <c r="H1124">
        <v>9.8599999999999993E-2</v>
      </c>
      <c r="I1124">
        <v>4297.2780000000002</v>
      </c>
      <c r="J1124">
        <v>6214.8190000000004</v>
      </c>
    </row>
    <row r="1125" spans="1:10">
      <c r="A1125">
        <v>22</v>
      </c>
      <c r="B1125">
        <v>10</v>
      </c>
      <c r="C1125" t="s">
        <v>106</v>
      </c>
      <c r="D1125">
        <v>-33.918891510570603</v>
      </c>
      <c r="E1125">
        <v>18.846139521499701</v>
      </c>
      <c r="F1125">
        <v>6.5750000000000003E-2</v>
      </c>
      <c r="G1125">
        <v>0.1643</v>
      </c>
      <c r="H1125">
        <v>9.8599999999999993E-2</v>
      </c>
      <c r="I1125">
        <v>4353.893</v>
      </c>
      <c r="J1125">
        <v>6271.4340000000002</v>
      </c>
    </row>
    <row r="1126" spans="1:10">
      <c r="A1126">
        <v>23</v>
      </c>
      <c r="B1126">
        <v>10</v>
      </c>
      <c r="C1126" t="s">
        <v>106</v>
      </c>
      <c r="D1126">
        <v>-33.918763203818799</v>
      </c>
      <c r="E1126">
        <v>18.846975229932699</v>
      </c>
      <c r="F1126">
        <v>6.5750000000000003E-2</v>
      </c>
      <c r="G1126">
        <v>0.1643</v>
      </c>
      <c r="H1126">
        <v>9.8599999999999993E-2</v>
      </c>
      <c r="I1126">
        <v>4236.5219999999999</v>
      </c>
      <c r="J1126">
        <v>6154.0619999999999</v>
      </c>
    </row>
    <row r="1127" spans="1:10">
      <c r="A1127">
        <v>24</v>
      </c>
      <c r="B1127">
        <v>10</v>
      </c>
      <c r="C1127" t="s">
        <v>106</v>
      </c>
      <c r="D1127">
        <v>-33.918767210690397</v>
      </c>
      <c r="E1127">
        <v>18.846490655325301</v>
      </c>
      <c r="F1127">
        <v>6.5750000000000003E-2</v>
      </c>
      <c r="G1127">
        <v>0.1643</v>
      </c>
      <c r="H1127">
        <v>9.8599999999999993E-2</v>
      </c>
      <c r="I1127">
        <v>4374.9539999999997</v>
      </c>
      <c r="J1127">
        <v>6292.4949999999999</v>
      </c>
    </row>
    <row r="1128" spans="1:10">
      <c r="A1128">
        <v>25</v>
      </c>
      <c r="B1128">
        <v>10</v>
      </c>
      <c r="C1128" t="s">
        <v>106</v>
      </c>
      <c r="D1128">
        <v>-33.9129932694714</v>
      </c>
      <c r="E1128">
        <v>18.845562905773399</v>
      </c>
      <c r="F1128">
        <v>6.5750000000000003E-2</v>
      </c>
      <c r="G1128">
        <v>0.1643</v>
      </c>
      <c r="H1128">
        <v>9.8599999999999993E-2</v>
      </c>
      <c r="I1128">
        <v>4798.8900000000003</v>
      </c>
      <c r="J1128">
        <v>6716.4309999999996</v>
      </c>
    </row>
    <row r="1129" spans="1:10">
      <c r="A1129">
        <v>26</v>
      </c>
      <c r="B1129">
        <v>10</v>
      </c>
      <c r="C1129" t="s">
        <v>106</v>
      </c>
      <c r="D1129">
        <v>-33.916883366066699</v>
      </c>
      <c r="E1129">
        <v>18.8465480247655</v>
      </c>
      <c r="F1129">
        <v>6.5750000000000003E-2</v>
      </c>
      <c r="G1129">
        <v>0.1643</v>
      </c>
      <c r="H1129">
        <v>9.8599999999999993E-2</v>
      </c>
      <c r="I1129">
        <v>4171.8770000000004</v>
      </c>
      <c r="J1129">
        <v>6089.4179999999997</v>
      </c>
    </row>
    <row r="1130" spans="1:10">
      <c r="A1130">
        <v>27</v>
      </c>
      <c r="B1130">
        <v>10</v>
      </c>
      <c r="C1130" t="s">
        <v>106</v>
      </c>
      <c r="D1130">
        <v>-33.916109611927098</v>
      </c>
      <c r="E1130">
        <v>18.845897736681302</v>
      </c>
      <c r="F1130">
        <v>6.5750000000000003E-2</v>
      </c>
      <c r="G1130">
        <v>0.1643</v>
      </c>
      <c r="H1130">
        <v>9.8599999999999993E-2</v>
      </c>
      <c r="I1130">
        <v>4310.3630000000003</v>
      </c>
      <c r="J1130">
        <v>6227.9040000000005</v>
      </c>
    </row>
    <row r="1131" spans="1:10">
      <c r="A1131">
        <v>28</v>
      </c>
      <c r="B1131">
        <v>10</v>
      </c>
      <c r="C1131" t="s">
        <v>106</v>
      </c>
      <c r="D1131">
        <v>-33.914572078854498</v>
      </c>
      <c r="E1131">
        <v>18.846843512884</v>
      </c>
      <c r="F1131">
        <v>6.5750000000000003E-2</v>
      </c>
      <c r="G1131">
        <v>0.1643</v>
      </c>
      <c r="H1131">
        <v>9.8599999999999993E-2</v>
      </c>
      <c r="I1131">
        <v>4426.9809999999998</v>
      </c>
      <c r="J1131">
        <v>6344.5219999999999</v>
      </c>
    </row>
    <row r="1132" spans="1:10">
      <c r="A1132">
        <v>29</v>
      </c>
      <c r="B1132">
        <v>10</v>
      </c>
      <c r="C1132" t="s">
        <v>106</v>
      </c>
      <c r="D1132">
        <v>-33.915161027193697</v>
      </c>
      <c r="E1132">
        <v>18.8466481535445</v>
      </c>
      <c r="F1132">
        <v>6.5750000000000003E-2</v>
      </c>
      <c r="G1132">
        <v>0.1643</v>
      </c>
      <c r="H1132">
        <v>9.8599999999999993E-2</v>
      </c>
      <c r="I1132">
        <v>4632.6369999999997</v>
      </c>
      <c r="J1132">
        <v>6550.1779999999999</v>
      </c>
    </row>
    <row r="1133" spans="1:10">
      <c r="A1133">
        <v>30</v>
      </c>
      <c r="B1133">
        <v>10</v>
      </c>
      <c r="C1133" t="s">
        <v>106</v>
      </c>
      <c r="D1133">
        <v>-33.917096722557197</v>
      </c>
      <c r="E1133">
        <v>18.847294034368499</v>
      </c>
      <c r="F1133">
        <v>6.5750000000000003E-2</v>
      </c>
      <c r="G1133">
        <v>0.1643</v>
      </c>
      <c r="H1133">
        <v>9.8599999999999993E-2</v>
      </c>
      <c r="I1133">
        <v>4118.7730000000001</v>
      </c>
      <c r="J1133">
        <v>6036.3140000000003</v>
      </c>
    </row>
    <row r="1134" spans="1:10">
      <c r="A1134">
        <v>31</v>
      </c>
      <c r="B1134">
        <v>10</v>
      </c>
      <c r="C1134" t="s">
        <v>106</v>
      </c>
      <c r="D1134">
        <v>-33.917846611391703</v>
      </c>
      <c r="E1134">
        <v>18.846950184249501</v>
      </c>
      <c r="F1134">
        <v>6.5750000000000003E-2</v>
      </c>
      <c r="G1134">
        <v>0.1643</v>
      </c>
      <c r="H1134">
        <v>9.8599999999999993E-2</v>
      </c>
      <c r="I1134">
        <v>4149.6480000000001</v>
      </c>
      <c r="J1134">
        <v>6067.1890000000003</v>
      </c>
    </row>
    <row r="1135" spans="1:10">
      <c r="A1135">
        <v>32</v>
      </c>
      <c r="B1135">
        <v>10</v>
      </c>
      <c r="C1135" t="s">
        <v>106</v>
      </c>
      <c r="D1135">
        <v>-33.916604005761201</v>
      </c>
      <c r="E1135">
        <v>18.8470374432409</v>
      </c>
      <c r="F1135">
        <v>6.5750000000000003E-2</v>
      </c>
      <c r="G1135">
        <v>0.1643</v>
      </c>
      <c r="H1135">
        <v>9.8599999999999993E-2</v>
      </c>
      <c r="I1135">
        <v>4127.8450000000003</v>
      </c>
      <c r="J1135">
        <v>6045.3860000000004</v>
      </c>
    </row>
    <row r="1136" spans="1:10">
      <c r="A1136">
        <v>33</v>
      </c>
      <c r="B1136">
        <v>10</v>
      </c>
      <c r="C1136" t="s">
        <v>106</v>
      </c>
      <c r="D1136">
        <v>-33.913984631133602</v>
      </c>
      <c r="E1136">
        <v>18.844972087921899</v>
      </c>
      <c r="F1136">
        <v>6.5750000000000003E-2</v>
      </c>
      <c r="G1136">
        <v>0.1643</v>
      </c>
      <c r="H1136">
        <v>9.8599999999999993E-2</v>
      </c>
      <c r="I1136">
        <v>4615.9549999999999</v>
      </c>
      <c r="J1136">
        <v>6533.4960000000001</v>
      </c>
    </row>
    <row r="1137" spans="1:10">
      <c r="A1137">
        <v>34</v>
      </c>
      <c r="B1137">
        <v>10</v>
      </c>
      <c r="C1137" t="s">
        <v>106</v>
      </c>
      <c r="D1137">
        <v>-33.9162773939861</v>
      </c>
      <c r="E1137">
        <v>18.8459835210503</v>
      </c>
      <c r="F1137">
        <v>6.5750000000000003E-2</v>
      </c>
      <c r="G1137">
        <v>0.1643</v>
      </c>
      <c r="H1137">
        <v>9.8599999999999993E-2</v>
      </c>
      <c r="I1137">
        <v>4290.098</v>
      </c>
      <c r="J1137">
        <v>6207.6379999999999</v>
      </c>
    </row>
    <row r="1138" spans="1:10">
      <c r="A1138">
        <v>35</v>
      </c>
      <c r="B1138">
        <v>10</v>
      </c>
      <c r="C1138" t="s">
        <v>106</v>
      </c>
      <c r="D1138">
        <v>-33.913973554039302</v>
      </c>
      <c r="E1138">
        <v>18.845770886891501</v>
      </c>
      <c r="F1138">
        <v>6.5750000000000003E-2</v>
      </c>
      <c r="G1138">
        <v>0.1643</v>
      </c>
      <c r="H1138">
        <v>9.8599999999999993E-2</v>
      </c>
      <c r="I1138">
        <v>4547.924</v>
      </c>
      <c r="J1138">
        <v>6465.4650000000001</v>
      </c>
    </row>
    <row r="1139" spans="1:10">
      <c r="A1139">
        <v>36</v>
      </c>
      <c r="B1139">
        <v>10</v>
      </c>
      <c r="C1139" t="s">
        <v>106</v>
      </c>
      <c r="D1139">
        <v>-33.918294117006297</v>
      </c>
      <c r="E1139">
        <v>18.8449768043821</v>
      </c>
      <c r="F1139">
        <v>6.5750000000000003E-2</v>
      </c>
      <c r="G1139">
        <v>0.1643</v>
      </c>
      <c r="H1139">
        <v>9.8599999999999993E-2</v>
      </c>
      <c r="I1139">
        <v>4614.5720000000001</v>
      </c>
      <c r="J1139">
        <v>6532.1130000000003</v>
      </c>
    </row>
    <row r="1140" spans="1:10">
      <c r="A1140">
        <v>37</v>
      </c>
      <c r="B1140">
        <v>10</v>
      </c>
      <c r="C1140" t="s">
        <v>106</v>
      </c>
      <c r="D1140">
        <v>-33.914278713069002</v>
      </c>
      <c r="E1140">
        <v>18.847013804243598</v>
      </c>
      <c r="F1140">
        <v>6.5750000000000003E-2</v>
      </c>
      <c r="G1140">
        <v>0.1643</v>
      </c>
      <c r="H1140">
        <v>9.8599999999999993E-2</v>
      </c>
      <c r="I1140">
        <v>4396.2659999999996</v>
      </c>
      <c r="J1140">
        <v>6313.8069999999998</v>
      </c>
    </row>
    <row r="1141" spans="1:10">
      <c r="A1141">
        <v>38</v>
      </c>
      <c r="B1141">
        <v>10</v>
      </c>
      <c r="C1141" t="s">
        <v>106</v>
      </c>
      <c r="D1141">
        <v>-33.912590485516802</v>
      </c>
      <c r="E1141">
        <v>18.847610509022601</v>
      </c>
      <c r="F1141">
        <v>6.5750000000000003E-2</v>
      </c>
      <c r="G1141">
        <v>0.1643</v>
      </c>
      <c r="H1141">
        <v>9.8599999999999993E-2</v>
      </c>
      <c r="I1141">
        <v>4449.6139999999996</v>
      </c>
      <c r="J1141">
        <v>6367.1549999999997</v>
      </c>
    </row>
    <row r="1142" spans="1:10">
      <c r="A1142">
        <v>39</v>
      </c>
      <c r="B1142">
        <v>10</v>
      </c>
      <c r="C1142" t="s">
        <v>106</v>
      </c>
      <c r="D1142">
        <v>-33.918300584231602</v>
      </c>
      <c r="E1142">
        <v>18.8455301142588</v>
      </c>
      <c r="F1142">
        <v>6.5750000000000003E-2</v>
      </c>
      <c r="G1142">
        <v>0.1643</v>
      </c>
      <c r="H1142">
        <v>9.8599999999999993E-2</v>
      </c>
      <c r="I1142">
        <v>4396.1350000000002</v>
      </c>
      <c r="J1142">
        <v>6313.6760000000004</v>
      </c>
    </row>
    <row r="1143" spans="1:10">
      <c r="A1143">
        <v>40</v>
      </c>
      <c r="B1143">
        <v>10</v>
      </c>
      <c r="C1143" t="s">
        <v>106</v>
      </c>
      <c r="D1143">
        <v>-33.9153927479095</v>
      </c>
      <c r="E1143">
        <v>18.845573308777698</v>
      </c>
      <c r="F1143">
        <v>6.5750000000000003E-2</v>
      </c>
      <c r="G1143">
        <v>0.1643</v>
      </c>
      <c r="H1143">
        <v>9.8599999999999993E-2</v>
      </c>
      <c r="I1143">
        <v>4624.3130000000001</v>
      </c>
      <c r="J1143">
        <v>6541.8540000000003</v>
      </c>
    </row>
    <row r="1144" spans="1:10">
      <c r="A1144">
        <v>41</v>
      </c>
      <c r="B1144">
        <v>10</v>
      </c>
      <c r="C1144" t="s">
        <v>106</v>
      </c>
      <c r="D1144">
        <v>-33.913883151704397</v>
      </c>
      <c r="E1144">
        <v>18.8455514138697</v>
      </c>
      <c r="F1144">
        <v>6.5750000000000003E-2</v>
      </c>
      <c r="G1144">
        <v>0.1643</v>
      </c>
      <c r="H1144">
        <v>9.8599999999999993E-2</v>
      </c>
      <c r="I1144">
        <v>4600.3119999999999</v>
      </c>
      <c r="J1144">
        <v>6517.8530000000001</v>
      </c>
    </row>
    <row r="1145" spans="1:10">
      <c r="A1145">
        <v>42</v>
      </c>
      <c r="B1145">
        <v>10</v>
      </c>
      <c r="C1145" t="s">
        <v>106</v>
      </c>
      <c r="D1145">
        <v>-33.913523208944497</v>
      </c>
      <c r="E1145">
        <v>18.846533226956399</v>
      </c>
      <c r="F1145">
        <v>6.5750000000000003E-2</v>
      </c>
      <c r="G1145">
        <v>0.1643</v>
      </c>
      <c r="H1145">
        <v>9.8599999999999993E-2</v>
      </c>
      <c r="I1145">
        <v>4473.875</v>
      </c>
      <c r="J1145">
        <v>6391.4160000000002</v>
      </c>
    </row>
    <row r="1146" spans="1:10">
      <c r="A1146">
        <v>43</v>
      </c>
      <c r="B1146">
        <v>10</v>
      </c>
      <c r="C1146" t="s">
        <v>106</v>
      </c>
      <c r="D1146">
        <v>-33.9187433383456</v>
      </c>
      <c r="E1146">
        <v>18.8474508232683</v>
      </c>
      <c r="F1146">
        <v>6.5750000000000003E-2</v>
      </c>
      <c r="G1146">
        <v>0.1643</v>
      </c>
      <c r="H1146">
        <v>9.8599999999999993E-2</v>
      </c>
      <c r="I1146">
        <v>4221.6220000000003</v>
      </c>
      <c r="J1146">
        <v>6139.1629999999996</v>
      </c>
    </row>
    <row r="1147" spans="1:10">
      <c r="A1147">
        <v>44</v>
      </c>
      <c r="B1147">
        <v>10</v>
      </c>
      <c r="C1147" t="s">
        <v>106</v>
      </c>
      <c r="D1147">
        <v>-33.9171138409314</v>
      </c>
      <c r="E1147">
        <v>18.845905397601801</v>
      </c>
      <c r="F1147">
        <v>6.5750000000000003E-2</v>
      </c>
      <c r="G1147">
        <v>0.1643</v>
      </c>
      <c r="H1147">
        <v>9.8599999999999993E-2</v>
      </c>
      <c r="I1147">
        <v>4273.9539999999997</v>
      </c>
      <c r="J1147">
        <v>6191.4949999999999</v>
      </c>
    </row>
    <row r="1148" spans="1:10">
      <c r="A1148">
        <v>45</v>
      </c>
      <c r="B1148">
        <v>10</v>
      </c>
      <c r="C1148" t="s">
        <v>106</v>
      </c>
      <c r="D1148">
        <v>-33.916534979046602</v>
      </c>
      <c r="E1148">
        <v>18.845614122838601</v>
      </c>
      <c r="F1148">
        <v>6.5750000000000003E-2</v>
      </c>
      <c r="G1148">
        <v>0.1643</v>
      </c>
      <c r="H1148">
        <v>9.8599999999999993E-2</v>
      </c>
      <c r="I1148">
        <v>4306.8999999999996</v>
      </c>
      <c r="J1148">
        <v>6224.4409999999998</v>
      </c>
    </row>
    <row r="1149" spans="1:10">
      <c r="A1149">
        <v>46</v>
      </c>
      <c r="B1149">
        <v>10</v>
      </c>
      <c r="C1149" t="s">
        <v>106</v>
      </c>
      <c r="D1149">
        <v>-33.918682111799797</v>
      </c>
      <c r="E1149">
        <v>18.846552955152301</v>
      </c>
      <c r="F1149">
        <v>6.5750000000000003E-2</v>
      </c>
      <c r="G1149">
        <v>0.1643</v>
      </c>
      <c r="H1149">
        <v>9.8599999999999993E-2</v>
      </c>
      <c r="I1149">
        <v>4263.6989999999996</v>
      </c>
      <c r="J1149">
        <v>6181.24</v>
      </c>
    </row>
    <row r="1150" spans="1:10">
      <c r="A1150">
        <v>47</v>
      </c>
      <c r="B1150">
        <v>10</v>
      </c>
      <c r="C1150" t="s">
        <v>106</v>
      </c>
      <c r="D1150">
        <v>-33.9143533093551</v>
      </c>
      <c r="E1150">
        <v>18.845648334689901</v>
      </c>
      <c r="F1150">
        <v>6.5750000000000003E-2</v>
      </c>
      <c r="G1150">
        <v>0.1643</v>
      </c>
      <c r="H1150">
        <v>9.8599999999999993E-2</v>
      </c>
      <c r="I1150">
        <v>4544.8729999999996</v>
      </c>
      <c r="J1150">
        <v>6462.4139999999998</v>
      </c>
    </row>
    <row r="1151" spans="1:10">
      <c r="A1151">
        <v>48</v>
      </c>
      <c r="B1151">
        <v>10</v>
      </c>
      <c r="C1151" t="s">
        <v>106</v>
      </c>
      <c r="D1151">
        <v>-33.916806256755699</v>
      </c>
      <c r="E1151">
        <v>18.8455128099211</v>
      </c>
      <c r="F1151">
        <v>6.5750000000000003E-2</v>
      </c>
      <c r="G1151">
        <v>0.1643</v>
      </c>
      <c r="H1151">
        <v>9.8599999999999993E-2</v>
      </c>
      <c r="I1151">
        <v>4285.1589999999997</v>
      </c>
      <c r="J1151">
        <v>6202.6989999999996</v>
      </c>
    </row>
    <row r="1152" spans="1:10">
      <c r="A1152">
        <v>49</v>
      </c>
      <c r="B1152">
        <v>10</v>
      </c>
      <c r="C1152" t="s">
        <v>106</v>
      </c>
      <c r="D1152">
        <v>-33.913658452467999</v>
      </c>
      <c r="E1152">
        <v>18.8462957565545</v>
      </c>
      <c r="F1152">
        <v>6.5750000000000003E-2</v>
      </c>
      <c r="G1152">
        <v>0.1643</v>
      </c>
      <c r="H1152">
        <v>9.8599999999999993E-2</v>
      </c>
      <c r="I1152">
        <v>4500.4319999999998</v>
      </c>
      <c r="J1152">
        <v>6417.9719999999998</v>
      </c>
    </row>
    <row r="1153" spans="1:10">
      <c r="A1153">
        <v>50</v>
      </c>
      <c r="B1153">
        <v>10</v>
      </c>
      <c r="C1153" t="s">
        <v>106</v>
      </c>
      <c r="D1153">
        <v>-33.915049720905202</v>
      </c>
      <c r="E1153">
        <v>18.846750567241699</v>
      </c>
      <c r="F1153">
        <v>6.5750000000000003E-2</v>
      </c>
      <c r="G1153">
        <v>0.1643</v>
      </c>
      <c r="H1153">
        <v>9.8599999999999993E-2</v>
      </c>
      <c r="I1153">
        <v>4356.18</v>
      </c>
      <c r="J1153">
        <v>6273.7209999999995</v>
      </c>
    </row>
    <row r="1154" spans="1:10">
      <c r="A1154">
        <v>51</v>
      </c>
      <c r="B1154">
        <v>10</v>
      </c>
      <c r="C1154" t="s">
        <v>106</v>
      </c>
      <c r="D1154">
        <v>-33.912728874428403</v>
      </c>
      <c r="E1154">
        <v>18.8467639554923</v>
      </c>
      <c r="F1154">
        <v>6.5750000000000003E-2</v>
      </c>
      <c r="G1154">
        <v>0.1643</v>
      </c>
      <c r="H1154">
        <v>9.8599999999999993E-2</v>
      </c>
      <c r="I1154">
        <v>4710.9539999999997</v>
      </c>
      <c r="J1154">
        <v>6628.4949999999999</v>
      </c>
    </row>
    <row r="1155" spans="1:10">
      <c r="A1155">
        <v>52</v>
      </c>
      <c r="B1155">
        <v>10</v>
      </c>
      <c r="C1155" t="s">
        <v>106</v>
      </c>
      <c r="D1155">
        <v>-33.914356999492703</v>
      </c>
      <c r="E1155">
        <v>18.844971347769199</v>
      </c>
      <c r="F1155">
        <v>6.5750000000000003E-2</v>
      </c>
      <c r="G1155">
        <v>0.1643</v>
      </c>
      <c r="H1155">
        <v>9.8599999999999993E-2</v>
      </c>
      <c r="I1155">
        <v>4596.2560000000003</v>
      </c>
      <c r="J1155">
        <v>6513.7969999999996</v>
      </c>
    </row>
    <row r="1156" spans="1:10">
      <c r="A1156">
        <v>53</v>
      </c>
      <c r="B1156">
        <v>10</v>
      </c>
      <c r="C1156" t="s">
        <v>106</v>
      </c>
      <c r="D1156">
        <v>-33.913618289250799</v>
      </c>
      <c r="E1156">
        <v>18.845314729673898</v>
      </c>
      <c r="F1156">
        <v>6.5750000000000003E-2</v>
      </c>
      <c r="G1156">
        <v>0.1643</v>
      </c>
      <c r="H1156">
        <v>9.8599999999999993E-2</v>
      </c>
      <c r="I1156">
        <v>4854.5110000000004</v>
      </c>
      <c r="J1156">
        <v>6772.0519999999997</v>
      </c>
    </row>
    <row r="1157" spans="1:10">
      <c r="A1157">
        <v>54</v>
      </c>
      <c r="B1157">
        <v>10</v>
      </c>
      <c r="C1157" t="s">
        <v>106</v>
      </c>
      <c r="D1157">
        <v>-33.915435600028303</v>
      </c>
      <c r="E1157">
        <v>18.846315767742901</v>
      </c>
      <c r="F1157">
        <v>6.5750000000000003E-2</v>
      </c>
      <c r="G1157">
        <v>0.1643</v>
      </c>
      <c r="H1157">
        <v>9.8599999999999993E-2</v>
      </c>
      <c r="I1157">
        <v>4315.3109999999997</v>
      </c>
      <c r="J1157">
        <v>6232.8519999999999</v>
      </c>
    </row>
    <row r="1158" spans="1:10">
      <c r="A1158">
        <v>55</v>
      </c>
      <c r="B1158">
        <v>10</v>
      </c>
      <c r="C1158" t="s">
        <v>106</v>
      </c>
      <c r="D1158">
        <v>-33.918541987322698</v>
      </c>
      <c r="E1158">
        <v>18.847507545990101</v>
      </c>
      <c r="F1158">
        <v>6.5750000000000003E-2</v>
      </c>
      <c r="G1158">
        <v>0.1643</v>
      </c>
      <c r="H1158">
        <v>9.8599999999999993E-2</v>
      </c>
      <c r="I1158">
        <v>4215.0349999999999</v>
      </c>
      <c r="J1158">
        <v>6132.576</v>
      </c>
    </row>
    <row r="1159" spans="1:10">
      <c r="A1159">
        <v>56</v>
      </c>
      <c r="B1159">
        <v>10</v>
      </c>
      <c r="C1159" t="s">
        <v>106</v>
      </c>
      <c r="D1159">
        <v>-33.9186113567701</v>
      </c>
      <c r="E1159">
        <v>18.845032835741801</v>
      </c>
      <c r="F1159">
        <v>6.5750000000000003E-2</v>
      </c>
      <c r="G1159">
        <v>0.1643</v>
      </c>
      <c r="H1159">
        <v>9.8599999999999993E-2</v>
      </c>
      <c r="I1159">
        <v>4385.9179999999997</v>
      </c>
      <c r="J1159">
        <v>6303.4589999999998</v>
      </c>
    </row>
    <row r="1160" spans="1:10">
      <c r="A1160">
        <v>57</v>
      </c>
      <c r="B1160">
        <v>10</v>
      </c>
      <c r="C1160" t="s">
        <v>106</v>
      </c>
      <c r="D1160">
        <v>-33.912571065800996</v>
      </c>
      <c r="E1160">
        <v>18.845845460925499</v>
      </c>
      <c r="F1160">
        <v>6.5750000000000003E-2</v>
      </c>
      <c r="G1160">
        <v>0.1643</v>
      </c>
      <c r="H1160">
        <v>9.8599999999999993E-2</v>
      </c>
      <c r="I1160">
        <v>4750.1189999999997</v>
      </c>
      <c r="J1160">
        <v>6667.66</v>
      </c>
    </row>
    <row r="1161" spans="1:10">
      <c r="A1161">
        <v>58</v>
      </c>
      <c r="B1161">
        <v>10</v>
      </c>
      <c r="C1161" t="s">
        <v>106</v>
      </c>
      <c r="D1161">
        <v>-33.913766820564</v>
      </c>
      <c r="E1161">
        <v>18.845164024759502</v>
      </c>
      <c r="F1161">
        <v>6.5750000000000003E-2</v>
      </c>
      <c r="G1161">
        <v>0.1643</v>
      </c>
      <c r="H1161">
        <v>9.8599999999999993E-2</v>
      </c>
      <c r="I1161">
        <v>4623.1689999999999</v>
      </c>
      <c r="J1161">
        <v>6540.7089999999998</v>
      </c>
    </row>
    <row r="1162" spans="1:10">
      <c r="A1162">
        <v>59</v>
      </c>
      <c r="B1162">
        <v>10</v>
      </c>
      <c r="C1162" t="s">
        <v>106</v>
      </c>
      <c r="D1162">
        <v>-33.916595535117501</v>
      </c>
      <c r="E1162">
        <v>18.845184032911501</v>
      </c>
      <c r="F1162">
        <v>6.5750000000000003E-2</v>
      </c>
      <c r="G1162">
        <v>0.1643</v>
      </c>
      <c r="H1162">
        <v>9.8599999999999993E-2</v>
      </c>
      <c r="I1162">
        <v>4316.3029999999999</v>
      </c>
      <c r="J1162">
        <v>6233.8440000000001</v>
      </c>
    </row>
    <row r="1163" spans="1:10">
      <c r="A1163">
        <v>60</v>
      </c>
      <c r="B1163">
        <v>10</v>
      </c>
      <c r="C1163" t="s">
        <v>106</v>
      </c>
      <c r="D1163">
        <v>-33.912734952723902</v>
      </c>
      <c r="E1163">
        <v>18.8449652767213</v>
      </c>
      <c r="F1163">
        <v>6.5750000000000003E-2</v>
      </c>
      <c r="G1163">
        <v>0.1643</v>
      </c>
      <c r="H1163">
        <v>9.8599999999999993E-2</v>
      </c>
      <c r="I1163">
        <v>4826.3869999999997</v>
      </c>
      <c r="J1163">
        <v>6743.9279999999999</v>
      </c>
    </row>
    <row r="1164" spans="1:10">
      <c r="A1164">
        <v>61</v>
      </c>
      <c r="B1164">
        <v>10</v>
      </c>
      <c r="C1164" t="s">
        <v>106</v>
      </c>
      <c r="D1164">
        <v>-33.912779781277401</v>
      </c>
      <c r="E1164">
        <v>18.845146233779499</v>
      </c>
      <c r="F1164">
        <v>6.5750000000000003E-2</v>
      </c>
      <c r="G1164">
        <v>0.1643</v>
      </c>
      <c r="H1164">
        <v>9.8599999999999993E-2</v>
      </c>
      <c r="I1164">
        <v>4818.1049999999996</v>
      </c>
      <c r="J1164">
        <v>6735.6459999999997</v>
      </c>
    </row>
    <row r="1165" spans="1:10">
      <c r="A1165">
        <v>62</v>
      </c>
      <c r="B1165">
        <v>10</v>
      </c>
      <c r="C1165" t="s">
        <v>106</v>
      </c>
      <c r="D1165">
        <v>-33.917722848145402</v>
      </c>
      <c r="E1165">
        <v>18.847166197840799</v>
      </c>
      <c r="F1165">
        <v>6.5750000000000003E-2</v>
      </c>
      <c r="G1165">
        <v>0.1643</v>
      </c>
      <c r="H1165">
        <v>9.8599999999999993E-2</v>
      </c>
      <c r="I1165">
        <v>4156.7740000000003</v>
      </c>
      <c r="J1165">
        <v>6074.3149999999996</v>
      </c>
    </row>
    <row r="1166" spans="1:10">
      <c r="A1166">
        <v>63</v>
      </c>
      <c r="B1166">
        <v>10</v>
      </c>
      <c r="C1166" t="s">
        <v>106</v>
      </c>
      <c r="D1166">
        <v>-33.914296357708899</v>
      </c>
      <c r="E1166">
        <v>18.847078867266799</v>
      </c>
      <c r="F1166">
        <v>6.5750000000000003E-2</v>
      </c>
      <c r="G1166">
        <v>0.1643</v>
      </c>
      <c r="H1166">
        <v>9.8599999999999993E-2</v>
      </c>
      <c r="I1166">
        <v>4392.24</v>
      </c>
      <c r="J1166">
        <v>6309.7809999999999</v>
      </c>
    </row>
    <row r="1167" spans="1:10">
      <c r="A1167">
        <v>64</v>
      </c>
      <c r="B1167">
        <v>10</v>
      </c>
      <c r="C1167" t="s">
        <v>106</v>
      </c>
      <c r="D1167">
        <v>-33.915702715875703</v>
      </c>
      <c r="E1167">
        <v>18.846918202204598</v>
      </c>
      <c r="F1167">
        <v>6.5750000000000003E-2</v>
      </c>
      <c r="G1167">
        <v>0.1643</v>
      </c>
      <c r="H1167">
        <v>9.8599999999999993E-2</v>
      </c>
      <c r="I1167">
        <v>4291.8119999999999</v>
      </c>
      <c r="J1167">
        <v>6209.3530000000001</v>
      </c>
    </row>
    <row r="1168" spans="1:10">
      <c r="A1168">
        <v>65</v>
      </c>
      <c r="B1168">
        <v>10</v>
      </c>
      <c r="C1168" t="s">
        <v>106</v>
      </c>
      <c r="D1168">
        <v>-33.916676584770798</v>
      </c>
      <c r="E1168">
        <v>18.8472985020911</v>
      </c>
      <c r="F1168">
        <v>6.5750000000000003E-2</v>
      </c>
      <c r="G1168">
        <v>0.1643</v>
      </c>
      <c r="H1168">
        <v>9.8599999999999993E-2</v>
      </c>
      <c r="I1168">
        <v>4105.7939999999999</v>
      </c>
      <c r="J1168">
        <v>6023.335</v>
      </c>
    </row>
    <row r="1169" spans="1:10">
      <c r="A1169">
        <v>66</v>
      </c>
      <c r="B1169">
        <v>10</v>
      </c>
      <c r="C1169" t="s">
        <v>106</v>
      </c>
      <c r="D1169">
        <v>-33.918699841469298</v>
      </c>
      <c r="E1169">
        <v>18.845515861392201</v>
      </c>
      <c r="F1169">
        <v>6.5750000000000003E-2</v>
      </c>
      <c r="G1169">
        <v>0.1643</v>
      </c>
      <c r="H1169">
        <v>9.8599999999999993E-2</v>
      </c>
      <c r="I1169">
        <v>4348.3819999999996</v>
      </c>
      <c r="J1169">
        <v>6265.9229999999998</v>
      </c>
    </row>
    <row r="1170" spans="1:10">
      <c r="A1170">
        <v>67</v>
      </c>
      <c r="B1170">
        <v>10</v>
      </c>
      <c r="C1170" t="s">
        <v>106</v>
      </c>
      <c r="D1170">
        <v>-33.9171889329659</v>
      </c>
      <c r="E1170">
        <v>18.847307427772598</v>
      </c>
      <c r="F1170">
        <v>6.5750000000000003E-2</v>
      </c>
      <c r="G1170">
        <v>0.1643</v>
      </c>
      <c r="H1170">
        <v>9.8599999999999993E-2</v>
      </c>
      <c r="I1170">
        <v>4119.57</v>
      </c>
      <c r="J1170">
        <v>6037.1109999999999</v>
      </c>
    </row>
    <row r="1171" spans="1:10">
      <c r="A1171">
        <v>68</v>
      </c>
      <c r="B1171">
        <v>10</v>
      </c>
      <c r="C1171" t="s">
        <v>106</v>
      </c>
      <c r="D1171">
        <v>-33.917939760318198</v>
      </c>
      <c r="E1171">
        <v>18.845838218434501</v>
      </c>
      <c r="F1171">
        <v>6.5750000000000003E-2</v>
      </c>
      <c r="G1171">
        <v>0.1643</v>
      </c>
      <c r="H1171">
        <v>9.8599999999999993E-2</v>
      </c>
      <c r="I1171">
        <v>4432.3419999999996</v>
      </c>
      <c r="J1171">
        <v>6349.8819999999996</v>
      </c>
    </row>
    <row r="1172" spans="1:10">
      <c r="A1172">
        <v>69</v>
      </c>
      <c r="B1172">
        <v>10</v>
      </c>
      <c r="C1172" t="s">
        <v>106</v>
      </c>
      <c r="D1172">
        <v>-33.913748666694701</v>
      </c>
      <c r="E1172">
        <v>18.846822640983198</v>
      </c>
      <c r="F1172">
        <v>6.5750000000000003E-2</v>
      </c>
      <c r="G1172">
        <v>0.1643</v>
      </c>
      <c r="H1172">
        <v>9.8599999999999993E-2</v>
      </c>
      <c r="I1172">
        <v>4424.7380000000003</v>
      </c>
      <c r="J1172">
        <v>6342.2790000000005</v>
      </c>
    </row>
    <row r="1173" spans="1:10">
      <c r="A1173">
        <v>70</v>
      </c>
      <c r="B1173">
        <v>10</v>
      </c>
      <c r="C1173" t="s">
        <v>106</v>
      </c>
      <c r="D1173">
        <v>-33.918629366235898</v>
      </c>
      <c r="E1173">
        <v>18.846199323206999</v>
      </c>
      <c r="F1173">
        <v>6.5750000000000003E-2</v>
      </c>
      <c r="G1173">
        <v>0.1643</v>
      </c>
      <c r="H1173">
        <v>9.8599999999999993E-2</v>
      </c>
      <c r="I1173">
        <v>4344.0110000000004</v>
      </c>
      <c r="J1173">
        <v>6261.5519999999997</v>
      </c>
    </row>
    <row r="1174" spans="1:10">
      <c r="A1174">
        <v>71</v>
      </c>
      <c r="B1174">
        <v>10</v>
      </c>
      <c r="C1174" t="s">
        <v>106</v>
      </c>
      <c r="D1174">
        <v>-33.916094724648403</v>
      </c>
      <c r="E1174">
        <v>18.846203369645401</v>
      </c>
      <c r="F1174">
        <v>6.5750000000000003E-2</v>
      </c>
      <c r="G1174">
        <v>0.1643</v>
      </c>
      <c r="H1174">
        <v>9.8599999999999993E-2</v>
      </c>
      <c r="I1174">
        <v>4249.1360000000004</v>
      </c>
      <c r="J1174">
        <v>6166.6769999999997</v>
      </c>
    </row>
    <row r="1175" spans="1:10">
      <c r="A1175">
        <v>72</v>
      </c>
      <c r="B1175">
        <v>10</v>
      </c>
      <c r="C1175" t="s">
        <v>106</v>
      </c>
      <c r="D1175">
        <v>-33.913089182498901</v>
      </c>
      <c r="E1175">
        <v>18.847249747662399</v>
      </c>
      <c r="F1175">
        <v>6.5750000000000003E-2</v>
      </c>
      <c r="G1175">
        <v>0.1643</v>
      </c>
      <c r="H1175">
        <v>9.8599999999999993E-2</v>
      </c>
      <c r="I1175">
        <v>4392.7359999999999</v>
      </c>
      <c r="J1175">
        <v>6310.277</v>
      </c>
    </row>
    <row r="1176" spans="1:10">
      <c r="A1176">
        <v>73</v>
      </c>
      <c r="B1176">
        <v>10</v>
      </c>
      <c r="C1176" t="s">
        <v>106</v>
      </c>
      <c r="D1176">
        <v>-33.918302314235099</v>
      </c>
      <c r="E1176">
        <v>18.847325143517001</v>
      </c>
      <c r="F1176">
        <v>6.5750000000000003E-2</v>
      </c>
      <c r="G1176">
        <v>0.1643</v>
      </c>
      <c r="H1176">
        <v>9.8599999999999993E-2</v>
      </c>
      <c r="I1176">
        <v>4173.0069999999996</v>
      </c>
      <c r="J1176">
        <v>6090.5479999999998</v>
      </c>
    </row>
    <row r="1177" spans="1:10">
      <c r="A1177">
        <v>74</v>
      </c>
      <c r="B1177">
        <v>10</v>
      </c>
      <c r="C1177" t="s">
        <v>106</v>
      </c>
      <c r="D1177">
        <v>-33.914616523135599</v>
      </c>
      <c r="E1177">
        <v>18.8463033384254</v>
      </c>
      <c r="F1177">
        <v>6.5750000000000003E-2</v>
      </c>
      <c r="G1177">
        <v>0.1643</v>
      </c>
      <c r="H1177">
        <v>9.8599999999999993E-2</v>
      </c>
      <c r="I1177">
        <v>4471.7529999999997</v>
      </c>
      <c r="J1177">
        <v>6389.2939999999999</v>
      </c>
    </row>
    <row r="1178" spans="1:10">
      <c r="A1178">
        <v>75</v>
      </c>
      <c r="B1178">
        <v>10</v>
      </c>
      <c r="C1178" t="s">
        <v>106</v>
      </c>
      <c r="D1178">
        <v>-33.9165921952739</v>
      </c>
      <c r="E1178">
        <v>18.845360918422202</v>
      </c>
      <c r="F1178">
        <v>6.5750000000000003E-2</v>
      </c>
      <c r="G1178">
        <v>0.1643</v>
      </c>
      <c r="H1178">
        <v>9.8599999999999993E-2</v>
      </c>
      <c r="I1178">
        <v>4310.2309999999998</v>
      </c>
      <c r="J1178">
        <v>6227.7719999999999</v>
      </c>
    </row>
    <row r="1179" spans="1:10">
      <c r="A1179">
        <v>76</v>
      </c>
      <c r="B1179">
        <v>10</v>
      </c>
      <c r="C1179" t="s">
        <v>106</v>
      </c>
      <c r="D1179">
        <v>-33.913211769480299</v>
      </c>
      <c r="E1179">
        <v>18.846015964727499</v>
      </c>
      <c r="F1179">
        <v>6.5750000000000003E-2</v>
      </c>
      <c r="G1179">
        <v>0.1643</v>
      </c>
      <c r="H1179">
        <v>9.8599999999999993E-2</v>
      </c>
      <c r="I1179">
        <v>4775.5919999999996</v>
      </c>
      <c r="J1179">
        <v>6693.1319999999996</v>
      </c>
    </row>
    <row r="1180" spans="1:10">
      <c r="A1180">
        <v>77</v>
      </c>
      <c r="B1180">
        <v>10</v>
      </c>
      <c r="C1180" t="s">
        <v>106</v>
      </c>
      <c r="D1180">
        <v>-33.918090131011397</v>
      </c>
      <c r="E1180">
        <v>18.845562262073098</v>
      </c>
      <c r="F1180">
        <v>6.5750000000000003E-2</v>
      </c>
      <c r="G1180">
        <v>0.1643</v>
      </c>
      <c r="H1180">
        <v>9.8599999999999993E-2</v>
      </c>
      <c r="I1180">
        <v>4417.8010000000004</v>
      </c>
      <c r="J1180">
        <v>6335.3419999999996</v>
      </c>
    </row>
    <row r="1181" spans="1:10">
      <c r="A1181">
        <v>78</v>
      </c>
      <c r="B1181">
        <v>10</v>
      </c>
      <c r="C1181" t="s">
        <v>106</v>
      </c>
      <c r="D1181">
        <v>-33.913112489321399</v>
      </c>
      <c r="E1181">
        <v>18.844965518981599</v>
      </c>
      <c r="F1181">
        <v>6.5750000000000003E-2</v>
      </c>
      <c r="G1181">
        <v>0.1643</v>
      </c>
      <c r="H1181">
        <v>9.8599999999999993E-2</v>
      </c>
      <c r="I1181">
        <v>4852.9480000000003</v>
      </c>
      <c r="J1181">
        <v>6770.4889999999996</v>
      </c>
    </row>
    <row r="1182" spans="1:10">
      <c r="A1182">
        <v>79</v>
      </c>
      <c r="B1182">
        <v>10</v>
      </c>
      <c r="C1182" t="s">
        <v>106</v>
      </c>
      <c r="D1182">
        <v>-33.918632482153498</v>
      </c>
      <c r="E1182">
        <v>18.846996109435398</v>
      </c>
      <c r="F1182">
        <v>6.5750000000000003E-2</v>
      </c>
      <c r="G1182">
        <v>0.1643</v>
      </c>
      <c r="H1182">
        <v>9.8599999999999993E-2</v>
      </c>
      <c r="I1182">
        <v>4232.2430000000004</v>
      </c>
      <c r="J1182">
        <v>6149.7839999999997</v>
      </c>
    </row>
    <row r="1183" spans="1:10">
      <c r="A1183">
        <v>80</v>
      </c>
      <c r="B1183">
        <v>10</v>
      </c>
      <c r="C1183" t="s">
        <v>106</v>
      </c>
      <c r="D1183">
        <v>-33.916682624324999</v>
      </c>
      <c r="E1183">
        <v>18.846614928848101</v>
      </c>
      <c r="F1183">
        <v>6.5750000000000003E-2</v>
      </c>
      <c r="G1183">
        <v>0.1643</v>
      </c>
      <c r="H1183">
        <v>9.8599999999999993E-2</v>
      </c>
      <c r="I1183">
        <v>4174.8630000000003</v>
      </c>
      <c r="J1183">
        <v>6092.4030000000002</v>
      </c>
    </row>
    <row r="1184" spans="1:10">
      <c r="A1184">
        <v>81</v>
      </c>
      <c r="B1184">
        <v>10</v>
      </c>
      <c r="C1184" t="s">
        <v>106</v>
      </c>
      <c r="D1184">
        <v>-33.914796420695197</v>
      </c>
      <c r="E1184">
        <v>18.845075095438599</v>
      </c>
      <c r="F1184">
        <v>6.5750000000000003E-2</v>
      </c>
      <c r="G1184">
        <v>0.1643</v>
      </c>
      <c r="H1184">
        <v>9.8599999999999993E-2</v>
      </c>
      <c r="I1184">
        <v>4753.8</v>
      </c>
      <c r="J1184">
        <v>6671.3410000000003</v>
      </c>
    </row>
    <row r="1185" spans="1:10">
      <c r="A1185">
        <v>82</v>
      </c>
      <c r="B1185">
        <v>10</v>
      </c>
      <c r="C1185" t="s">
        <v>106</v>
      </c>
      <c r="D1185">
        <v>-33.915566474334902</v>
      </c>
      <c r="E1185">
        <v>18.8473824376238</v>
      </c>
      <c r="F1185">
        <v>6.5750000000000003E-2</v>
      </c>
      <c r="G1185">
        <v>0.1643</v>
      </c>
      <c r="H1185">
        <v>9.8599999999999993E-2</v>
      </c>
      <c r="I1185">
        <v>4246.018</v>
      </c>
      <c r="J1185">
        <v>6163.5590000000002</v>
      </c>
    </row>
    <row r="1186" spans="1:10">
      <c r="A1186">
        <v>83</v>
      </c>
      <c r="B1186">
        <v>10</v>
      </c>
      <c r="C1186" t="s">
        <v>106</v>
      </c>
      <c r="D1186">
        <v>-33.918005738986999</v>
      </c>
      <c r="E1186">
        <v>18.845341972395801</v>
      </c>
      <c r="F1186">
        <v>6.5750000000000003E-2</v>
      </c>
      <c r="G1186">
        <v>0.1643</v>
      </c>
      <c r="H1186">
        <v>9.8599999999999993E-2</v>
      </c>
      <c r="I1186">
        <v>4649.3670000000002</v>
      </c>
      <c r="J1186">
        <v>6566.9070000000002</v>
      </c>
    </row>
    <row r="1187" spans="1:10">
      <c r="A1187">
        <v>84</v>
      </c>
      <c r="B1187">
        <v>10</v>
      </c>
      <c r="C1187" t="s">
        <v>106</v>
      </c>
      <c r="D1187">
        <v>-33.914159702550002</v>
      </c>
      <c r="E1187">
        <v>18.847125911054601</v>
      </c>
      <c r="F1187">
        <v>6.5750000000000003E-2</v>
      </c>
      <c r="G1187">
        <v>0.1643</v>
      </c>
      <c r="H1187">
        <v>9.8599999999999993E-2</v>
      </c>
      <c r="I1187">
        <v>4380.45</v>
      </c>
      <c r="J1187">
        <v>6297.991</v>
      </c>
    </row>
    <row r="1188" spans="1:10">
      <c r="A1188">
        <v>85</v>
      </c>
      <c r="B1188">
        <v>10</v>
      </c>
      <c r="C1188" t="s">
        <v>106</v>
      </c>
      <c r="D1188">
        <v>-33.916365734331102</v>
      </c>
      <c r="E1188">
        <v>18.8461611210524</v>
      </c>
      <c r="F1188">
        <v>6.5750000000000003E-2</v>
      </c>
      <c r="G1188">
        <v>0.1643</v>
      </c>
      <c r="H1188">
        <v>9.8599999999999993E-2</v>
      </c>
      <c r="I1188">
        <v>4274.7780000000002</v>
      </c>
      <c r="J1188">
        <v>6192.3190000000004</v>
      </c>
    </row>
    <row r="1189" spans="1:10">
      <c r="A1189">
        <v>86</v>
      </c>
      <c r="B1189">
        <v>10</v>
      </c>
      <c r="C1189" t="s">
        <v>106</v>
      </c>
      <c r="D1189">
        <v>-33.913122090129903</v>
      </c>
      <c r="E1189">
        <v>18.846860428479701</v>
      </c>
      <c r="F1189">
        <v>6.5750000000000003E-2</v>
      </c>
      <c r="G1189">
        <v>0.1643</v>
      </c>
      <c r="H1189">
        <v>9.8599999999999993E-2</v>
      </c>
      <c r="I1189">
        <v>4424.5519999999997</v>
      </c>
      <c r="J1189">
        <v>6342.0929999999998</v>
      </c>
    </row>
    <row r="1190" spans="1:10">
      <c r="A1190">
        <v>87</v>
      </c>
      <c r="B1190">
        <v>10</v>
      </c>
      <c r="C1190" t="s">
        <v>106</v>
      </c>
      <c r="D1190">
        <v>-33.912583139609701</v>
      </c>
      <c r="E1190">
        <v>18.8469326613459</v>
      </c>
      <c r="F1190">
        <v>6.5750000000000003E-2</v>
      </c>
      <c r="G1190">
        <v>0.1643</v>
      </c>
      <c r="H1190">
        <v>9.8599999999999993E-2</v>
      </c>
      <c r="I1190">
        <v>4414.2809999999999</v>
      </c>
      <c r="J1190">
        <v>6331.8220000000001</v>
      </c>
    </row>
    <row r="1191" spans="1:10">
      <c r="A1191">
        <v>88</v>
      </c>
      <c r="B1191">
        <v>10</v>
      </c>
      <c r="C1191" t="s">
        <v>106</v>
      </c>
      <c r="D1191">
        <v>-33.915549265400401</v>
      </c>
      <c r="E1191">
        <v>18.845620916388299</v>
      </c>
      <c r="F1191">
        <v>6.5750000000000003E-2</v>
      </c>
      <c r="G1191">
        <v>0.1643</v>
      </c>
      <c r="H1191">
        <v>9.8599999999999993E-2</v>
      </c>
      <c r="I1191">
        <v>4626.183</v>
      </c>
      <c r="J1191">
        <v>6543.7240000000002</v>
      </c>
    </row>
    <row r="1192" spans="1:10">
      <c r="A1192">
        <v>89</v>
      </c>
      <c r="B1192">
        <v>10</v>
      </c>
      <c r="C1192" t="s">
        <v>106</v>
      </c>
      <c r="D1192">
        <v>-33.918739582734403</v>
      </c>
      <c r="E1192">
        <v>18.846307172672301</v>
      </c>
      <c r="F1192">
        <v>6.5750000000000003E-2</v>
      </c>
      <c r="G1192">
        <v>0.1643</v>
      </c>
      <c r="H1192">
        <v>9.8599999999999993E-2</v>
      </c>
      <c r="I1192">
        <v>4358.7740000000003</v>
      </c>
      <c r="J1192">
        <v>6276.3149999999996</v>
      </c>
    </row>
    <row r="1193" spans="1:10">
      <c r="A1193">
        <v>90</v>
      </c>
      <c r="B1193">
        <v>10</v>
      </c>
      <c r="C1193" t="s">
        <v>106</v>
      </c>
      <c r="D1193">
        <v>-33.914263135242798</v>
      </c>
      <c r="E1193">
        <v>18.846334081585201</v>
      </c>
      <c r="F1193">
        <v>6.5750000000000003E-2</v>
      </c>
      <c r="G1193">
        <v>0.1643</v>
      </c>
      <c r="H1193">
        <v>9.8599999999999993E-2</v>
      </c>
      <c r="I1193">
        <v>4492.5609999999997</v>
      </c>
      <c r="J1193">
        <v>6410.1009999999997</v>
      </c>
    </row>
    <row r="1194" spans="1:10">
      <c r="A1194">
        <v>91</v>
      </c>
      <c r="B1194">
        <v>10</v>
      </c>
      <c r="C1194" t="s">
        <v>106</v>
      </c>
      <c r="D1194">
        <v>-33.916749547094803</v>
      </c>
      <c r="E1194">
        <v>18.8474315298016</v>
      </c>
      <c r="F1194">
        <v>6.5750000000000003E-2</v>
      </c>
      <c r="G1194">
        <v>0.1643</v>
      </c>
      <c r="H1194">
        <v>9.8599999999999993E-2</v>
      </c>
      <c r="I1194">
        <v>4094.5120000000002</v>
      </c>
      <c r="J1194">
        <v>6012.0529999999999</v>
      </c>
    </row>
    <row r="1195" spans="1:10">
      <c r="A1195">
        <v>92</v>
      </c>
      <c r="B1195">
        <v>10</v>
      </c>
      <c r="C1195" t="s">
        <v>106</v>
      </c>
      <c r="D1195">
        <v>-33.912593245007201</v>
      </c>
      <c r="E1195">
        <v>18.845756402147199</v>
      </c>
      <c r="F1195">
        <v>6.5750000000000003E-2</v>
      </c>
      <c r="G1195">
        <v>0.1643</v>
      </c>
      <c r="H1195">
        <v>9.8599999999999993E-2</v>
      </c>
      <c r="I1195">
        <v>4760.2889999999998</v>
      </c>
      <c r="J1195">
        <v>6677.83</v>
      </c>
    </row>
    <row r="1196" spans="1:10">
      <c r="A1196">
        <v>93</v>
      </c>
      <c r="B1196">
        <v>10</v>
      </c>
      <c r="C1196" t="s">
        <v>106</v>
      </c>
      <c r="D1196">
        <v>-33.914566311675898</v>
      </c>
      <c r="E1196">
        <v>18.846988863281201</v>
      </c>
      <c r="F1196">
        <v>6.5750000000000003E-2</v>
      </c>
      <c r="G1196">
        <v>0.1643</v>
      </c>
      <c r="H1196">
        <v>9.8599999999999993E-2</v>
      </c>
      <c r="I1196">
        <v>4415.3019999999997</v>
      </c>
      <c r="J1196">
        <v>6332.8429999999998</v>
      </c>
    </row>
    <row r="1197" spans="1:10">
      <c r="A1197">
        <v>94</v>
      </c>
      <c r="B1197">
        <v>10</v>
      </c>
      <c r="C1197" t="s">
        <v>106</v>
      </c>
      <c r="D1197">
        <v>-33.913203792450702</v>
      </c>
      <c r="E1197">
        <v>18.8470074338763</v>
      </c>
      <c r="F1197">
        <v>6.5750000000000003E-2</v>
      </c>
      <c r="G1197">
        <v>0.1643</v>
      </c>
      <c r="H1197">
        <v>9.8599999999999993E-2</v>
      </c>
      <c r="I1197">
        <v>4417.9179999999997</v>
      </c>
      <c r="J1197">
        <v>6335.4589999999998</v>
      </c>
    </row>
    <row r="1198" spans="1:10">
      <c r="A1198">
        <v>95</v>
      </c>
      <c r="B1198">
        <v>10</v>
      </c>
      <c r="C1198" t="s">
        <v>106</v>
      </c>
      <c r="D1198">
        <v>-33.919141846838798</v>
      </c>
      <c r="E1198">
        <v>18.845538151590301</v>
      </c>
      <c r="F1198">
        <v>6.5750000000000003E-2</v>
      </c>
      <c r="G1198">
        <v>0.1643</v>
      </c>
      <c r="H1198">
        <v>9.8599999999999993E-2</v>
      </c>
      <c r="I1198">
        <v>4319.0370000000003</v>
      </c>
      <c r="J1198">
        <v>6236.5780000000004</v>
      </c>
    </row>
    <row r="1199" spans="1:10">
      <c r="A1199">
        <v>96</v>
      </c>
      <c r="B1199">
        <v>10</v>
      </c>
      <c r="C1199" t="s">
        <v>106</v>
      </c>
      <c r="D1199">
        <v>-33.9170935247353</v>
      </c>
      <c r="E1199">
        <v>18.8465501905319</v>
      </c>
      <c r="F1199">
        <v>6.5750000000000003E-2</v>
      </c>
      <c r="G1199">
        <v>0.1643</v>
      </c>
      <c r="H1199">
        <v>9.8599999999999993E-2</v>
      </c>
      <c r="I1199">
        <v>4203.3069999999998</v>
      </c>
      <c r="J1199">
        <v>6120.848</v>
      </c>
    </row>
    <row r="1200" spans="1:10">
      <c r="A1200">
        <v>97</v>
      </c>
      <c r="B1200">
        <v>10</v>
      </c>
      <c r="C1200" t="s">
        <v>106</v>
      </c>
      <c r="D1200">
        <v>-33.918639142040902</v>
      </c>
      <c r="E1200">
        <v>18.846361453251902</v>
      </c>
      <c r="F1200">
        <v>6.5750000000000003E-2</v>
      </c>
      <c r="G1200">
        <v>0.1643</v>
      </c>
      <c r="H1200">
        <v>9.8599999999999993E-2</v>
      </c>
      <c r="I1200">
        <v>4281.4279999999999</v>
      </c>
      <c r="J1200">
        <v>6198.9690000000001</v>
      </c>
    </row>
    <row r="1201" spans="1:10">
      <c r="A1201">
        <v>98</v>
      </c>
      <c r="B1201">
        <v>10</v>
      </c>
      <c r="C1201" t="s">
        <v>106</v>
      </c>
      <c r="D1201">
        <v>-33.918548241187501</v>
      </c>
      <c r="E1201">
        <v>18.846432854673999</v>
      </c>
      <c r="F1201">
        <v>6.5750000000000003E-2</v>
      </c>
      <c r="G1201">
        <v>0.1643</v>
      </c>
      <c r="H1201">
        <v>9.8599999999999993E-2</v>
      </c>
      <c r="I1201">
        <v>4280.68</v>
      </c>
      <c r="J1201">
        <v>6198.2209999999995</v>
      </c>
    </row>
    <row r="1202" spans="1:10">
      <c r="A1202">
        <v>99</v>
      </c>
      <c r="B1202">
        <v>10</v>
      </c>
      <c r="C1202" t="s">
        <v>106</v>
      </c>
      <c r="D1202">
        <v>-33.916877942968199</v>
      </c>
      <c r="E1202">
        <v>18.8461992863893</v>
      </c>
      <c r="F1202">
        <v>6.5750000000000003E-2</v>
      </c>
      <c r="G1202">
        <v>0.1643</v>
      </c>
      <c r="H1202">
        <v>9.8599999999999993E-2</v>
      </c>
      <c r="I1202">
        <v>4240.8919999999998</v>
      </c>
      <c r="J1202">
        <v>6158.4319999999998</v>
      </c>
    </row>
    <row r="1203" spans="1:10">
      <c r="A1203">
        <v>100</v>
      </c>
      <c r="B1203">
        <v>10</v>
      </c>
      <c r="C1203" t="s">
        <v>106</v>
      </c>
      <c r="D1203">
        <v>-33.914268133349701</v>
      </c>
      <c r="E1203">
        <v>18.8450085776648</v>
      </c>
      <c r="F1203">
        <v>6.5750000000000003E-2</v>
      </c>
      <c r="G1203">
        <v>0.1643</v>
      </c>
      <c r="H1203">
        <v>9.8599999999999993E-2</v>
      </c>
      <c r="I1203">
        <v>4595.049</v>
      </c>
      <c r="J1203">
        <v>6512.59</v>
      </c>
    </row>
    <row r="1204" spans="1:10">
      <c r="A1204">
        <v>101</v>
      </c>
      <c r="B1204">
        <v>10</v>
      </c>
      <c r="C1204" t="s">
        <v>106</v>
      </c>
      <c r="D1204">
        <v>-33.917857373590103</v>
      </c>
      <c r="E1204">
        <v>18.846507163833198</v>
      </c>
      <c r="F1204">
        <v>6.5750000000000003E-2</v>
      </c>
      <c r="G1204">
        <v>0.1643</v>
      </c>
      <c r="H1204">
        <v>9.8599999999999993E-2</v>
      </c>
      <c r="I1204">
        <v>4221.6549999999997</v>
      </c>
      <c r="J1204">
        <v>6139.1959999999999</v>
      </c>
    </row>
    <row r="1205" spans="1:10">
      <c r="A1205">
        <v>102</v>
      </c>
      <c r="B1205">
        <v>10</v>
      </c>
      <c r="C1205" t="s">
        <v>106</v>
      </c>
      <c r="D1205">
        <v>-33.9158646836499</v>
      </c>
      <c r="E1205">
        <v>18.847392626859499</v>
      </c>
      <c r="F1205">
        <v>6.5750000000000003E-2</v>
      </c>
      <c r="G1205">
        <v>0.1643</v>
      </c>
      <c r="H1205">
        <v>9.8599999999999993E-2</v>
      </c>
      <c r="I1205">
        <v>4175.6000000000004</v>
      </c>
      <c r="J1205">
        <v>6093.1409999999996</v>
      </c>
    </row>
    <row r="1206" spans="1:10">
      <c r="A1206">
        <v>103</v>
      </c>
      <c r="B1206">
        <v>10</v>
      </c>
      <c r="C1206" t="s">
        <v>106</v>
      </c>
      <c r="D1206">
        <v>-33.9135814198481</v>
      </c>
      <c r="E1206">
        <v>18.846298791204202</v>
      </c>
      <c r="F1206">
        <v>6.5750000000000003E-2</v>
      </c>
      <c r="G1206">
        <v>0.1643</v>
      </c>
      <c r="H1206">
        <v>9.8599999999999993E-2</v>
      </c>
      <c r="I1206">
        <v>4495.6279999999997</v>
      </c>
      <c r="J1206">
        <v>6413.1689999999999</v>
      </c>
    </row>
    <row r="1207" spans="1:10">
      <c r="A1207">
        <v>104</v>
      </c>
      <c r="B1207">
        <v>10</v>
      </c>
      <c r="C1207" t="s">
        <v>106</v>
      </c>
      <c r="D1207">
        <v>-33.9190643533545</v>
      </c>
      <c r="E1207">
        <v>18.847508636886701</v>
      </c>
      <c r="F1207">
        <v>6.5750000000000003E-2</v>
      </c>
      <c r="G1207">
        <v>0.1643</v>
      </c>
      <c r="H1207">
        <v>9.8599999999999993E-2</v>
      </c>
      <c r="I1207">
        <v>4257.3450000000003</v>
      </c>
      <c r="J1207">
        <v>6174.8850000000002</v>
      </c>
    </row>
    <row r="1208" spans="1:10">
      <c r="A1208">
        <v>105</v>
      </c>
      <c r="B1208">
        <v>10</v>
      </c>
      <c r="C1208" t="s">
        <v>106</v>
      </c>
      <c r="D1208">
        <v>-33.913045752981603</v>
      </c>
      <c r="E1208">
        <v>18.846573936219801</v>
      </c>
      <c r="F1208">
        <v>6.5750000000000003E-2</v>
      </c>
      <c r="G1208">
        <v>0.1643</v>
      </c>
      <c r="H1208">
        <v>9.8599999999999993E-2</v>
      </c>
      <c r="I1208">
        <v>4734.0919999999996</v>
      </c>
      <c r="J1208">
        <v>6651.6329999999998</v>
      </c>
    </row>
    <row r="1209" spans="1:10">
      <c r="A1209">
        <v>106</v>
      </c>
      <c r="B1209">
        <v>10</v>
      </c>
      <c r="C1209" t="s">
        <v>106</v>
      </c>
      <c r="D1209">
        <v>-33.917848784847799</v>
      </c>
      <c r="E1209">
        <v>18.846188223558201</v>
      </c>
      <c r="F1209">
        <v>6.5750000000000003E-2</v>
      </c>
      <c r="G1209">
        <v>0.1643</v>
      </c>
      <c r="H1209">
        <v>9.8599999999999993E-2</v>
      </c>
      <c r="I1209">
        <v>4243.076</v>
      </c>
      <c r="J1209">
        <v>6160.6170000000002</v>
      </c>
    </row>
    <row r="1210" spans="1:10">
      <c r="A1210">
        <v>107</v>
      </c>
      <c r="B1210">
        <v>10</v>
      </c>
      <c r="C1210" t="s">
        <v>106</v>
      </c>
      <c r="D1210">
        <v>-33.918766866504299</v>
      </c>
      <c r="E1210">
        <v>18.845141476751301</v>
      </c>
      <c r="F1210">
        <v>6.5750000000000003E-2</v>
      </c>
      <c r="G1210">
        <v>0.1643</v>
      </c>
      <c r="H1210">
        <v>9.8599999999999993E-2</v>
      </c>
      <c r="I1210">
        <v>4371.5730000000003</v>
      </c>
      <c r="J1210">
        <v>6289.1139999999996</v>
      </c>
    </row>
    <row r="1211" spans="1:10">
      <c r="A1211">
        <v>108</v>
      </c>
      <c r="B1211">
        <v>10</v>
      </c>
      <c r="C1211" t="s">
        <v>106</v>
      </c>
      <c r="D1211">
        <v>-33.913453743250997</v>
      </c>
      <c r="E1211">
        <v>18.844890718100999</v>
      </c>
      <c r="F1211">
        <v>6.5750000000000003E-2</v>
      </c>
      <c r="G1211">
        <v>0.1643</v>
      </c>
      <c r="H1211">
        <v>9.8599999999999993E-2</v>
      </c>
      <c r="I1211">
        <v>4890.6260000000002</v>
      </c>
      <c r="J1211">
        <v>6808.1670000000004</v>
      </c>
    </row>
    <row r="1212" spans="1:10">
      <c r="A1212">
        <v>109</v>
      </c>
      <c r="B1212">
        <v>10</v>
      </c>
      <c r="C1212" t="s">
        <v>106</v>
      </c>
      <c r="D1212">
        <v>-33.912617006006002</v>
      </c>
      <c r="E1212">
        <v>18.845010635536099</v>
      </c>
      <c r="F1212">
        <v>6.5750000000000003E-2</v>
      </c>
      <c r="G1212">
        <v>0.1643</v>
      </c>
      <c r="H1212">
        <v>9.8599999999999993E-2</v>
      </c>
      <c r="I1212">
        <v>4818.6869999999999</v>
      </c>
      <c r="J1212">
        <v>6736.2280000000001</v>
      </c>
    </row>
    <row r="1213" spans="1:10">
      <c r="A1213">
        <v>110</v>
      </c>
      <c r="B1213">
        <v>10</v>
      </c>
      <c r="C1213" t="s">
        <v>106</v>
      </c>
      <c r="D1213">
        <v>-33.914251527464799</v>
      </c>
      <c r="E1213">
        <v>18.845382279417301</v>
      </c>
      <c r="F1213">
        <v>6.5750000000000003E-2</v>
      </c>
      <c r="G1213">
        <v>0.1643</v>
      </c>
      <c r="H1213">
        <v>9.8599999999999993E-2</v>
      </c>
      <c r="I1213">
        <v>4571.3059999999996</v>
      </c>
      <c r="J1213">
        <v>6488.8469999999998</v>
      </c>
    </row>
    <row r="1214" spans="1:10">
      <c r="A1214">
        <v>111</v>
      </c>
      <c r="B1214">
        <v>10</v>
      </c>
      <c r="C1214" t="s">
        <v>106</v>
      </c>
      <c r="D1214">
        <v>-33.917850866148598</v>
      </c>
      <c r="E1214">
        <v>18.8456059092514</v>
      </c>
      <c r="F1214">
        <v>6.5750000000000003E-2</v>
      </c>
      <c r="G1214">
        <v>0.1643</v>
      </c>
      <c r="H1214">
        <v>9.8599999999999993E-2</v>
      </c>
      <c r="I1214">
        <v>4432.3419999999996</v>
      </c>
      <c r="J1214">
        <v>6349.8819999999996</v>
      </c>
    </row>
    <row r="1215" spans="1:10">
      <c r="A1215">
        <v>112</v>
      </c>
      <c r="B1215">
        <v>10</v>
      </c>
      <c r="C1215" t="s">
        <v>106</v>
      </c>
      <c r="D1215">
        <v>-33.914004073358598</v>
      </c>
      <c r="E1215">
        <v>18.845446142087098</v>
      </c>
      <c r="F1215">
        <v>6.5750000000000003E-2</v>
      </c>
      <c r="G1215">
        <v>0.1643</v>
      </c>
      <c r="H1215">
        <v>9.8599999999999993E-2</v>
      </c>
      <c r="I1215">
        <v>4571.5770000000002</v>
      </c>
      <c r="J1215">
        <v>6489.1180000000004</v>
      </c>
    </row>
    <row r="1216" spans="1:10">
      <c r="A1216">
        <v>113</v>
      </c>
      <c r="B1216">
        <v>10</v>
      </c>
      <c r="C1216" t="s">
        <v>106</v>
      </c>
      <c r="D1216">
        <v>-33.915642533370502</v>
      </c>
      <c r="E1216">
        <v>18.846803700201601</v>
      </c>
      <c r="F1216">
        <v>6.5750000000000003E-2</v>
      </c>
      <c r="G1216">
        <v>0.1643</v>
      </c>
      <c r="H1216">
        <v>9.8599999999999993E-2</v>
      </c>
      <c r="I1216">
        <v>4300.8959999999997</v>
      </c>
      <c r="J1216">
        <v>6218.4369999999999</v>
      </c>
    </row>
    <row r="1217" spans="1:10">
      <c r="A1217">
        <v>114</v>
      </c>
      <c r="B1217">
        <v>10</v>
      </c>
      <c r="C1217" t="s">
        <v>106</v>
      </c>
      <c r="D1217">
        <v>-33.916226479441498</v>
      </c>
      <c r="E1217">
        <v>18.8459482581228</v>
      </c>
      <c r="F1217">
        <v>6.5750000000000003E-2</v>
      </c>
      <c r="G1217">
        <v>0.1643</v>
      </c>
      <c r="H1217">
        <v>9.8599999999999993E-2</v>
      </c>
      <c r="I1217">
        <v>4296.5709999999999</v>
      </c>
      <c r="J1217">
        <v>6214.1120000000001</v>
      </c>
    </row>
    <row r="1218" spans="1:10">
      <c r="A1218">
        <v>115</v>
      </c>
      <c r="B1218">
        <v>10</v>
      </c>
      <c r="C1218" t="s">
        <v>106</v>
      </c>
      <c r="D1218">
        <v>-33.918653649125503</v>
      </c>
      <c r="E1218">
        <v>18.847331157614999</v>
      </c>
      <c r="F1218">
        <v>6.5750000000000003E-2</v>
      </c>
      <c r="G1218">
        <v>0.1643</v>
      </c>
      <c r="H1218">
        <v>9.8599999999999993E-2</v>
      </c>
      <c r="I1218">
        <v>4212.3040000000001</v>
      </c>
      <c r="J1218">
        <v>6129.8450000000003</v>
      </c>
    </row>
    <row r="1219" spans="1:10">
      <c r="A1219">
        <v>116</v>
      </c>
      <c r="B1219">
        <v>10</v>
      </c>
      <c r="C1219" t="s">
        <v>106</v>
      </c>
      <c r="D1219">
        <v>-33.913603177183198</v>
      </c>
      <c r="E1219">
        <v>18.847045090210798</v>
      </c>
      <c r="F1219">
        <v>6.5750000000000003E-2</v>
      </c>
      <c r="G1219">
        <v>0.1643</v>
      </c>
      <c r="H1219">
        <v>9.8599999999999993E-2</v>
      </c>
      <c r="I1219">
        <v>4398.7370000000001</v>
      </c>
      <c r="J1219">
        <v>6316.2780000000002</v>
      </c>
    </row>
    <row r="1220" spans="1:10">
      <c r="A1220">
        <v>117</v>
      </c>
      <c r="B1220">
        <v>10</v>
      </c>
      <c r="C1220" t="s">
        <v>106</v>
      </c>
      <c r="D1220">
        <v>-33.915066271305498</v>
      </c>
      <c r="E1220">
        <v>18.8470502371447</v>
      </c>
      <c r="F1220">
        <v>6.5750000000000003E-2</v>
      </c>
      <c r="G1220">
        <v>0.1643</v>
      </c>
      <c r="H1220">
        <v>9.8599999999999993E-2</v>
      </c>
      <c r="I1220">
        <v>4329.4380000000001</v>
      </c>
      <c r="J1220">
        <v>6246.9790000000003</v>
      </c>
    </row>
    <row r="1221" spans="1:10">
      <c r="A1221">
        <v>118</v>
      </c>
      <c r="B1221">
        <v>10</v>
      </c>
      <c r="C1221" t="s">
        <v>106</v>
      </c>
      <c r="D1221">
        <v>-33.914101477181703</v>
      </c>
      <c r="E1221">
        <v>18.847492814389401</v>
      </c>
      <c r="F1221">
        <v>6.5750000000000003E-2</v>
      </c>
      <c r="G1221">
        <v>0.1643</v>
      </c>
      <c r="H1221">
        <v>9.8599999999999993E-2</v>
      </c>
      <c r="I1221">
        <v>4348.3739999999998</v>
      </c>
      <c r="J1221">
        <v>6265.915</v>
      </c>
    </row>
    <row r="1222" spans="1:10">
      <c r="A1222">
        <v>119</v>
      </c>
      <c r="B1222">
        <v>10</v>
      </c>
      <c r="C1222" t="s">
        <v>106</v>
      </c>
      <c r="D1222">
        <v>-33.913886410046501</v>
      </c>
      <c r="E1222">
        <v>18.8469524859585</v>
      </c>
      <c r="F1222">
        <v>6.5750000000000003E-2</v>
      </c>
      <c r="G1222">
        <v>0.1643</v>
      </c>
      <c r="H1222">
        <v>9.8599999999999993E-2</v>
      </c>
      <c r="I1222">
        <v>4422.8320000000003</v>
      </c>
      <c r="J1222">
        <v>6340.3729999999996</v>
      </c>
    </row>
    <row r="1223" spans="1:10">
      <c r="A1223">
        <v>120</v>
      </c>
      <c r="B1223">
        <v>10</v>
      </c>
      <c r="C1223" t="s">
        <v>106</v>
      </c>
      <c r="D1223">
        <v>-33.9124797146182</v>
      </c>
      <c r="E1223">
        <v>18.845319689510699</v>
      </c>
      <c r="F1223">
        <v>6.5750000000000003E-2</v>
      </c>
      <c r="G1223">
        <v>0.1643</v>
      </c>
      <c r="H1223">
        <v>9.8599999999999993E-2</v>
      </c>
      <c r="I1223">
        <v>4786.4610000000002</v>
      </c>
      <c r="J1223">
        <v>6704.0020000000004</v>
      </c>
    </row>
    <row r="1224" spans="1:10">
      <c r="A1224">
        <v>121</v>
      </c>
      <c r="B1224">
        <v>10</v>
      </c>
      <c r="C1224" t="s">
        <v>106</v>
      </c>
      <c r="D1224">
        <v>-33.917646715008999</v>
      </c>
      <c r="E1224">
        <v>18.846832561421898</v>
      </c>
      <c r="F1224">
        <v>6.5750000000000003E-2</v>
      </c>
      <c r="G1224">
        <v>0.1643</v>
      </c>
      <c r="H1224">
        <v>9.8599999999999993E-2</v>
      </c>
      <c r="I1224">
        <v>4172.799</v>
      </c>
      <c r="J1224">
        <v>6090.34</v>
      </c>
    </row>
    <row r="1225" spans="1:10">
      <c r="A1225">
        <v>122</v>
      </c>
      <c r="B1225">
        <v>10</v>
      </c>
      <c r="C1225" t="s">
        <v>106</v>
      </c>
      <c r="D1225">
        <v>-33.915909721585003</v>
      </c>
      <c r="E1225">
        <v>18.846995851945302</v>
      </c>
      <c r="F1225">
        <v>6.5750000000000003E-2</v>
      </c>
      <c r="G1225">
        <v>0.1643</v>
      </c>
      <c r="H1225">
        <v>9.8599999999999993E-2</v>
      </c>
      <c r="I1225">
        <v>4209.0529999999999</v>
      </c>
      <c r="J1225">
        <v>6126.5929999999998</v>
      </c>
    </row>
    <row r="1226" spans="1:10">
      <c r="A1226">
        <v>123</v>
      </c>
      <c r="B1226">
        <v>10</v>
      </c>
      <c r="C1226" t="s">
        <v>106</v>
      </c>
      <c r="D1226">
        <v>-33.913299289262099</v>
      </c>
      <c r="E1226">
        <v>18.846750991063701</v>
      </c>
      <c r="F1226">
        <v>6.5750000000000003E-2</v>
      </c>
      <c r="G1226">
        <v>0.1643</v>
      </c>
      <c r="H1226">
        <v>9.8599999999999993E-2</v>
      </c>
      <c r="I1226">
        <v>4443.6000000000004</v>
      </c>
      <c r="J1226">
        <v>6361.1409999999996</v>
      </c>
    </row>
    <row r="1227" spans="1:10">
      <c r="A1227">
        <v>124</v>
      </c>
      <c r="B1227">
        <v>10</v>
      </c>
      <c r="C1227" t="s">
        <v>106</v>
      </c>
      <c r="D1227">
        <v>-33.918995852015499</v>
      </c>
      <c r="E1227">
        <v>18.846507292936899</v>
      </c>
      <c r="F1227">
        <v>6.5750000000000003E-2</v>
      </c>
      <c r="G1227">
        <v>0.1643</v>
      </c>
      <c r="H1227">
        <v>9.8599999999999993E-2</v>
      </c>
      <c r="I1227">
        <v>4389.0609999999997</v>
      </c>
      <c r="J1227">
        <v>6306.6019999999999</v>
      </c>
    </row>
    <row r="1228" spans="1:10">
      <c r="A1228">
        <v>125</v>
      </c>
      <c r="B1228">
        <v>10</v>
      </c>
      <c r="C1228" t="s">
        <v>106</v>
      </c>
      <c r="D1228">
        <v>-33.915742108032902</v>
      </c>
      <c r="E1228">
        <v>18.845429181808498</v>
      </c>
      <c r="F1228">
        <v>6.5750000000000003E-2</v>
      </c>
      <c r="G1228">
        <v>0.1643</v>
      </c>
      <c r="H1228">
        <v>9.8599999999999993E-2</v>
      </c>
      <c r="I1228">
        <v>4362.3909999999996</v>
      </c>
      <c r="J1228">
        <v>6279.9319999999998</v>
      </c>
    </row>
    <row r="1229" spans="1:10">
      <c r="A1229">
        <v>126</v>
      </c>
      <c r="B1229">
        <v>10</v>
      </c>
      <c r="C1229" t="s">
        <v>106</v>
      </c>
      <c r="D1229">
        <v>-33.913005288480797</v>
      </c>
      <c r="E1229">
        <v>18.845623276314502</v>
      </c>
      <c r="F1229">
        <v>6.5750000000000003E-2</v>
      </c>
      <c r="G1229">
        <v>0.1643</v>
      </c>
      <c r="H1229">
        <v>9.8599999999999993E-2</v>
      </c>
      <c r="I1229">
        <v>4792.9089999999997</v>
      </c>
      <c r="J1229">
        <v>6710.45</v>
      </c>
    </row>
    <row r="1230" spans="1:10">
      <c r="A1230">
        <v>127</v>
      </c>
      <c r="B1230">
        <v>10</v>
      </c>
      <c r="C1230" t="s">
        <v>106</v>
      </c>
      <c r="D1230">
        <v>-33.919135018011701</v>
      </c>
      <c r="E1230">
        <v>18.845782185900799</v>
      </c>
      <c r="F1230">
        <v>6.5750000000000003E-2</v>
      </c>
      <c r="G1230">
        <v>0.1643</v>
      </c>
      <c r="H1230">
        <v>9.8599999999999993E-2</v>
      </c>
      <c r="I1230">
        <v>4299.9089999999997</v>
      </c>
      <c r="J1230">
        <v>6217.45</v>
      </c>
    </row>
    <row r="1231" spans="1:10">
      <c r="A1231">
        <v>128</v>
      </c>
      <c r="B1231">
        <v>10</v>
      </c>
      <c r="C1231" t="s">
        <v>106</v>
      </c>
      <c r="D1231">
        <v>-33.916796853479198</v>
      </c>
      <c r="E1231">
        <v>18.845368955047402</v>
      </c>
      <c r="F1231">
        <v>6.5750000000000003E-2</v>
      </c>
      <c r="G1231">
        <v>0.1643</v>
      </c>
      <c r="H1231">
        <v>9.8599999999999993E-2</v>
      </c>
      <c r="I1231">
        <v>4289.0129999999999</v>
      </c>
      <c r="J1231">
        <v>6206.5540000000001</v>
      </c>
    </row>
    <row r="1232" spans="1:10">
      <c r="A1232">
        <v>129</v>
      </c>
      <c r="B1232">
        <v>10</v>
      </c>
      <c r="C1232" t="s">
        <v>106</v>
      </c>
      <c r="D1232">
        <v>-33.916803793691898</v>
      </c>
      <c r="E1232">
        <v>18.845717231769999</v>
      </c>
      <c r="F1232">
        <v>6.5750000000000003E-2</v>
      </c>
      <c r="G1232">
        <v>0.1643</v>
      </c>
      <c r="H1232">
        <v>9.8599999999999993E-2</v>
      </c>
      <c r="I1232">
        <v>4277.9170000000004</v>
      </c>
      <c r="J1232">
        <v>6195.4579999999996</v>
      </c>
    </row>
    <row r="1233" spans="1:10">
      <c r="A1233">
        <v>130</v>
      </c>
      <c r="B1233">
        <v>10</v>
      </c>
      <c r="C1233" t="s">
        <v>106</v>
      </c>
      <c r="D1233">
        <v>-33.912778054126399</v>
      </c>
      <c r="E1233">
        <v>18.845867443229601</v>
      </c>
      <c r="F1233">
        <v>6.5750000000000003E-2</v>
      </c>
      <c r="G1233">
        <v>0.1643</v>
      </c>
      <c r="H1233">
        <v>9.8599999999999993E-2</v>
      </c>
      <c r="I1233">
        <v>4768.6109999999999</v>
      </c>
      <c r="J1233">
        <v>6686.152</v>
      </c>
    </row>
    <row r="1234" spans="1:10">
      <c r="A1234">
        <v>131</v>
      </c>
      <c r="B1234">
        <v>10</v>
      </c>
      <c r="C1234" t="s">
        <v>106</v>
      </c>
      <c r="D1234">
        <v>-33.916603227708201</v>
      </c>
      <c r="E1234">
        <v>18.847608527606202</v>
      </c>
      <c r="F1234">
        <v>6.5750000000000003E-2</v>
      </c>
      <c r="G1234">
        <v>0.1643</v>
      </c>
      <c r="H1234">
        <v>9.8599999999999993E-2</v>
      </c>
      <c r="I1234">
        <v>4077.1930000000002</v>
      </c>
      <c r="J1234">
        <v>5994.7340000000004</v>
      </c>
    </row>
    <row r="1235" spans="1:10">
      <c r="A1235">
        <v>132</v>
      </c>
      <c r="B1235">
        <v>10</v>
      </c>
      <c r="C1235" t="s">
        <v>106</v>
      </c>
      <c r="D1235">
        <v>-33.917842587807797</v>
      </c>
      <c r="E1235">
        <v>18.845988102897799</v>
      </c>
      <c r="F1235">
        <v>6.5750000000000003E-2</v>
      </c>
      <c r="G1235">
        <v>0.1643</v>
      </c>
      <c r="H1235">
        <v>9.8599999999999993E-2</v>
      </c>
      <c r="I1235">
        <v>4432.3419999999996</v>
      </c>
      <c r="J1235">
        <v>6349.8819999999996</v>
      </c>
    </row>
    <row r="1236" spans="1:10">
      <c r="A1236">
        <v>133</v>
      </c>
      <c r="B1236">
        <v>10</v>
      </c>
      <c r="C1236" t="s">
        <v>106</v>
      </c>
      <c r="D1236">
        <v>-33.917882731906197</v>
      </c>
      <c r="E1236">
        <v>18.846831345021599</v>
      </c>
      <c r="F1236">
        <v>6.5750000000000003E-2</v>
      </c>
      <c r="G1236">
        <v>0.1643</v>
      </c>
      <c r="H1236">
        <v>9.8599999999999993E-2</v>
      </c>
      <c r="I1236">
        <v>4155.2359999999999</v>
      </c>
      <c r="J1236">
        <v>6072.777</v>
      </c>
    </row>
    <row r="1237" spans="1:10">
      <c r="A1237">
        <v>134</v>
      </c>
      <c r="B1237">
        <v>10</v>
      </c>
      <c r="C1237" t="s">
        <v>106</v>
      </c>
      <c r="D1237">
        <v>-33.9189430323595</v>
      </c>
      <c r="E1237">
        <v>18.845840302124898</v>
      </c>
      <c r="F1237">
        <v>6.5750000000000003E-2</v>
      </c>
      <c r="G1237">
        <v>0.1643</v>
      </c>
      <c r="H1237">
        <v>9.8599999999999993E-2</v>
      </c>
      <c r="I1237">
        <v>4305.9250000000002</v>
      </c>
      <c r="J1237">
        <v>6223.4660000000003</v>
      </c>
    </row>
    <row r="1238" spans="1:10">
      <c r="A1238">
        <v>135</v>
      </c>
      <c r="B1238">
        <v>10</v>
      </c>
      <c r="C1238" t="s">
        <v>106</v>
      </c>
      <c r="D1238">
        <v>-33.916940424121897</v>
      </c>
      <c r="E1238">
        <v>18.845050891361101</v>
      </c>
      <c r="F1238">
        <v>6.5750000000000003E-2</v>
      </c>
      <c r="G1238">
        <v>0.1643</v>
      </c>
      <c r="H1238">
        <v>9.8599999999999993E-2</v>
      </c>
      <c r="I1238">
        <v>4937.5280000000002</v>
      </c>
      <c r="J1238">
        <v>6855.0690000000004</v>
      </c>
    </row>
    <row r="1239" spans="1:10">
      <c r="A1239">
        <v>136</v>
      </c>
      <c r="B1239">
        <v>10</v>
      </c>
      <c r="C1239" t="s">
        <v>106</v>
      </c>
      <c r="D1239">
        <v>-33.913495949813502</v>
      </c>
      <c r="E1239">
        <v>18.844914402592199</v>
      </c>
      <c r="F1239">
        <v>6.5750000000000003E-2</v>
      </c>
      <c r="G1239">
        <v>0.1643</v>
      </c>
      <c r="H1239">
        <v>9.8599999999999993E-2</v>
      </c>
      <c r="I1239">
        <v>4894.902</v>
      </c>
      <c r="J1239">
        <v>6812.4430000000002</v>
      </c>
    </row>
    <row r="1240" spans="1:10">
      <c r="A1240">
        <v>137</v>
      </c>
      <c r="B1240">
        <v>10</v>
      </c>
      <c r="C1240" t="s">
        <v>106</v>
      </c>
      <c r="D1240">
        <v>-33.9173541797974</v>
      </c>
      <c r="E1240">
        <v>18.847283977323901</v>
      </c>
      <c r="F1240">
        <v>6.5750000000000003E-2</v>
      </c>
      <c r="G1240">
        <v>0.1643</v>
      </c>
      <c r="H1240">
        <v>9.8599999999999993E-2</v>
      </c>
      <c r="I1240">
        <v>4125.2929999999997</v>
      </c>
      <c r="J1240">
        <v>6042.8329999999996</v>
      </c>
    </row>
    <row r="1241" spans="1:10">
      <c r="A1241">
        <v>138</v>
      </c>
      <c r="B1241">
        <v>10</v>
      </c>
      <c r="C1241" t="s">
        <v>106</v>
      </c>
      <c r="D1241">
        <v>-33.9174591290545</v>
      </c>
      <c r="E1241">
        <v>18.845734235220899</v>
      </c>
      <c r="F1241">
        <v>6.5750000000000003E-2</v>
      </c>
      <c r="G1241">
        <v>0.1643</v>
      </c>
      <c r="H1241">
        <v>9.8599999999999993E-2</v>
      </c>
      <c r="I1241">
        <v>5017.5309999999999</v>
      </c>
      <c r="J1241">
        <v>6935.0709999999999</v>
      </c>
    </row>
    <row r="1242" spans="1:10">
      <c r="A1242">
        <v>139</v>
      </c>
      <c r="B1242">
        <v>10</v>
      </c>
      <c r="C1242" t="s">
        <v>106</v>
      </c>
      <c r="D1242">
        <v>-33.913040623460198</v>
      </c>
      <c r="E1242">
        <v>18.8461139893767</v>
      </c>
      <c r="F1242">
        <v>6.5750000000000003E-2</v>
      </c>
      <c r="G1242">
        <v>0.1643</v>
      </c>
      <c r="H1242">
        <v>9.8599999999999993E-2</v>
      </c>
      <c r="I1242">
        <v>4757.482</v>
      </c>
      <c r="J1242">
        <v>6675.0230000000001</v>
      </c>
    </row>
    <row r="1243" spans="1:10">
      <c r="A1243">
        <v>140</v>
      </c>
      <c r="B1243">
        <v>10</v>
      </c>
      <c r="C1243" t="s">
        <v>106</v>
      </c>
      <c r="D1243">
        <v>-33.918323194644998</v>
      </c>
      <c r="E1243">
        <v>18.846267820456902</v>
      </c>
      <c r="F1243">
        <v>6.5750000000000003E-2</v>
      </c>
      <c r="G1243">
        <v>0.1643</v>
      </c>
      <c r="H1243">
        <v>9.8599999999999993E-2</v>
      </c>
      <c r="I1243">
        <v>4286.518</v>
      </c>
      <c r="J1243">
        <v>6204.0590000000002</v>
      </c>
    </row>
    <row r="1244" spans="1:10">
      <c r="A1244">
        <v>141</v>
      </c>
      <c r="B1244">
        <v>10</v>
      </c>
      <c r="C1244" t="s">
        <v>106</v>
      </c>
      <c r="D1244">
        <v>-33.912635535885599</v>
      </c>
      <c r="E1244">
        <v>18.846262172865998</v>
      </c>
      <c r="F1244">
        <v>6.5750000000000003E-2</v>
      </c>
      <c r="G1244">
        <v>0.1643</v>
      </c>
      <c r="H1244">
        <v>9.8599999999999993E-2</v>
      </c>
      <c r="I1244">
        <v>4707.9449999999997</v>
      </c>
      <c r="J1244">
        <v>6625.4859999999999</v>
      </c>
    </row>
    <row r="1245" spans="1:10">
      <c r="A1245">
        <v>142</v>
      </c>
      <c r="B1245">
        <v>10</v>
      </c>
      <c r="C1245" t="s">
        <v>106</v>
      </c>
      <c r="D1245">
        <v>-33.912472307723199</v>
      </c>
      <c r="E1245">
        <v>18.845975591729001</v>
      </c>
      <c r="F1245">
        <v>6.5750000000000003E-2</v>
      </c>
      <c r="G1245">
        <v>0.1643</v>
      </c>
      <c r="H1245">
        <v>9.8599999999999993E-2</v>
      </c>
      <c r="I1245">
        <v>4734.2830000000004</v>
      </c>
      <c r="J1245">
        <v>6651.8239999999996</v>
      </c>
    </row>
    <row r="1246" spans="1:10">
      <c r="A1246">
        <v>143</v>
      </c>
      <c r="B1246">
        <v>10</v>
      </c>
      <c r="C1246" t="s">
        <v>106</v>
      </c>
      <c r="D1246">
        <v>-33.914991655482503</v>
      </c>
      <c r="E1246">
        <v>18.846900735291001</v>
      </c>
      <c r="F1246">
        <v>6.5750000000000003E-2</v>
      </c>
      <c r="G1246">
        <v>0.1643</v>
      </c>
      <c r="H1246">
        <v>9.8599999999999993E-2</v>
      </c>
      <c r="I1246">
        <v>4341.32</v>
      </c>
      <c r="J1246">
        <v>6258.8609999999999</v>
      </c>
    </row>
    <row r="1247" spans="1:10">
      <c r="A1247">
        <v>144</v>
      </c>
      <c r="B1247">
        <v>10</v>
      </c>
      <c r="C1247" t="s">
        <v>106</v>
      </c>
      <c r="D1247">
        <v>-33.918781186384798</v>
      </c>
      <c r="E1247">
        <v>18.847377880119801</v>
      </c>
      <c r="F1247">
        <v>6.5750000000000003E-2</v>
      </c>
      <c r="G1247">
        <v>0.1643</v>
      </c>
      <c r="H1247">
        <v>9.8599999999999993E-2</v>
      </c>
      <c r="I1247">
        <v>4226.2129999999997</v>
      </c>
      <c r="J1247">
        <v>6143.7539999999999</v>
      </c>
    </row>
    <row r="1248" spans="1:10">
      <c r="A1248">
        <v>145</v>
      </c>
      <c r="B1248">
        <v>10</v>
      </c>
      <c r="C1248" t="s">
        <v>106</v>
      </c>
      <c r="D1248">
        <v>-33.914632348955401</v>
      </c>
      <c r="E1248">
        <v>18.847195776396401</v>
      </c>
      <c r="F1248">
        <v>6.5750000000000003E-2</v>
      </c>
      <c r="G1248">
        <v>0.1643</v>
      </c>
      <c r="H1248">
        <v>9.8599999999999993E-2</v>
      </c>
      <c r="I1248">
        <v>4309.1210000000001</v>
      </c>
      <c r="J1248">
        <v>6226.6620000000003</v>
      </c>
    </row>
    <row r="1249" spans="1:10">
      <c r="A1249">
        <v>146</v>
      </c>
      <c r="B1249">
        <v>10</v>
      </c>
      <c r="C1249" t="s">
        <v>106</v>
      </c>
      <c r="D1249">
        <v>-33.913248170689201</v>
      </c>
      <c r="E1249">
        <v>18.8466259172409</v>
      </c>
      <c r="F1249">
        <v>6.5750000000000003E-2</v>
      </c>
      <c r="G1249">
        <v>0.1643</v>
      </c>
      <c r="H1249">
        <v>9.8599999999999993E-2</v>
      </c>
      <c r="I1249">
        <v>4450.3339999999998</v>
      </c>
      <c r="J1249">
        <v>6367.875</v>
      </c>
    </row>
    <row r="1250" spans="1:10">
      <c r="A1250">
        <v>147</v>
      </c>
      <c r="B1250">
        <v>10</v>
      </c>
      <c r="C1250" t="s">
        <v>106</v>
      </c>
      <c r="D1250">
        <v>-33.918672128207703</v>
      </c>
      <c r="E1250">
        <v>18.845700553590898</v>
      </c>
      <c r="F1250">
        <v>6.5750000000000003E-2</v>
      </c>
      <c r="G1250">
        <v>0.1643</v>
      </c>
      <c r="H1250">
        <v>9.8599999999999993E-2</v>
      </c>
      <c r="I1250">
        <v>4335.0709999999999</v>
      </c>
      <c r="J1250">
        <v>6252.6120000000001</v>
      </c>
    </row>
    <row r="1251" spans="1:10">
      <c r="A1251">
        <v>148</v>
      </c>
      <c r="B1251">
        <v>10</v>
      </c>
      <c r="C1251" t="s">
        <v>106</v>
      </c>
      <c r="D1251">
        <v>-33.9146165612785</v>
      </c>
      <c r="E1251">
        <v>18.845463114864401</v>
      </c>
      <c r="F1251">
        <v>6.5750000000000003E-2</v>
      </c>
      <c r="G1251">
        <v>0.1643</v>
      </c>
      <c r="H1251">
        <v>9.8599999999999993E-2</v>
      </c>
      <c r="I1251">
        <v>4545.6909999999998</v>
      </c>
      <c r="J1251">
        <v>6463.232</v>
      </c>
    </row>
    <row r="1252" spans="1:10">
      <c r="A1252">
        <v>149</v>
      </c>
      <c r="B1252">
        <v>10</v>
      </c>
      <c r="C1252" t="s">
        <v>106</v>
      </c>
      <c r="D1252">
        <v>-33.914027490523701</v>
      </c>
      <c r="E1252">
        <v>18.845852090307499</v>
      </c>
      <c r="F1252">
        <v>6.5750000000000003E-2</v>
      </c>
      <c r="G1252">
        <v>0.1643</v>
      </c>
      <c r="H1252">
        <v>9.8599999999999993E-2</v>
      </c>
      <c r="I1252">
        <v>4543.4219999999996</v>
      </c>
      <c r="J1252">
        <v>6460.9629999999997</v>
      </c>
    </row>
    <row r="1253" spans="1:10">
      <c r="A1253">
        <v>150</v>
      </c>
      <c r="B1253">
        <v>10</v>
      </c>
      <c r="C1253" t="s">
        <v>106</v>
      </c>
      <c r="D1253">
        <v>-33.916488954460803</v>
      </c>
      <c r="E1253">
        <v>18.846665878848601</v>
      </c>
      <c r="F1253">
        <v>6.5750000000000003E-2</v>
      </c>
      <c r="G1253">
        <v>0.1643</v>
      </c>
      <c r="H1253">
        <v>9.8599999999999993E-2</v>
      </c>
      <c r="I1253">
        <v>4193.7820000000002</v>
      </c>
      <c r="J1253">
        <v>6111.3230000000003</v>
      </c>
    </row>
    <row r="1254" spans="1:10">
      <c r="A1254">
        <v>151</v>
      </c>
      <c r="B1254">
        <v>10</v>
      </c>
      <c r="C1254" t="s">
        <v>106</v>
      </c>
      <c r="D1254">
        <v>-33.913274057823301</v>
      </c>
      <c r="E1254">
        <v>18.845016634731198</v>
      </c>
      <c r="F1254">
        <v>6.5750000000000003E-2</v>
      </c>
      <c r="G1254">
        <v>0.1643</v>
      </c>
      <c r="H1254">
        <v>9.8599999999999993E-2</v>
      </c>
      <c r="I1254">
        <v>4869.0259999999998</v>
      </c>
      <c r="J1254">
        <v>6786.567</v>
      </c>
    </row>
    <row r="1255" spans="1:10">
      <c r="A1255">
        <v>152</v>
      </c>
      <c r="B1255">
        <v>10</v>
      </c>
      <c r="C1255" t="s">
        <v>106</v>
      </c>
      <c r="D1255">
        <v>-33.912961804933303</v>
      </c>
      <c r="E1255">
        <v>18.8476057149939</v>
      </c>
      <c r="F1255">
        <v>6.5750000000000003E-2</v>
      </c>
      <c r="G1255">
        <v>0.1643</v>
      </c>
      <c r="H1255">
        <v>9.8599999999999993E-2</v>
      </c>
      <c r="I1255">
        <v>4427.5169999999998</v>
      </c>
      <c r="J1255">
        <v>6345.058</v>
      </c>
    </row>
    <row r="1256" spans="1:10">
      <c r="A1256">
        <v>153</v>
      </c>
      <c r="B1256">
        <v>10</v>
      </c>
      <c r="C1256" t="s">
        <v>106</v>
      </c>
      <c r="D1256">
        <v>-33.9189384917726</v>
      </c>
      <c r="E1256">
        <v>18.845271977549899</v>
      </c>
      <c r="F1256">
        <v>6.5750000000000003E-2</v>
      </c>
      <c r="G1256">
        <v>0.1643</v>
      </c>
      <c r="H1256">
        <v>9.8599999999999993E-2</v>
      </c>
      <c r="I1256">
        <v>4351.6090000000004</v>
      </c>
      <c r="J1256">
        <v>6269.15</v>
      </c>
    </row>
    <row r="1257" spans="1:10">
      <c r="A1257">
        <v>154</v>
      </c>
      <c r="B1257">
        <v>10</v>
      </c>
      <c r="C1257" t="s">
        <v>106</v>
      </c>
      <c r="D1257">
        <v>-33.914769938132501</v>
      </c>
      <c r="E1257">
        <v>18.847256885123102</v>
      </c>
      <c r="F1257">
        <v>6.5750000000000003E-2</v>
      </c>
      <c r="G1257">
        <v>0.1643</v>
      </c>
      <c r="H1257">
        <v>9.8599999999999993E-2</v>
      </c>
      <c r="I1257">
        <v>4305.4449999999997</v>
      </c>
      <c r="J1257">
        <v>6222.9859999999999</v>
      </c>
    </row>
    <row r="1258" spans="1:10">
      <c r="A1258">
        <v>155</v>
      </c>
      <c r="B1258">
        <v>10</v>
      </c>
      <c r="C1258" t="s">
        <v>106</v>
      </c>
      <c r="D1258">
        <v>-33.917506162426598</v>
      </c>
      <c r="E1258">
        <v>18.845627135441301</v>
      </c>
      <c r="F1258">
        <v>6.5750000000000003E-2</v>
      </c>
      <c r="G1258">
        <v>0.1643</v>
      </c>
      <c r="H1258">
        <v>9.8599999999999993E-2</v>
      </c>
      <c r="I1258">
        <v>5017.5309999999999</v>
      </c>
      <c r="J1258">
        <v>6935.0709999999999</v>
      </c>
    </row>
    <row r="1259" spans="1:10">
      <c r="A1259">
        <v>156</v>
      </c>
      <c r="B1259">
        <v>10</v>
      </c>
      <c r="C1259" t="s">
        <v>106</v>
      </c>
      <c r="D1259">
        <v>-33.912693242622197</v>
      </c>
      <c r="E1259">
        <v>18.847166370591101</v>
      </c>
      <c r="F1259">
        <v>6.5750000000000003E-2</v>
      </c>
      <c r="G1259">
        <v>0.1643</v>
      </c>
      <c r="H1259">
        <v>9.8599999999999993E-2</v>
      </c>
      <c r="I1259">
        <v>4417.1480000000001</v>
      </c>
      <c r="J1259">
        <v>6334.6890000000003</v>
      </c>
    </row>
    <row r="1260" spans="1:10">
      <c r="A1260">
        <v>157</v>
      </c>
      <c r="B1260">
        <v>10</v>
      </c>
      <c r="C1260" t="s">
        <v>106</v>
      </c>
      <c r="D1260">
        <v>-33.917098044389803</v>
      </c>
      <c r="E1260">
        <v>18.847042409296598</v>
      </c>
      <c r="F1260">
        <v>6.5750000000000003E-2</v>
      </c>
      <c r="G1260">
        <v>0.1643</v>
      </c>
      <c r="H1260">
        <v>9.8599999999999993E-2</v>
      </c>
      <c r="I1260">
        <v>4176.6469999999999</v>
      </c>
      <c r="J1260">
        <v>6094.1880000000001</v>
      </c>
    </row>
    <row r="1261" spans="1:10">
      <c r="A1261">
        <v>158</v>
      </c>
      <c r="B1261">
        <v>10</v>
      </c>
      <c r="C1261" t="s">
        <v>106</v>
      </c>
      <c r="D1261">
        <v>-33.914020266595799</v>
      </c>
      <c r="E1261">
        <v>18.846695401662199</v>
      </c>
      <c r="F1261">
        <v>6.5750000000000003E-2</v>
      </c>
      <c r="G1261">
        <v>0.1643</v>
      </c>
      <c r="H1261">
        <v>9.8599999999999993E-2</v>
      </c>
      <c r="I1261">
        <v>4450.8370000000004</v>
      </c>
      <c r="J1261">
        <v>6368.3779999999997</v>
      </c>
    </row>
    <row r="1262" spans="1:10">
      <c r="A1262">
        <v>159</v>
      </c>
      <c r="B1262">
        <v>10</v>
      </c>
      <c r="C1262" t="s">
        <v>106</v>
      </c>
      <c r="D1262">
        <v>-33.918122820154302</v>
      </c>
      <c r="E1262">
        <v>18.8449653239967</v>
      </c>
      <c r="F1262">
        <v>6.5750000000000003E-2</v>
      </c>
      <c r="G1262">
        <v>0.1643</v>
      </c>
      <c r="H1262">
        <v>9.8599999999999993E-2</v>
      </c>
      <c r="I1262">
        <v>4623.8649999999998</v>
      </c>
      <c r="J1262">
        <v>6541.4049999999997</v>
      </c>
    </row>
    <row r="1263" spans="1:10">
      <c r="A1263">
        <v>160</v>
      </c>
      <c r="B1263">
        <v>10</v>
      </c>
      <c r="C1263" t="s">
        <v>106</v>
      </c>
      <c r="D1263">
        <v>-33.916615945388997</v>
      </c>
      <c r="E1263">
        <v>18.8471743098996</v>
      </c>
      <c r="F1263">
        <v>6.5750000000000003E-2</v>
      </c>
      <c r="G1263">
        <v>0.1643</v>
      </c>
      <c r="H1263">
        <v>9.8599999999999993E-2</v>
      </c>
      <c r="I1263">
        <v>4115.7169999999996</v>
      </c>
      <c r="J1263">
        <v>6033.2579999999998</v>
      </c>
    </row>
    <row r="1264" spans="1:10">
      <c r="A1264">
        <v>161</v>
      </c>
      <c r="B1264">
        <v>10</v>
      </c>
      <c r="C1264" t="s">
        <v>106</v>
      </c>
      <c r="D1264">
        <v>-33.916232665161402</v>
      </c>
      <c r="E1264">
        <v>18.847570458151399</v>
      </c>
      <c r="F1264">
        <v>6.5750000000000003E-2</v>
      </c>
      <c r="G1264">
        <v>0.1643</v>
      </c>
      <c r="H1264">
        <v>9.8599999999999993E-2</v>
      </c>
      <c r="I1264">
        <v>4161.2089999999998</v>
      </c>
      <c r="J1264">
        <v>6078.7489999999998</v>
      </c>
    </row>
    <row r="1265" spans="1:10">
      <c r="A1265">
        <v>162</v>
      </c>
      <c r="B1265">
        <v>10</v>
      </c>
      <c r="C1265" t="s">
        <v>106</v>
      </c>
      <c r="D1265">
        <v>-33.9156531880001</v>
      </c>
      <c r="E1265">
        <v>18.847534961983701</v>
      </c>
      <c r="F1265">
        <v>6.5750000000000003E-2</v>
      </c>
      <c r="G1265">
        <v>0.1643</v>
      </c>
      <c r="H1265">
        <v>9.8599999999999993E-2</v>
      </c>
      <c r="I1265">
        <v>4229.8710000000001</v>
      </c>
      <c r="J1265">
        <v>6147.4120000000003</v>
      </c>
    </row>
    <row r="1266" spans="1:10">
      <c r="A1266">
        <v>163</v>
      </c>
      <c r="B1266">
        <v>10</v>
      </c>
      <c r="C1266" t="s">
        <v>106</v>
      </c>
      <c r="D1266">
        <v>-33.919093690734996</v>
      </c>
      <c r="E1266">
        <v>18.846643671410199</v>
      </c>
      <c r="F1266">
        <v>6.5750000000000003E-2</v>
      </c>
      <c r="G1266">
        <v>0.1643</v>
      </c>
      <c r="H1266">
        <v>9.8599999999999993E-2</v>
      </c>
      <c r="I1266">
        <v>4405.4089999999997</v>
      </c>
      <c r="J1266">
        <v>6322.95</v>
      </c>
    </row>
    <row r="1267" spans="1:10">
      <c r="A1267">
        <v>164</v>
      </c>
      <c r="B1267">
        <v>10</v>
      </c>
      <c r="C1267" t="s">
        <v>106</v>
      </c>
      <c r="D1267">
        <v>-33.9134205479358</v>
      </c>
      <c r="E1267">
        <v>18.847427532531501</v>
      </c>
      <c r="F1267">
        <v>6.5750000000000003E-2</v>
      </c>
      <c r="G1267">
        <v>0.1643</v>
      </c>
      <c r="H1267">
        <v>9.8599999999999993E-2</v>
      </c>
      <c r="I1267">
        <v>4358.0590000000002</v>
      </c>
      <c r="J1267">
        <v>6275.6</v>
      </c>
    </row>
    <row r="1268" spans="1:10">
      <c r="A1268">
        <v>165</v>
      </c>
      <c r="B1268">
        <v>10</v>
      </c>
      <c r="C1268" t="s">
        <v>106</v>
      </c>
      <c r="D1268">
        <v>-33.915794524776501</v>
      </c>
      <c r="E1268">
        <v>18.846183737003201</v>
      </c>
      <c r="F1268">
        <v>6.5750000000000003E-2</v>
      </c>
      <c r="G1268">
        <v>0.1643</v>
      </c>
      <c r="H1268">
        <v>9.8599999999999993E-2</v>
      </c>
      <c r="I1268">
        <v>4281.2460000000001</v>
      </c>
      <c r="J1268">
        <v>6198.7870000000003</v>
      </c>
    </row>
    <row r="1269" spans="1:10">
      <c r="A1269">
        <v>166</v>
      </c>
      <c r="B1269">
        <v>10</v>
      </c>
      <c r="C1269" t="s">
        <v>106</v>
      </c>
      <c r="D1269">
        <v>-33.914570704597899</v>
      </c>
      <c r="E1269">
        <v>18.847210873540799</v>
      </c>
      <c r="F1269">
        <v>6.5750000000000003E-2</v>
      </c>
      <c r="G1269">
        <v>0.1643</v>
      </c>
      <c r="H1269">
        <v>9.8599999999999993E-2</v>
      </c>
      <c r="I1269">
        <v>4365.6350000000002</v>
      </c>
      <c r="J1269">
        <v>6283.1750000000002</v>
      </c>
    </row>
    <row r="1270" spans="1:10">
      <c r="A1270">
        <v>167</v>
      </c>
      <c r="B1270">
        <v>10</v>
      </c>
      <c r="C1270" t="s">
        <v>106</v>
      </c>
      <c r="D1270">
        <v>-33.913589001330301</v>
      </c>
      <c r="E1270">
        <v>18.846996887628801</v>
      </c>
      <c r="F1270">
        <v>6.5750000000000003E-2</v>
      </c>
      <c r="G1270">
        <v>0.1643</v>
      </c>
      <c r="H1270">
        <v>9.8599999999999993E-2</v>
      </c>
      <c r="I1270">
        <v>4401.6480000000001</v>
      </c>
      <c r="J1270">
        <v>6319.1880000000001</v>
      </c>
    </row>
    <row r="1271" spans="1:10">
      <c r="A1271">
        <v>168</v>
      </c>
      <c r="B1271">
        <v>10</v>
      </c>
      <c r="C1271" t="s">
        <v>106</v>
      </c>
      <c r="D1271">
        <v>-33.914786983126</v>
      </c>
      <c r="E1271">
        <v>18.845808238458101</v>
      </c>
      <c r="F1271">
        <v>6.5750000000000003E-2</v>
      </c>
      <c r="G1271">
        <v>0.1643</v>
      </c>
      <c r="H1271">
        <v>9.8599999999999993E-2</v>
      </c>
      <c r="I1271">
        <v>4530.8059999999996</v>
      </c>
      <c r="J1271">
        <v>6448.3469999999998</v>
      </c>
    </row>
    <row r="1272" spans="1:10">
      <c r="A1272">
        <v>169</v>
      </c>
      <c r="B1272">
        <v>10</v>
      </c>
      <c r="C1272" t="s">
        <v>106</v>
      </c>
      <c r="D1272">
        <v>-33.915911441404198</v>
      </c>
      <c r="E1272">
        <v>18.8473122824076</v>
      </c>
      <c r="F1272">
        <v>6.5750000000000003E-2</v>
      </c>
      <c r="G1272">
        <v>0.1643</v>
      </c>
      <c r="H1272">
        <v>9.8599999999999993E-2</v>
      </c>
      <c r="I1272">
        <v>4180.4629999999997</v>
      </c>
      <c r="J1272">
        <v>6098.0039999999999</v>
      </c>
    </row>
    <row r="1273" spans="1:10">
      <c r="A1273">
        <v>170</v>
      </c>
      <c r="B1273">
        <v>10</v>
      </c>
      <c r="C1273" t="s">
        <v>106</v>
      </c>
      <c r="D1273">
        <v>-33.916457638247202</v>
      </c>
      <c r="E1273">
        <v>18.846292619042899</v>
      </c>
      <c r="F1273">
        <v>6.5750000000000003E-2</v>
      </c>
      <c r="G1273">
        <v>0.1643</v>
      </c>
      <c r="H1273">
        <v>9.8599999999999993E-2</v>
      </c>
      <c r="I1273">
        <v>4216.433</v>
      </c>
      <c r="J1273">
        <v>6133.973</v>
      </c>
    </row>
    <row r="1274" spans="1:10">
      <c r="A1274">
        <v>171</v>
      </c>
      <c r="B1274">
        <v>10</v>
      </c>
      <c r="C1274" t="s">
        <v>106</v>
      </c>
      <c r="D1274">
        <v>-33.918795496917497</v>
      </c>
      <c r="E1274">
        <v>18.846418902673999</v>
      </c>
      <c r="F1274">
        <v>6.5750000000000003E-2</v>
      </c>
      <c r="G1274">
        <v>0.1643</v>
      </c>
      <c r="H1274">
        <v>9.8599999999999993E-2</v>
      </c>
      <c r="I1274">
        <v>4370.8119999999999</v>
      </c>
      <c r="J1274">
        <v>6288.3530000000001</v>
      </c>
    </row>
    <row r="1275" spans="1:10">
      <c r="A1275">
        <v>172</v>
      </c>
      <c r="B1275">
        <v>10</v>
      </c>
      <c r="C1275" t="s">
        <v>106</v>
      </c>
      <c r="D1275">
        <v>-33.914450128473099</v>
      </c>
      <c r="E1275">
        <v>18.846988451990899</v>
      </c>
      <c r="F1275">
        <v>6.5750000000000003E-2</v>
      </c>
      <c r="G1275">
        <v>0.1643</v>
      </c>
      <c r="H1275">
        <v>9.8599999999999993E-2</v>
      </c>
      <c r="I1275">
        <v>4408.43</v>
      </c>
      <c r="J1275">
        <v>6325.9709999999995</v>
      </c>
    </row>
    <row r="1276" spans="1:10">
      <c r="A1276">
        <v>173</v>
      </c>
      <c r="B1276">
        <v>10</v>
      </c>
      <c r="C1276" t="s">
        <v>106</v>
      </c>
      <c r="D1276">
        <v>-33.919160037259203</v>
      </c>
      <c r="E1276">
        <v>18.847196884141901</v>
      </c>
      <c r="F1276">
        <v>6.5750000000000003E-2</v>
      </c>
      <c r="G1276">
        <v>0.1643</v>
      </c>
      <c r="H1276">
        <v>9.8599999999999993E-2</v>
      </c>
      <c r="I1276">
        <v>4239.25</v>
      </c>
      <c r="J1276">
        <v>6156.79</v>
      </c>
    </row>
    <row r="1277" spans="1:10">
      <c r="A1277">
        <v>174</v>
      </c>
      <c r="B1277">
        <v>10</v>
      </c>
      <c r="C1277" t="s">
        <v>106</v>
      </c>
      <c r="D1277">
        <v>-33.916310109094397</v>
      </c>
      <c r="E1277">
        <v>18.845698953589402</v>
      </c>
      <c r="F1277">
        <v>6.5750000000000003E-2</v>
      </c>
      <c r="G1277">
        <v>0.1643</v>
      </c>
      <c r="H1277">
        <v>9.8599999999999993E-2</v>
      </c>
      <c r="I1277">
        <v>4296.7250000000004</v>
      </c>
      <c r="J1277">
        <v>6214.2659999999996</v>
      </c>
    </row>
    <row r="1278" spans="1:10">
      <c r="A1278">
        <v>175</v>
      </c>
      <c r="B1278">
        <v>10</v>
      </c>
      <c r="C1278" t="s">
        <v>106</v>
      </c>
      <c r="D1278">
        <v>-33.913058054146603</v>
      </c>
      <c r="E1278">
        <v>18.845908793885901</v>
      </c>
      <c r="F1278">
        <v>6.5750000000000003E-2</v>
      </c>
      <c r="G1278">
        <v>0.1643</v>
      </c>
      <c r="H1278">
        <v>9.8599999999999993E-2</v>
      </c>
      <c r="I1278">
        <v>4774.29</v>
      </c>
      <c r="J1278">
        <v>6691.8310000000001</v>
      </c>
    </row>
    <row r="1279" spans="1:10">
      <c r="A1279">
        <v>176</v>
      </c>
      <c r="B1279">
        <v>10</v>
      </c>
      <c r="C1279" t="s">
        <v>106</v>
      </c>
      <c r="D1279">
        <v>-33.916072367514602</v>
      </c>
      <c r="E1279">
        <v>18.8471308410159</v>
      </c>
      <c r="F1279">
        <v>6.5750000000000003E-2</v>
      </c>
      <c r="G1279">
        <v>0.1643</v>
      </c>
      <c r="H1279">
        <v>9.8599999999999993E-2</v>
      </c>
      <c r="I1279">
        <v>4200.4009999999998</v>
      </c>
      <c r="J1279">
        <v>6117.942</v>
      </c>
    </row>
    <row r="1280" spans="1:10">
      <c r="A1280">
        <v>177</v>
      </c>
      <c r="B1280">
        <v>10</v>
      </c>
      <c r="C1280" t="s">
        <v>106</v>
      </c>
      <c r="D1280">
        <v>-33.9149170600422</v>
      </c>
      <c r="E1280">
        <v>18.847438859451699</v>
      </c>
      <c r="F1280">
        <v>6.5750000000000003E-2</v>
      </c>
      <c r="G1280">
        <v>0.1643</v>
      </c>
      <c r="H1280">
        <v>9.8599999999999993E-2</v>
      </c>
      <c r="I1280">
        <v>4290.8379999999997</v>
      </c>
      <c r="J1280">
        <v>6208.3789999999999</v>
      </c>
    </row>
    <row r="1281" spans="1:10">
      <c r="A1281">
        <v>178</v>
      </c>
      <c r="B1281">
        <v>10</v>
      </c>
      <c r="C1281" t="s">
        <v>106</v>
      </c>
      <c r="D1281">
        <v>-33.9167434299329</v>
      </c>
      <c r="E1281">
        <v>18.845160696254201</v>
      </c>
      <c r="F1281">
        <v>6.5750000000000003E-2</v>
      </c>
      <c r="G1281">
        <v>0.1643</v>
      </c>
      <c r="H1281">
        <v>9.8599999999999993E-2</v>
      </c>
      <c r="I1281">
        <v>4928.8469999999998</v>
      </c>
      <c r="J1281">
        <v>6846.3879999999999</v>
      </c>
    </row>
    <row r="1282" spans="1:10">
      <c r="A1282">
        <v>179</v>
      </c>
      <c r="B1282">
        <v>10</v>
      </c>
      <c r="C1282" t="s">
        <v>106</v>
      </c>
      <c r="D1282">
        <v>-33.917811959535499</v>
      </c>
      <c r="E1282">
        <v>18.846570657866799</v>
      </c>
      <c r="F1282">
        <v>6.5750000000000003E-2</v>
      </c>
      <c r="G1282">
        <v>0.1643</v>
      </c>
      <c r="H1282">
        <v>9.8599999999999993E-2</v>
      </c>
      <c r="I1282">
        <v>4217.326</v>
      </c>
      <c r="J1282">
        <v>6134.8670000000002</v>
      </c>
    </row>
    <row r="1283" spans="1:10">
      <c r="A1283">
        <v>180</v>
      </c>
      <c r="B1283">
        <v>10</v>
      </c>
      <c r="C1283" t="s">
        <v>106</v>
      </c>
      <c r="D1283">
        <v>-33.917228065411201</v>
      </c>
      <c r="E1283">
        <v>18.845089732154101</v>
      </c>
      <c r="F1283">
        <v>6.5750000000000003E-2</v>
      </c>
      <c r="G1283">
        <v>0.1643</v>
      </c>
      <c r="H1283">
        <v>9.8599999999999993E-2</v>
      </c>
      <c r="I1283">
        <v>4963.8959999999997</v>
      </c>
      <c r="J1283">
        <v>6881.4369999999999</v>
      </c>
    </row>
    <row r="1284" spans="1:10">
      <c r="A1284">
        <v>181</v>
      </c>
      <c r="B1284">
        <v>10</v>
      </c>
      <c r="C1284" t="s">
        <v>106</v>
      </c>
      <c r="D1284">
        <v>-33.918003867470702</v>
      </c>
      <c r="E1284">
        <v>18.847616272941401</v>
      </c>
      <c r="F1284">
        <v>6.5750000000000003E-2</v>
      </c>
      <c r="G1284">
        <v>0.1643</v>
      </c>
      <c r="H1284">
        <v>9.8599999999999993E-2</v>
      </c>
      <c r="I1284">
        <v>4163.1379999999999</v>
      </c>
      <c r="J1284">
        <v>6080.6790000000001</v>
      </c>
    </row>
    <row r="1285" spans="1:10">
      <c r="A1285">
        <v>182</v>
      </c>
      <c r="B1285">
        <v>10</v>
      </c>
      <c r="C1285" t="s">
        <v>106</v>
      </c>
      <c r="D1285">
        <v>-33.9143644127237</v>
      </c>
      <c r="E1285">
        <v>18.847026217687699</v>
      </c>
      <c r="F1285">
        <v>6.5750000000000003E-2</v>
      </c>
      <c r="G1285">
        <v>0.1643</v>
      </c>
      <c r="H1285">
        <v>9.8599999999999993E-2</v>
      </c>
      <c r="I1285">
        <v>4400.3909999999996</v>
      </c>
      <c r="J1285">
        <v>6317.9319999999998</v>
      </c>
    </row>
    <row r="1286" spans="1:10">
      <c r="A1286">
        <v>183</v>
      </c>
      <c r="B1286">
        <v>10</v>
      </c>
      <c r="C1286" t="s">
        <v>106</v>
      </c>
      <c r="D1286">
        <v>-33.913540851750398</v>
      </c>
      <c r="E1286">
        <v>18.845242427878102</v>
      </c>
      <c r="F1286">
        <v>6.5750000000000003E-2</v>
      </c>
      <c r="G1286">
        <v>0.1643</v>
      </c>
      <c r="H1286">
        <v>9.8599999999999993E-2</v>
      </c>
      <c r="I1286">
        <v>4855.259</v>
      </c>
      <c r="J1286">
        <v>6772.8</v>
      </c>
    </row>
    <row r="1287" spans="1:10">
      <c r="A1287">
        <v>184</v>
      </c>
      <c r="B1287">
        <v>10</v>
      </c>
      <c r="C1287" t="s">
        <v>106</v>
      </c>
      <c r="D1287">
        <v>-33.914384958514702</v>
      </c>
      <c r="E1287">
        <v>18.845987320280699</v>
      </c>
      <c r="F1287">
        <v>6.5750000000000003E-2</v>
      </c>
      <c r="G1287">
        <v>0.1643</v>
      </c>
      <c r="H1287">
        <v>9.8599999999999993E-2</v>
      </c>
      <c r="I1287">
        <v>4539.0770000000002</v>
      </c>
      <c r="J1287">
        <v>6456.6180000000004</v>
      </c>
    </row>
    <row r="1288" spans="1:10">
      <c r="A1288">
        <v>185</v>
      </c>
      <c r="B1288">
        <v>10</v>
      </c>
      <c r="C1288" t="s">
        <v>106</v>
      </c>
      <c r="D1288">
        <v>-33.9147790772953</v>
      </c>
      <c r="E1288">
        <v>18.8456316016843</v>
      </c>
      <c r="F1288">
        <v>6.5750000000000003E-2</v>
      </c>
      <c r="G1288">
        <v>0.1643</v>
      </c>
      <c r="H1288">
        <v>9.8599999999999993E-2</v>
      </c>
      <c r="I1288">
        <v>4530.8680000000004</v>
      </c>
      <c r="J1288">
        <v>6448.4089999999997</v>
      </c>
    </row>
    <row r="1289" spans="1:10">
      <c r="A1289">
        <v>186</v>
      </c>
      <c r="B1289">
        <v>10</v>
      </c>
      <c r="C1289" t="s">
        <v>106</v>
      </c>
      <c r="D1289">
        <v>-33.919093090893398</v>
      </c>
      <c r="E1289">
        <v>18.844934622860801</v>
      </c>
      <c r="F1289">
        <v>6.5750000000000003E-2</v>
      </c>
      <c r="G1289">
        <v>0.1643</v>
      </c>
      <c r="H1289">
        <v>9.8599999999999993E-2</v>
      </c>
      <c r="I1289">
        <v>4392.5860000000002</v>
      </c>
      <c r="J1289">
        <v>6310.1270000000004</v>
      </c>
    </row>
    <row r="1290" spans="1:10">
      <c r="A1290">
        <v>187</v>
      </c>
      <c r="B1290">
        <v>10</v>
      </c>
      <c r="C1290" t="s">
        <v>106</v>
      </c>
      <c r="D1290">
        <v>-33.914185327511603</v>
      </c>
      <c r="E1290">
        <v>18.846728636708701</v>
      </c>
      <c r="F1290">
        <v>6.5750000000000003E-2</v>
      </c>
      <c r="G1290">
        <v>0.1643</v>
      </c>
      <c r="H1290">
        <v>9.8599999999999993E-2</v>
      </c>
      <c r="I1290">
        <v>4412.9579999999996</v>
      </c>
      <c r="J1290">
        <v>6330.4989999999998</v>
      </c>
    </row>
    <row r="1291" spans="1:10">
      <c r="A1291">
        <v>188</v>
      </c>
      <c r="B1291">
        <v>10</v>
      </c>
      <c r="C1291" t="s">
        <v>106</v>
      </c>
      <c r="D1291">
        <v>-33.918637457753803</v>
      </c>
      <c r="E1291">
        <v>18.847610074173598</v>
      </c>
      <c r="F1291">
        <v>6.5750000000000003E-2</v>
      </c>
      <c r="G1291">
        <v>0.1643</v>
      </c>
      <c r="H1291">
        <v>9.8599999999999993E-2</v>
      </c>
      <c r="I1291">
        <v>4225.3540000000003</v>
      </c>
      <c r="J1291">
        <v>6142.8950000000004</v>
      </c>
    </row>
    <row r="1292" spans="1:10">
      <c r="A1292">
        <v>189</v>
      </c>
      <c r="B1292">
        <v>10</v>
      </c>
      <c r="C1292" t="s">
        <v>106</v>
      </c>
      <c r="D1292">
        <v>-33.918164379999602</v>
      </c>
      <c r="E1292">
        <v>18.847155845531098</v>
      </c>
      <c r="F1292">
        <v>6.5750000000000003E-2</v>
      </c>
      <c r="G1292">
        <v>0.1643</v>
      </c>
      <c r="H1292">
        <v>9.8599999999999993E-2</v>
      </c>
      <c r="I1292">
        <v>4182.165</v>
      </c>
      <c r="J1292">
        <v>6099.7060000000001</v>
      </c>
    </row>
    <row r="1293" spans="1:10">
      <c r="A1293">
        <v>190</v>
      </c>
      <c r="B1293">
        <v>10</v>
      </c>
      <c r="C1293" t="s">
        <v>106</v>
      </c>
      <c r="D1293">
        <v>-33.9142288539988</v>
      </c>
      <c r="E1293">
        <v>18.845131628930499</v>
      </c>
      <c r="F1293">
        <v>6.5750000000000003E-2</v>
      </c>
      <c r="G1293">
        <v>0.1643</v>
      </c>
      <c r="H1293">
        <v>9.8599999999999993E-2</v>
      </c>
      <c r="I1293">
        <v>4594.4260000000004</v>
      </c>
      <c r="J1293">
        <v>6511.9669999999996</v>
      </c>
    </row>
    <row r="1294" spans="1:10">
      <c r="A1294">
        <v>191</v>
      </c>
      <c r="B1294">
        <v>10</v>
      </c>
      <c r="C1294" t="s">
        <v>106</v>
      </c>
      <c r="D1294">
        <v>-33.9165572125004</v>
      </c>
      <c r="E1294">
        <v>18.847592124712499</v>
      </c>
      <c r="F1294">
        <v>6.5750000000000003E-2</v>
      </c>
      <c r="G1294">
        <v>0.1643</v>
      </c>
      <c r="H1294">
        <v>9.8599999999999993E-2</v>
      </c>
      <c r="I1294">
        <v>4079.2440000000001</v>
      </c>
      <c r="J1294">
        <v>5996.7849999999999</v>
      </c>
    </row>
    <row r="1295" spans="1:10">
      <c r="A1295">
        <v>192</v>
      </c>
      <c r="B1295">
        <v>10</v>
      </c>
      <c r="C1295" t="s">
        <v>106</v>
      </c>
      <c r="D1295">
        <v>-33.917306865990199</v>
      </c>
      <c r="E1295">
        <v>18.8464803370086</v>
      </c>
      <c r="F1295">
        <v>6.5750000000000003E-2</v>
      </c>
      <c r="G1295">
        <v>0.1643</v>
      </c>
      <c r="H1295">
        <v>9.8599999999999993E-2</v>
      </c>
      <c r="I1295">
        <v>4210.442</v>
      </c>
      <c r="J1295">
        <v>6127.9830000000002</v>
      </c>
    </row>
    <row r="1296" spans="1:10">
      <c r="A1296">
        <v>193</v>
      </c>
      <c r="B1296">
        <v>10</v>
      </c>
      <c r="C1296" t="s">
        <v>106</v>
      </c>
      <c r="D1296">
        <v>-33.916458516475501</v>
      </c>
      <c r="E1296">
        <v>18.847314083042701</v>
      </c>
      <c r="F1296">
        <v>6.5750000000000003E-2</v>
      </c>
      <c r="G1296">
        <v>0.1643</v>
      </c>
      <c r="H1296">
        <v>9.8599999999999993E-2</v>
      </c>
      <c r="I1296">
        <v>4101.317</v>
      </c>
      <c r="J1296">
        <v>6018.8580000000002</v>
      </c>
    </row>
    <row r="1297" spans="1:10">
      <c r="A1297">
        <v>194</v>
      </c>
      <c r="B1297">
        <v>10</v>
      </c>
      <c r="C1297" t="s">
        <v>106</v>
      </c>
      <c r="D1297">
        <v>-33.917765998269502</v>
      </c>
      <c r="E1297">
        <v>18.845353138411198</v>
      </c>
      <c r="F1297">
        <v>6.5750000000000003E-2</v>
      </c>
      <c r="G1297">
        <v>0.1643</v>
      </c>
      <c r="H1297">
        <v>9.8599999999999993E-2</v>
      </c>
      <c r="I1297">
        <v>5017.5309999999999</v>
      </c>
      <c r="J1297">
        <v>6935.0709999999999</v>
      </c>
    </row>
    <row r="1298" spans="1:10">
      <c r="A1298">
        <v>195</v>
      </c>
      <c r="B1298">
        <v>10</v>
      </c>
      <c r="C1298" t="s">
        <v>106</v>
      </c>
      <c r="D1298">
        <v>-33.9125844950781</v>
      </c>
      <c r="E1298">
        <v>18.847469693073901</v>
      </c>
      <c r="F1298">
        <v>6.5750000000000003E-2</v>
      </c>
      <c r="G1298">
        <v>0.1643</v>
      </c>
      <c r="H1298">
        <v>9.8599999999999993E-2</v>
      </c>
      <c r="I1298">
        <v>4443.3670000000002</v>
      </c>
      <c r="J1298">
        <v>6360.9080000000004</v>
      </c>
    </row>
    <row r="1299" spans="1:10">
      <c r="A1299">
        <v>196</v>
      </c>
      <c r="B1299">
        <v>10</v>
      </c>
      <c r="C1299" t="s">
        <v>106</v>
      </c>
      <c r="D1299">
        <v>-33.914593510412097</v>
      </c>
      <c r="E1299">
        <v>18.845858122414601</v>
      </c>
      <c r="F1299">
        <v>6.5750000000000003E-2</v>
      </c>
      <c r="G1299">
        <v>0.1643</v>
      </c>
      <c r="H1299">
        <v>9.8599999999999993E-2</v>
      </c>
      <c r="I1299">
        <v>4514.2020000000002</v>
      </c>
      <c r="J1299">
        <v>6431.7430000000004</v>
      </c>
    </row>
    <row r="1300" spans="1:10">
      <c r="A1300">
        <v>197</v>
      </c>
      <c r="B1300">
        <v>10</v>
      </c>
      <c r="C1300" t="s">
        <v>106</v>
      </c>
      <c r="D1300">
        <v>-33.917424419605098</v>
      </c>
      <c r="E1300">
        <v>18.846037472175201</v>
      </c>
      <c r="F1300">
        <v>6.5750000000000003E-2</v>
      </c>
      <c r="G1300">
        <v>0.1643</v>
      </c>
      <c r="H1300">
        <v>9.8599999999999993E-2</v>
      </c>
      <c r="I1300">
        <v>4212.4179999999997</v>
      </c>
      <c r="J1300">
        <v>6129.9579999999996</v>
      </c>
    </row>
    <row r="1301" spans="1:10">
      <c r="A1301">
        <v>198</v>
      </c>
      <c r="B1301">
        <v>10</v>
      </c>
      <c r="C1301" t="s">
        <v>106</v>
      </c>
      <c r="D1301">
        <v>-33.916153689721199</v>
      </c>
      <c r="E1301">
        <v>18.846351508240499</v>
      </c>
      <c r="F1301">
        <v>6.5750000000000003E-2</v>
      </c>
      <c r="G1301">
        <v>0.1643</v>
      </c>
      <c r="H1301">
        <v>9.8599999999999993E-2</v>
      </c>
      <c r="I1301">
        <v>4238.4369999999999</v>
      </c>
      <c r="J1301">
        <v>6155.9780000000001</v>
      </c>
    </row>
    <row r="1302" spans="1:10">
      <c r="A1302">
        <v>199</v>
      </c>
      <c r="B1302">
        <v>10</v>
      </c>
      <c r="C1302" t="s">
        <v>106</v>
      </c>
      <c r="D1302">
        <v>-33.9131619254116</v>
      </c>
      <c r="E1302">
        <v>18.845596702607502</v>
      </c>
      <c r="F1302">
        <v>6.5750000000000003E-2</v>
      </c>
      <c r="G1302">
        <v>0.1643</v>
      </c>
      <c r="H1302">
        <v>9.8599999999999993E-2</v>
      </c>
      <c r="I1302">
        <v>4804.643</v>
      </c>
      <c r="J1302">
        <v>6722.1840000000002</v>
      </c>
    </row>
    <row r="1303" spans="1:10">
      <c r="A1303">
        <v>200</v>
      </c>
      <c r="B1303">
        <v>10</v>
      </c>
      <c r="C1303" t="s">
        <v>106</v>
      </c>
      <c r="D1303">
        <v>-33.918095787168099</v>
      </c>
      <c r="E1303">
        <v>18.845198105700899</v>
      </c>
      <c r="F1303">
        <v>6.5750000000000003E-2</v>
      </c>
      <c r="G1303">
        <v>0.1643</v>
      </c>
      <c r="H1303">
        <v>9.8599999999999993E-2</v>
      </c>
      <c r="I1303">
        <v>4643.6210000000001</v>
      </c>
      <c r="J1303">
        <v>6561.1620000000003</v>
      </c>
    </row>
    <row r="1304" spans="1:10">
      <c r="A1304">
        <v>201</v>
      </c>
      <c r="B1304">
        <v>10</v>
      </c>
      <c r="C1304" t="s">
        <v>106</v>
      </c>
      <c r="D1304">
        <v>-33.913484519188103</v>
      </c>
      <c r="E1304">
        <v>18.846576696995999</v>
      </c>
      <c r="F1304">
        <v>6.5750000000000003E-2</v>
      </c>
      <c r="G1304">
        <v>0.1643</v>
      </c>
      <c r="H1304">
        <v>9.8599999999999993E-2</v>
      </c>
      <c r="I1304">
        <v>4468.1869999999999</v>
      </c>
      <c r="J1304">
        <v>6385.7280000000001</v>
      </c>
    </row>
    <row r="1305" spans="1:10">
      <c r="A1305">
        <v>202</v>
      </c>
      <c r="B1305">
        <v>10</v>
      </c>
      <c r="C1305" t="s">
        <v>106</v>
      </c>
      <c r="D1305">
        <v>-33.912965341722099</v>
      </c>
      <c r="E1305">
        <v>18.8455595131738</v>
      </c>
      <c r="F1305">
        <v>6.5750000000000003E-2</v>
      </c>
      <c r="G1305">
        <v>0.1643</v>
      </c>
      <c r="H1305">
        <v>9.8599999999999993E-2</v>
      </c>
      <c r="I1305">
        <v>4797.4539999999997</v>
      </c>
      <c r="J1305">
        <v>6714.9949999999999</v>
      </c>
    </row>
    <row r="1306" spans="1:10">
      <c r="A1306">
        <v>203</v>
      </c>
      <c r="B1306">
        <v>10</v>
      </c>
      <c r="C1306" t="s">
        <v>106</v>
      </c>
      <c r="D1306">
        <v>-33.918722277514199</v>
      </c>
      <c r="E1306">
        <v>18.845745617948602</v>
      </c>
      <c r="F1306">
        <v>6.5750000000000003E-2</v>
      </c>
      <c r="G1306">
        <v>0.1643</v>
      </c>
      <c r="H1306">
        <v>9.8599999999999993E-2</v>
      </c>
      <c r="I1306">
        <v>4328.7049999999999</v>
      </c>
      <c r="J1306">
        <v>6246.2460000000001</v>
      </c>
    </row>
    <row r="1307" spans="1:10">
      <c r="A1307">
        <v>204</v>
      </c>
      <c r="B1307">
        <v>10</v>
      </c>
      <c r="C1307" t="s">
        <v>106</v>
      </c>
      <c r="D1307">
        <v>-33.915591121853801</v>
      </c>
      <c r="E1307">
        <v>18.845186810482101</v>
      </c>
      <c r="F1307">
        <v>6.5750000000000003E-2</v>
      </c>
      <c r="G1307">
        <v>0.1643</v>
      </c>
      <c r="H1307">
        <v>9.8599999999999993E-2</v>
      </c>
      <c r="I1307">
        <v>4668.6149999999998</v>
      </c>
      <c r="J1307">
        <v>6586.1559999999999</v>
      </c>
    </row>
    <row r="1308" spans="1:10">
      <c r="A1308">
        <v>205</v>
      </c>
      <c r="B1308">
        <v>10</v>
      </c>
      <c r="C1308" t="s">
        <v>106</v>
      </c>
      <c r="D1308">
        <v>-33.914869211692903</v>
      </c>
      <c r="E1308">
        <v>18.846731859191699</v>
      </c>
      <c r="F1308">
        <v>6.5750000000000003E-2</v>
      </c>
      <c r="G1308">
        <v>0.1643</v>
      </c>
      <c r="H1308">
        <v>9.8599999999999993E-2</v>
      </c>
      <c r="I1308">
        <v>4656.6409999999996</v>
      </c>
      <c r="J1308">
        <v>6574.1819999999998</v>
      </c>
    </row>
    <row r="1309" spans="1:10">
      <c r="A1309">
        <v>206</v>
      </c>
      <c r="B1309">
        <v>10</v>
      </c>
      <c r="C1309" t="s">
        <v>106</v>
      </c>
      <c r="D1309">
        <v>-33.918312407674101</v>
      </c>
      <c r="E1309">
        <v>18.847017005399</v>
      </c>
      <c r="F1309">
        <v>6.5750000000000003E-2</v>
      </c>
      <c r="G1309">
        <v>0.1643</v>
      </c>
      <c r="H1309">
        <v>9.8599999999999993E-2</v>
      </c>
      <c r="I1309">
        <v>4200.0370000000003</v>
      </c>
      <c r="J1309">
        <v>6117.5780000000004</v>
      </c>
    </row>
    <row r="1310" spans="1:10">
      <c r="A1310">
        <v>207</v>
      </c>
      <c r="B1310">
        <v>10</v>
      </c>
      <c r="C1310" t="s">
        <v>106</v>
      </c>
      <c r="D1310">
        <v>-33.915073275879003</v>
      </c>
      <c r="E1310">
        <v>18.846373496424398</v>
      </c>
      <c r="F1310">
        <v>6.5750000000000003E-2</v>
      </c>
      <c r="G1310">
        <v>0.1643</v>
      </c>
      <c r="H1310">
        <v>9.8599999999999993E-2</v>
      </c>
      <c r="I1310">
        <v>4609.8310000000001</v>
      </c>
      <c r="J1310">
        <v>6527.3720000000003</v>
      </c>
    </row>
    <row r="1311" spans="1:10">
      <c r="A1311">
        <v>208</v>
      </c>
      <c r="B1311">
        <v>10</v>
      </c>
      <c r="C1311" t="s">
        <v>106</v>
      </c>
      <c r="D1311">
        <v>-33.913793843561102</v>
      </c>
      <c r="E1311">
        <v>18.845154990433699</v>
      </c>
      <c r="F1311">
        <v>6.5750000000000003E-2</v>
      </c>
      <c r="G1311">
        <v>0.1643</v>
      </c>
      <c r="H1311">
        <v>9.8599999999999993E-2</v>
      </c>
      <c r="I1311">
        <v>4625.51</v>
      </c>
      <c r="J1311">
        <v>6543.05</v>
      </c>
    </row>
    <row r="1312" spans="1:10">
      <c r="A1312">
        <v>209</v>
      </c>
      <c r="B1312">
        <v>10</v>
      </c>
      <c r="C1312" t="s">
        <v>106</v>
      </c>
      <c r="D1312">
        <v>-33.917533494370602</v>
      </c>
      <c r="E1312">
        <v>18.846003814997999</v>
      </c>
      <c r="F1312">
        <v>6.5750000000000003E-2</v>
      </c>
      <c r="G1312">
        <v>0.1643</v>
      </c>
      <c r="H1312">
        <v>9.8599999999999993E-2</v>
      </c>
      <c r="I1312">
        <v>5017.5309999999999</v>
      </c>
      <c r="J1312">
        <v>6935.0709999999999</v>
      </c>
    </row>
    <row r="1313" spans="1:10">
      <c r="A1313">
        <v>210</v>
      </c>
      <c r="B1313">
        <v>10</v>
      </c>
      <c r="C1313" t="s">
        <v>106</v>
      </c>
      <c r="D1313">
        <v>-33.916567585807002</v>
      </c>
      <c r="E1313">
        <v>18.8452452688873</v>
      </c>
      <c r="F1313">
        <v>6.5750000000000003E-2</v>
      </c>
      <c r="G1313">
        <v>0.1643</v>
      </c>
      <c r="H1313">
        <v>9.8599999999999993E-2</v>
      </c>
      <c r="I1313">
        <v>4316.9409999999998</v>
      </c>
      <c r="J1313">
        <v>6234.4809999999998</v>
      </c>
    </row>
    <row r="1314" spans="1:10">
      <c r="A1314">
        <v>211</v>
      </c>
      <c r="B1314">
        <v>10</v>
      </c>
      <c r="C1314" t="s">
        <v>106</v>
      </c>
      <c r="D1314">
        <v>-33.918405186348998</v>
      </c>
      <c r="E1314">
        <v>18.847373423047799</v>
      </c>
      <c r="F1314">
        <v>6.5750000000000003E-2</v>
      </c>
      <c r="G1314">
        <v>0.1643</v>
      </c>
      <c r="H1314">
        <v>9.8599999999999993E-2</v>
      </c>
      <c r="I1314">
        <v>4184.4769999999999</v>
      </c>
      <c r="J1314">
        <v>6102.018</v>
      </c>
    </row>
    <row r="1315" spans="1:10">
      <c r="A1315">
        <v>212</v>
      </c>
      <c r="B1315">
        <v>10</v>
      </c>
      <c r="C1315" t="s">
        <v>106</v>
      </c>
      <c r="D1315">
        <v>-33.912734972031998</v>
      </c>
      <c r="E1315">
        <v>18.845150206730398</v>
      </c>
      <c r="F1315">
        <v>6.5750000000000003E-2</v>
      </c>
      <c r="G1315">
        <v>0.1643</v>
      </c>
      <c r="H1315">
        <v>9.8599999999999993E-2</v>
      </c>
      <c r="I1315">
        <v>4815.0739999999996</v>
      </c>
      <c r="J1315">
        <v>6732.6149999999998</v>
      </c>
    </row>
    <row r="1316" spans="1:10">
      <c r="A1316">
        <v>213</v>
      </c>
      <c r="B1316">
        <v>10</v>
      </c>
      <c r="C1316" t="s">
        <v>106</v>
      </c>
      <c r="D1316">
        <v>-33.918536762257901</v>
      </c>
      <c r="E1316">
        <v>18.845461957531398</v>
      </c>
      <c r="F1316">
        <v>6.5750000000000003E-2</v>
      </c>
      <c r="G1316">
        <v>0.1643</v>
      </c>
      <c r="H1316">
        <v>9.8599999999999993E-2</v>
      </c>
      <c r="I1316">
        <v>4361.6450000000004</v>
      </c>
      <c r="J1316">
        <v>6279.1859999999997</v>
      </c>
    </row>
    <row r="1317" spans="1:10">
      <c r="A1317">
        <v>214</v>
      </c>
      <c r="B1317">
        <v>10</v>
      </c>
      <c r="C1317" t="s">
        <v>106</v>
      </c>
      <c r="D1317">
        <v>-33.918262439900801</v>
      </c>
      <c r="E1317">
        <v>18.847224069434802</v>
      </c>
      <c r="F1317">
        <v>6.5750000000000003E-2</v>
      </c>
      <c r="G1317">
        <v>0.1643</v>
      </c>
      <c r="H1317">
        <v>9.8599999999999993E-2</v>
      </c>
      <c r="I1317">
        <v>4168.5069999999996</v>
      </c>
      <c r="J1317">
        <v>6086.0479999999998</v>
      </c>
    </row>
    <row r="1318" spans="1:10">
      <c r="A1318">
        <v>215</v>
      </c>
      <c r="B1318">
        <v>10</v>
      </c>
      <c r="C1318" t="s">
        <v>106</v>
      </c>
      <c r="D1318">
        <v>-33.9157940706651</v>
      </c>
      <c r="E1318">
        <v>18.8474948904359</v>
      </c>
      <c r="F1318">
        <v>6.5750000000000003E-2</v>
      </c>
      <c r="G1318">
        <v>0.1643</v>
      </c>
      <c r="H1318">
        <v>9.8599999999999993E-2</v>
      </c>
      <c r="I1318">
        <v>4165.7910000000002</v>
      </c>
      <c r="J1318">
        <v>6083.3320000000003</v>
      </c>
    </row>
    <row r="1319" spans="1:10">
      <c r="A1319">
        <v>216</v>
      </c>
      <c r="B1319">
        <v>10</v>
      </c>
      <c r="C1319" t="s">
        <v>106</v>
      </c>
      <c r="D1319">
        <v>-33.914798920309302</v>
      </c>
      <c r="E1319">
        <v>18.845844600453098</v>
      </c>
      <c r="F1319">
        <v>6.5750000000000003E-2</v>
      </c>
      <c r="G1319">
        <v>0.1643</v>
      </c>
      <c r="H1319">
        <v>9.8599999999999993E-2</v>
      </c>
      <c r="I1319">
        <v>4531.9380000000001</v>
      </c>
      <c r="J1319">
        <v>6449.4790000000003</v>
      </c>
    </row>
    <row r="1320" spans="1:10">
      <c r="A1320">
        <v>217</v>
      </c>
      <c r="B1320">
        <v>10</v>
      </c>
      <c r="C1320" t="s">
        <v>106</v>
      </c>
      <c r="D1320">
        <v>-33.914000770155603</v>
      </c>
      <c r="E1320">
        <v>18.847153444380002</v>
      </c>
      <c r="F1320">
        <v>6.5750000000000003E-2</v>
      </c>
      <c r="G1320">
        <v>0.1643</v>
      </c>
      <c r="H1320">
        <v>9.8599999999999993E-2</v>
      </c>
      <c r="I1320">
        <v>4368.8580000000002</v>
      </c>
      <c r="J1320">
        <v>6286.3990000000003</v>
      </c>
    </row>
    <row r="1321" spans="1:10">
      <c r="A1321">
        <v>218</v>
      </c>
      <c r="B1321">
        <v>10</v>
      </c>
      <c r="C1321" t="s">
        <v>106</v>
      </c>
      <c r="D1321">
        <v>-33.915164433139203</v>
      </c>
      <c r="E1321">
        <v>18.846476399684398</v>
      </c>
      <c r="F1321">
        <v>6.5750000000000003E-2</v>
      </c>
      <c r="G1321">
        <v>0.1643</v>
      </c>
      <c r="H1321">
        <v>9.8599999999999993E-2</v>
      </c>
      <c r="I1321">
        <v>4617.0469999999996</v>
      </c>
      <c r="J1321">
        <v>6534.5879999999997</v>
      </c>
    </row>
    <row r="1322" spans="1:10">
      <c r="A1322">
        <v>219</v>
      </c>
      <c r="B1322">
        <v>10</v>
      </c>
      <c r="C1322" t="s">
        <v>106</v>
      </c>
      <c r="D1322">
        <v>-33.916345705047398</v>
      </c>
      <c r="E1322">
        <v>18.847448123874798</v>
      </c>
      <c r="F1322">
        <v>6.5750000000000003E-2</v>
      </c>
      <c r="G1322">
        <v>0.1643</v>
      </c>
      <c r="H1322">
        <v>9.8599999999999993E-2</v>
      </c>
      <c r="I1322">
        <v>4173.098</v>
      </c>
      <c r="J1322">
        <v>6090.6379999999999</v>
      </c>
    </row>
    <row r="1323" spans="1:10">
      <c r="A1323">
        <v>220</v>
      </c>
      <c r="B1323">
        <v>10</v>
      </c>
      <c r="C1323" t="s">
        <v>106</v>
      </c>
      <c r="D1323">
        <v>-33.917192110491897</v>
      </c>
      <c r="E1323">
        <v>18.844912860188899</v>
      </c>
      <c r="F1323">
        <v>6.5750000000000003E-2</v>
      </c>
      <c r="G1323">
        <v>0.1643</v>
      </c>
      <c r="H1323">
        <v>9.8599999999999993E-2</v>
      </c>
      <c r="I1323">
        <v>4964.0569999999998</v>
      </c>
      <c r="J1323">
        <v>6881.598</v>
      </c>
    </row>
    <row r="1324" spans="1:10">
      <c r="A1324">
        <v>221</v>
      </c>
      <c r="B1324">
        <v>10</v>
      </c>
      <c r="C1324" t="s">
        <v>106</v>
      </c>
      <c r="D1324">
        <v>-33.917210758512397</v>
      </c>
      <c r="E1324">
        <v>18.846228870717699</v>
      </c>
      <c r="F1324">
        <v>6.5750000000000003E-2</v>
      </c>
      <c r="G1324">
        <v>0.1643</v>
      </c>
      <c r="H1324">
        <v>9.8599999999999993E-2</v>
      </c>
      <c r="I1324">
        <v>4212.4179999999997</v>
      </c>
      <c r="J1324">
        <v>6129.9579999999996</v>
      </c>
    </row>
    <row r="1325" spans="1:10">
      <c r="A1325">
        <v>222</v>
      </c>
      <c r="B1325">
        <v>10</v>
      </c>
      <c r="C1325" t="s">
        <v>106</v>
      </c>
      <c r="D1325">
        <v>-33.912698375754204</v>
      </c>
      <c r="E1325">
        <v>18.846175919675598</v>
      </c>
      <c r="F1325">
        <v>6.5750000000000003E-2</v>
      </c>
      <c r="G1325">
        <v>0.1643</v>
      </c>
      <c r="H1325">
        <v>9.8599999999999993E-2</v>
      </c>
      <c r="I1325">
        <v>4719.0159999999996</v>
      </c>
      <c r="J1325">
        <v>6636.5569999999998</v>
      </c>
    </row>
    <row r="1326" spans="1:10">
      <c r="A1326">
        <v>223</v>
      </c>
      <c r="B1326">
        <v>10</v>
      </c>
      <c r="C1326" t="s">
        <v>106</v>
      </c>
      <c r="D1326">
        <v>-33.918325163267703</v>
      </c>
      <c r="E1326">
        <v>18.846407351919002</v>
      </c>
      <c r="F1326">
        <v>6.5750000000000003E-2</v>
      </c>
      <c r="G1326">
        <v>0.1643</v>
      </c>
      <c r="H1326">
        <v>9.8599999999999993E-2</v>
      </c>
      <c r="I1326">
        <v>4294.9579999999996</v>
      </c>
      <c r="J1326">
        <v>6212.4989999999998</v>
      </c>
    </row>
    <row r="1327" spans="1:10">
      <c r="A1327">
        <v>224</v>
      </c>
      <c r="B1327">
        <v>10</v>
      </c>
      <c r="C1327" t="s">
        <v>106</v>
      </c>
      <c r="D1327">
        <v>-33.918578503459599</v>
      </c>
      <c r="E1327">
        <v>18.844895385740301</v>
      </c>
      <c r="F1327">
        <v>6.5750000000000003E-2</v>
      </c>
      <c r="G1327">
        <v>0.1643</v>
      </c>
      <c r="H1327">
        <v>9.8599999999999993E-2</v>
      </c>
      <c r="I1327">
        <v>4392.7860000000001</v>
      </c>
      <c r="J1327">
        <v>6310.326</v>
      </c>
    </row>
    <row r="1328" spans="1:10">
      <c r="A1328">
        <v>225</v>
      </c>
      <c r="B1328">
        <v>10</v>
      </c>
      <c r="C1328" t="s">
        <v>106</v>
      </c>
      <c r="D1328">
        <v>-33.918314743062801</v>
      </c>
      <c r="E1328">
        <v>18.847179386946198</v>
      </c>
      <c r="F1328">
        <v>6.5750000000000003E-2</v>
      </c>
      <c r="G1328">
        <v>0.1643</v>
      </c>
      <c r="H1328">
        <v>9.8599999999999993E-2</v>
      </c>
      <c r="I1328">
        <v>4198.5060000000003</v>
      </c>
      <c r="J1328">
        <v>6116.0469999999996</v>
      </c>
    </row>
    <row r="1329" spans="1:10">
      <c r="A1329">
        <v>226</v>
      </c>
      <c r="B1329">
        <v>10</v>
      </c>
      <c r="C1329" t="s">
        <v>106</v>
      </c>
      <c r="D1329">
        <v>-33.913357287633303</v>
      </c>
      <c r="E1329">
        <v>18.845282092578</v>
      </c>
      <c r="F1329">
        <v>6.5750000000000003E-2</v>
      </c>
      <c r="G1329">
        <v>0.1643</v>
      </c>
      <c r="H1329">
        <v>9.8599999999999993E-2</v>
      </c>
      <c r="I1329">
        <v>4840.8540000000003</v>
      </c>
      <c r="J1329">
        <v>6758.3950000000004</v>
      </c>
    </row>
    <row r="1330" spans="1:10">
      <c r="A1330">
        <v>227</v>
      </c>
      <c r="B1330">
        <v>10</v>
      </c>
      <c r="C1330" t="s">
        <v>106</v>
      </c>
      <c r="D1330">
        <v>-33.918627063755501</v>
      </c>
      <c r="E1330">
        <v>18.846928022545001</v>
      </c>
      <c r="F1330">
        <v>6.5750000000000003E-2</v>
      </c>
      <c r="G1330">
        <v>0.1643</v>
      </c>
      <c r="H1330">
        <v>9.8599999999999993E-2</v>
      </c>
      <c r="I1330">
        <v>4234.7309999999998</v>
      </c>
      <c r="J1330">
        <v>6152.2719999999999</v>
      </c>
    </row>
    <row r="1331" spans="1:10">
      <c r="A1331">
        <v>228</v>
      </c>
      <c r="B1331">
        <v>10</v>
      </c>
      <c r="C1331" t="s">
        <v>106</v>
      </c>
      <c r="D1331">
        <v>-33.915977043841103</v>
      </c>
      <c r="E1331">
        <v>18.846611646050501</v>
      </c>
      <c r="F1331">
        <v>6.5750000000000003E-2</v>
      </c>
      <c r="G1331">
        <v>0.1643</v>
      </c>
      <c r="H1331">
        <v>9.8599999999999993E-2</v>
      </c>
      <c r="I1331">
        <v>4249.0619999999999</v>
      </c>
      <c r="J1331">
        <v>6166.6030000000001</v>
      </c>
    </row>
    <row r="1332" spans="1:10">
      <c r="A1332">
        <v>229</v>
      </c>
      <c r="B1332">
        <v>10</v>
      </c>
      <c r="C1332" t="s">
        <v>106</v>
      </c>
      <c r="D1332">
        <v>-33.918805969287</v>
      </c>
      <c r="E1332">
        <v>18.845490263080201</v>
      </c>
      <c r="F1332">
        <v>6.5750000000000003E-2</v>
      </c>
      <c r="G1332">
        <v>0.1643</v>
      </c>
      <c r="H1332">
        <v>9.8599999999999993E-2</v>
      </c>
      <c r="I1332">
        <v>4341.5190000000002</v>
      </c>
      <c r="J1332">
        <v>6259.06</v>
      </c>
    </row>
    <row r="1333" spans="1:10">
      <c r="A1333">
        <v>230</v>
      </c>
      <c r="B1333">
        <v>10</v>
      </c>
      <c r="C1333" t="s">
        <v>106</v>
      </c>
      <c r="D1333">
        <v>-33.915987674005301</v>
      </c>
      <c r="E1333">
        <v>18.8463980159942</v>
      </c>
      <c r="F1333">
        <v>6.5750000000000003E-2</v>
      </c>
      <c r="G1333">
        <v>0.1643</v>
      </c>
      <c r="H1333">
        <v>9.8599999999999993E-2</v>
      </c>
      <c r="I1333">
        <v>4254.4489999999996</v>
      </c>
      <c r="J1333">
        <v>6171.9889999999996</v>
      </c>
    </row>
    <row r="1334" spans="1:10">
      <c r="A1334">
        <v>231</v>
      </c>
      <c r="B1334">
        <v>10</v>
      </c>
      <c r="C1334" t="s">
        <v>106</v>
      </c>
      <c r="D1334">
        <v>-33.913361479974903</v>
      </c>
      <c r="E1334">
        <v>18.845072964065501</v>
      </c>
      <c r="F1334">
        <v>6.5750000000000003E-2</v>
      </c>
      <c r="G1334">
        <v>0.1643</v>
      </c>
      <c r="H1334">
        <v>9.8599999999999993E-2</v>
      </c>
      <c r="I1334">
        <v>4877.7749999999996</v>
      </c>
      <c r="J1334">
        <v>6795.3159999999998</v>
      </c>
    </row>
    <row r="1335" spans="1:10">
      <c r="A1335">
        <v>232</v>
      </c>
      <c r="B1335">
        <v>10</v>
      </c>
      <c r="C1335" t="s">
        <v>106</v>
      </c>
      <c r="D1335">
        <v>-33.915826017525497</v>
      </c>
      <c r="E1335">
        <v>18.845868733156198</v>
      </c>
      <c r="F1335">
        <v>6.5750000000000003E-2</v>
      </c>
      <c r="G1335">
        <v>0.1643</v>
      </c>
      <c r="H1335">
        <v>9.8599999999999993E-2</v>
      </c>
      <c r="I1335">
        <v>4337.8959999999997</v>
      </c>
      <c r="J1335">
        <v>6255.4359999999997</v>
      </c>
    </row>
    <row r="1336" spans="1:10">
      <c r="A1336">
        <v>233</v>
      </c>
      <c r="B1336">
        <v>10</v>
      </c>
      <c r="C1336" t="s">
        <v>106</v>
      </c>
      <c r="D1336">
        <v>-33.914433529301697</v>
      </c>
      <c r="E1336">
        <v>18.847055896805902</v>
      </c>
      <c r="F1336">
        <v>6.5750000000000003E-2</v>
      </c>
      <c r="G1336">
        <v>0.1643</v>
      </c>
      <c r="H1336">
        <v>9.8599999999999993E-2</v>
      </c>
      <c r="I1336">
        <v>4402.183</v>
      </c>
      <c r="J1336">
        <v>6319.7240000000002</v>
      </c>
    </row>
    <row r="1337" spans="1:10">
      <c r="A1337">
        <v>234</v>
      </c>
      <c r="B1337">
        <v>10</v>
      </c>
      <c r="C1337" t="s">
        <v>106</v>
      </c>
      <c r="D1337">
        <v>-33.9138742165986</v>
      </c>
      <c r="E1337">
        <v>18.845765948200999</v>
      </c>
      <c r="F1337">
        <v>6.5750000000000003E-2</v>
      </c>
      <c r="G1337">
        <v>0.1643</v>
      </c>
      <c r="H1337">
        <v>9.8599999999999993E-2</v>
      </c>
      <c r="I1337">
        <v>4544.4579999999996</v>
      </c>
      <c r="J1337">
        <v>6461.9989999999998</v>
      </c>
    </row>
    <row r="1338" spans="1:10">
      <c r="A1338">
        <v>235</v>
      </c>
      <c r="B1338">
        <v>10</v>
      </c>
      <c r="C1338" t="s">
        <v>106</v>
      </c>
      <c r="D1338">
        <v>-33.913460515546298</v>
      </c>
      <c r="E1338">
        <v>18.845332491638501</v>
      </c>
      <c r="F1338">
        <v>6.5750000000000003E-2</v>
      </c>
      <c r="G1338">
        <v>0.1643</v>
      </c>
      <c r="H1338">
        <v>9.8599999999999993E-2</v>
      </c>
      <c r="I1338">
        <v>4843.3819999999996</v>
      </c>
      <c r="J1338">
        <v>6760.9229999999998</v>
      </c>
    </row>
    <row r="1339" spans="1:10">
      <c r="A1339">
        <v>236</v>
      </c>
      <c r="B1339">
        <v>10</v>
      </c>
      <c r="C1339" t="s">
        <v>106</v>
      </c>
      <c r="D1339">
        <v>-33.914819324111598</v>
      </c>
      <c r="E1339">
        <v>18.845750111333501</v>
      </c>
      <c r="F1339">
        <v>6.5750000000000003E-2</v>
      </c>
      <c r="G1339">
        <v>0.1643</v>
      </c>
      <c r="H1339">
        <v>9.8599999999999993E-2</v>
      </c>
      <c r="I1339">
        <v>4533.1279999999997</v>
      </c>
      <c r="J1339">
        <v>6450.6689999999999</v>
      </c>
    </row>
    <row r="1340" spans="1:10">
      <c r="A1340">
        <v>237</v>
      </c>
      <c r="B1340">
        <v>10</v>
      </c>
      <c r="C1340" t="s">
        <v>106</v>
      </c>
      <c r="D1340">
        <v>-33.918746145201098</v>
      </c>
      <c r="E1340">
        <v>18.847551268161698</v>
      </c>
      <c r="F1340">
        <v>6.5750000000000003E-2</v>
      </c>
      <c r="G1340">
        <v>0.1643</v>
      </c>
      <c r="H1340">
        <v>9.8599999999999993E-2</v>
      </c>
      <c r="I1340">
        <v>4237.6019999999999</v>
      </c>
      <c r="J1340">
        <v>6155.1419999999998</v>
      </c>
    </row>
    <row r="1341" spans="1:10">
      <c r="A1341">
        <v>238</v>
      </c>
      <c r="B1341">
        <v>10</v>
      </c>
      <c r="C1341" t="s">
        <v>106</v>
      </c>
      <c r="D1341">
        <v>-33.915528876757499</v>
      </c>
      <c r="E1341">
        <v>18.8449855299204</v>
      </c>
      <c r="F1341">
        <v>6.5750000000000003E-2</v>
      </c>
      <c r="G1341">
        <v>0.1643</v>
      </c>
      <c r="H1341">
        <v>9.8599999999999993E-2</v>
      </c>
      <c r="I1341">
        <v>4680.4189999999999</v>
      </c>
      <c r="J1341">
        <v>6597.96</v>
      </c>
    </row>
    <row r="1342" spans="1:10">
      <c r="A1342">
        <v>239</v>
      </c>
      <c r="B1342">
        <v>10</v>
      </c>
      <c r="C1342" t="s">
        <v>106</v>
      </c>
      <c r="D1342">
        <v>-33.917250544165597</v>
      </c>
      <c r="E1342">
        <v>18.847103459310599</v>
      </c>
      <c r="F1342">
        <v>6.5750000000000003E-2</v>
      </c>
      <c r="G1342">
        <v>0.1643</v>
      </c>
      <c r="H1342">
        <v>9.8599999999999993E-2</v>
      </c>
      <c r="I1342">
        <v>4139.3689999999997</v>
      </c>
      <c r="J1342">
        <v>6056.91</v>
      </c>
    </row>
    <row r="1343" spans="1:10">
      <c r="A1343">
        <v>240</v>
      </c>
      <c r="B1343">
        <v>10</v>
      </c>
      <c r="C1343" t="s">
        <v>106</v>
      </c>
      <c r="D1343">
        <v>-33.915399663530401</v>
      </c>
      <c r="E1343">
        <v>18.844899561579101</v>
      </c>
      <c r="F1343">
        <v>6.5750000000000003E-2</v>
      </c>
      <c r="G1343">
        <v>0.1643</v>
      </c>
      <c r="H1343">
        <v>9.8599999999999993E-2</v>
      </c>
      <c r="I1343">
        <v>4819.7370000000001</v>
      </c>
      <c r="J1343">
        <v>6737.277</v>
      </c>
    </row>
    <row r="1344" spans="1:10">
      <c r="A1344">
        <v>241</v>
      </c>
      <c r="B1344">
        <v>10</v>
      </c>
      <c r="C1344" t="s">
        <v>106</v>
      </c>
      <c r="D1344">
        <v>-33.914574114421498</v>
      </c>
      <c r="E1344">
        <v>18.846834838745</v>
      </c>
      <c r="F1344">
        <v>6.5750000000000003E-2</v>
      </c>
      <c r="G1344">
        <v>0.1643</v>
      </c>
      <c r="H1344">
        <v>9.8599999999999993E-2</v>
      </c>
      <c r="I1344">
        <v>4427.7790000000005</v>
      </c>
      <c r="J1344">
        <v>6345.32</v>
      </c>
    </row>
    <row r="1345" spans="1:10">
      <c r="A1345">
        <v>242</v>
      </c>
      <c r="B1345">
        <v>10</v>
      </c>
      <c r="C1345" t="s">
        <v>106</v>
      </c>
      <c r="D1345">
        <v>-33.916469414539797</v>
      </c>
      <c r="E1345">
        <v>18.8475997015166</v>
      </c>
      <c r="F1345">
        <v>6.5750000000000003E-2</v>
      </c>
      <c r="G1345">
        <v>0.1643</v>
      </c>
      <c r="H1345">
        <v>9.8599999999999993E-2</v>
      </c>
      <c r="I1345">
        <v>4079.5920000000001</v>
      </c>
      <c r="J1345">
        <v>5997.1329999999998</v>
      </c>
    </row>
    <row r="1346" spans="1:10">
      <c r="A1346">
        <v>243</v>
      </c>
      <c r="B1346">
        <v>10</v>
      </c>
      <c r="C1346" t="s">
        <v>106</v>
      </c>
      <c r="D1346">
        <v>-33.918535111317397</v>
      </c>
      <c r="E1346">
        <v>18.8450422569632</v>
      </c>
      <c r="F1346">
        <v>6.5750000000000003E-2</v>
      </c>
      <c r="G1346">
        <v>0.1643</v>
      </c>
      <c r="H1346">
        <v>9.8599999999999993E-2</v>
      </c>
      <c r="I1346">
        <v>4389.2910000000002</v>
      </c>
      <c r="J1346">
        <v>6306.8310000000001</v>
      </c>
    </row>
    <row r="1347" spans="1:10">
      <c r="A1347">
        <v>244</v>
      </c>
      <c r="B1347">
        <v>10</v>
      </c>
      <c r="C1347" t="s">
        <v>106</v>
      </c>
      <c r="D1347">
        <v>-33.917853636280697</v>
      </c>
      <c r="E1347">
        <v>18.846845320959702</v>
      </c>
      <c r="F1347">
        <v>6.5750000000000003E-2</v>
      </c>
      <c r="G1347">
        <v>0.1643</v>
      </c>
      <c r="H1347">
        <v>9.8599999999999993E-2</v>
      </c>
      <c r="I1347">
        <v>4151.8459999999995</v>
      </c>
      <c r="J1347">
        <v>6069.3869999999997</v>
      </c>
    </row>
    <row r="1348" spans="1:10">
      <c r="A1348">
        <v>245</v>
      </c>
      <c r="B1348">
        <v>10</v>
      </c>
      <c r="C1348" t="s">
        <v>106</v>
      </c>
      <c r="D1348">
        <v>-33.914444419724802</v>
      </c>
      <c r="E1348">
        <v>18.845147896647202</v>
      </c>
      <c r="F1348">
        <v>6.5750000000000003E-2</v>
      </c>
      <c r="G1348">
        <v>0.1643</v>
      </c>
      <c r="H1348">
        <v>9.8599999999999993E-2</v>
      </c>
      <c r="I1348">
        <v>4578.2420000000002</v>
      </c>
      <c r="J1348">
        <v>6495.7830000000004</v>
      </c>
    </row>
    <row r="1349" spans="1:10">
      <c r="A1349">
        <v>246</v>
      </c>
      <c r="B1349">
        <v>10</v>
      </c>
      <c r="C1349" t="s">
        <v>106</v>
      </c>
      <c r="D1349">
        <v>-33.914192321198598</v>
      </c>
      <c r="E1349">
        <v>18.8473733151122</v>
      </c>
      <c r="F1349">
        <v>6.5750000000000003E-2</v>
      </c>
      <c r="G1349">
        <v>0.1643</v>
      </c>
      <c r="H1349">
        <v>9.8599999999999993E-2</v>
      </c>
      <c r="I1349">
        <v>4365.6350000000002</v>
      </c>
      <c r="J1349">
        <v>6283.1750000000002</v>
      </c>
    </row>
    <row r="1350" spans="1:10">
      <c r="A1350">
        <v>247</v>
      </c>
      <c r="B1350">
        <v>10</v>
      </c>
      <c r="C1350" t="s">
        <v>106</v>
      </c>
      <c r="D1350">
        <v>-33.912623502821504</v>
      </c>
      <c r="E1350">
        <v>18.8473867527115</v>
      </c>
      <c r="F1350">
        <v>6.5750000000000003E-2</v>
      </c>
      <c r="G1350">
        <v>0.1643</v>
      </c>
      <c r="H1350">
        <v>9.8599999999999993E-2</v>
      </c>
      <c r="I1350">
        <v>4438.4179999999997</v>
      </c>
      <c r="J1350">
        <v>6355.9589999999998</v>
      </c>
    </row>
    <row r="1351" spans="1:10">
      <c r="A1351">
        <v>248</v>
      </c>
      <c r="B1351">
        <v>10</v>
      </c>
      <c r="C1351" t="s">
        <v>106</v>
      </c>
      <c r="D1351">
        <v>-33.912913757534</v>
      </c>
      <c r="E1351">
        <v>18.845319418028801</v>
      </c>
      <c r="F1351">
        <v>6.5750000000000003E-2</v>
      </c>
      <c r="G1351">
        <v>0.1643</v>
      </c>
      <c r="H1351">
        <v>9.8599999999999993E-2</v>
      </c>
      <c r="I1351">
        <v>4812.8689999999997</v>
      </c>
      <c r="J1351">
        <v>6730.41</v>
      </c>
    </row>
    <row r="1352" spans="1:10">
      <c r="A1352">
        <v>249</v>
      </c>
      <c r="B1352">
        <v>10</v>
      </c>
      <c r="C1352" t="s">
        <v>106</v>
      </c>
      <c r="D1352">
        <v>-33.914784004156303</v>
      </c>
      <c r="E1352">
        <v>18.847045346443998</v>
      </c>
      <c r="F1352">
        <v>6.5750000000000003E-2</v>
      </c>
      <c r="G1352">
        <v>0.1643</v>
      </c>
      <c r="H1352">
        <v>9.8599999999999993E-2</v>
      </c>
      <c r="I1352">
        <v>4323.6729999999998</v>
      </c>
      <c r="J1352">
        <v>6241.2139999999999</v>
      </c>
    </row>
    <row r="1353" spans="1:10">
      <c r="A1353">
        <v>250</v>
      </c>
      <c r="B1353">
        <v>10</v>
      </c>
      <c r="C1353" t="s">
        <v>106</v>
      </c>
      <c r="D1353">
        <v>-33.9151151654046</v>
      </c>
      <c r="E1353">
        <v>18.845119442578799</v>
      </c>
      <c r="F1353">
        <v>6.5750000000000003E-2</v>
      </c>
      <c r="G1353">
        <v>0.1643</v>
      </c>
      <c r="H1353">
        <v>9.8599999999999993E-2</v>
      </c>
      <c r="I1353">
        <v>4830.8609999999999</v>
      </c>
      <c r="J1353">
        <v>6748.402</v>
      </c>
    </row>
    <row r="1354" spans="1:10">
      <c r="A1354">
        <v>251</v>
      </c>
      <c r="B1354">
        <v>10</v>
      </c>
      <c r="C1354" t="s">
        <v>106</v>
      </c>
      <c r="D1354">
        <v>-33.917379975172103</v>
      </c>
      <c r="E1354">
        <v>18.845362180776299</v>
      </c>
      <c r="F1354">
        <v>6.5750000000000003E-2</v>
      </c>
      <c r="G1354">
        <v>0.1643</v>
      </c>
      <c r="H1354">
        <v>9.8599999999999993E-2</v>
      </c>
      <c r="I1354">
        <v>4993.1530000000002</v>
      </c>
      <c r="J1354">
        <v>6910.6940000000004</v>
      </c>
    </row>
    <row r="1355" spans="1:10">
      <c r="A1355">
        <v>252</v>
      </c>
      <c r="B1355">
        <v>10</v>
      </c>
      <c r="C1355" t="s">
        <v>106</v>
      </c>
      <c r="D1355">
        <v>-33.912432386479999</v>
      </c>
      <c r="E1355">
        <v>18.846997202989201</v>
      </c>
      <c r="F1355">
        <v>6.5750000000000003E-2</v>
      </c>
      <c r="G1355">
        <v>0.1643</v>
      </c>
      <c r="H1355">
        <v>9.8599999999999993E-2</v>
      </c>
      <c r="I1355">
        <v>4675.0249999999996</v>
      </c>
      <c r="J1355">
        <v>6592.5659999999998</v>
      </c>
    </row>
    <row r="1356" spans="1:10">
      <c r="A1356">
        <v>253</v>
      </c>
      <c r="B1356">
        <v>10</v>
      </c>
      <c r="C1356" t="s">
        <v>106</v>
      </c>
      <c r="D1356">
        <v>-33.918076208484798</v>
      </c>
      <c r="E1356">
        <v>18.847122944709501</v>
      </c>
      <c r="F1356">
        <v>6.5750000000000003E-2</v>
      </c>
      <c r="G1356">
        <v>0.1643</v>
      </c>
      <c r="H1356">
        <v>9.8599999999999993E-2</v>
      </c>
      <c r="I1356">
        <v>4172.5510000000004</v>
      </c>
      <c r="J1356">
        <v>6090.0919999999996</v>
      </c>
    </row>
    <row r="1357" spans="1:10">
      <c r="A1357">
        <v>254</v>
      </c>
      <c r="B1357">
        <v>10</v>
      </c>
      <c r="C1357" t="s">
        <v>106</v>
      </c>
      <c r="D1357">
        <v>-33.916413353667998</v>
      </c>
      <c r="E1357">
        <v>18.846298378120899</v>
      </c>
      <c r="F1357">
        <v>6.5750000000000003E-2</v>
      </c>
      <c r="G1357">
        <v>0.1643</v>
      </c>
      <c r="H1357">
        <v>9.8599999999999993E-2</v>
      </c>
      <c r="I1357">
        <v>4214.2079999999996</v>
      </c>
      <c r="J1357">
        <v>6131.7479999999996</v>
      </c>
    </row>
    <row r="1358" spans="1:10">
      <c r="A1358">
        <v>255</v>
      </c>
      <c r="B1358">
        <v>10</v>
      </c>
      <c r="C1358" t="s">
        <v>106</v>
      </c>
      <c r="D1358">
        <v>-33.917088651082402</v>
      </c>
      <c r="E1358">
        <v>18.846965974685901</v>
      </c>
      <c r="F1358">
        <v>6.5750000000000003E-2</v>
      </c>
      <c r="G1358">
        <v>0.1643</v>
      </c>
      <c r="H1358">
        <v>9.8599999999999993E-2</v>
      </c>
      <c r="I1358">
        <v>4179.9979999999996</v>
      </c>
      <c r="J1358">
        <v>6097.5389999999998</v>
      </c>
    </row>
    <row r="1359" spans="1:10">
      <c r="A1359">
        <v>256</v>
      </c>
      <c r="B1359">
        <v>10</v>
      </c>
      <c r="C1359" t="s">
        <v>106</v>
      </c>
      <c r="D1359">
        <v>-33.9190925677092</v>
      </c>
      <c r="E1359">
        <v>18.845662073191299</v>
      </c>
      <c r="F1359">
        <v>6.5750000000000003E-2</v>
      </c>
      <c r="G1359">
        <v>0.1643</v>
      </c>
      <c r="H1359">
        <v>9.8599999999999993E-2</v>
      </c>
      <c r="I1359">
        <v>4311.8680000000004</v>
      </c>
      <c r="J1359">
        <v>6229.4089999999997</v>
      </c>
    </row>
    <row r="1360" spans="1:10">
      <c r="A1360">
        <v>257</v>
      </c>
      <c r="B1360">
        <v>10</v>
      </c>
      <c r="C1360" t="s">
        <v>106</v>
      </c>
      <c r="D1360">
        <v>-33.917105374532603</v>
      </c>
      <c r="E1360">
        <v>18.845315980707898</v>
      </c>
      <c r="F1360">
        <v>6.5750000000000003E-2</v>
      </c>
      <c r="G1360">
        <v>0.1643</v>
      </c>
      <c r="H1360">
        <v>9.8599999999999993E-2</v>
      </c>
      <c r="I1360">
        <v>4967.3459999999995</v>
      </c>
      <c r="J1360">
        <v>6884.8860000000004</v>
      </c>
    </row>
    <row r="1361" spans="1:10">
      <c r="A1361">
        <v>258</v>
      </c>
      <c r="B1361">
        <v>10</v>
      </c>
      <c r="C1361" t="s">
        <v>106</v>
      </c>
      <c r="D1361">
        <v>-33.913976305518702</v>
      </c>
      <c r="E1361">
        <v>18.846214337140701</v>
      </c>
      <c r="F1361">
        <v>6.5750000000000003E-2</v>
      </c>
      <c r="G1361">
        <v>0.1643</v>
      </c>
      <c r="H1361">
        <v>9.8599999999999993E-2</v>
      </c>
      <c r="I1361">
        <v>4486.1120000000001</v>
      </c>
      <c r="J1361">
        <v>6403.6530000000002</v>
      </c>
    </row>
    <row r="1362" spans="1:10">
      <c r="A1362">
        <v>259</v>
      </c>
      <c r="B1362">
        <v>10</v>
      </c>
      <c r="C1362" t="s">
        <v>106</v>
      </c>
      <c r="D1362">
        <v>-33.916959079469201</v>
      </c>
      <c r="E1362">
        <v>18.8454565452598</v>
      </c>
      <c r="F1362">
        <v>6.5750000000000003E-2</v>
      </c>
      <c r="G1362">
        <v>0.1643</v>
      </c>
      <c r="H1362">
        <v>9.8599999999999993E-2</v>
      </c>
      <c r="I1362">
        <v>4281.7330000000002</v>
      </c>
      <c r="J1362">
        <v>6199.2740000000003</v>
      </c>
    </row>
    <row r="1363" spans="1:10">
      <c r="A1363">
        <v>260</v>
      </c>
      <c r="B1363">
        <v>10</v>
      </c>
      <c r="C1363" t="s">
        <v>106</v>
      </c>
      <c r="D1363">
        <v>-33.913700789364</v>
      </c>
      <c r="E1363">
        <v>18.847440394556401</v>
      </c>
      <c r="F1363">
        <v>6.5750000000000003E-2</v>
      </c>
      <c r="G1363">
        <v>0.1643</v>
      </c>
      <c r="H1363">
        <v>9.8599999999999993E-2</v>
      </c>
      <c r="I1363">
        <v>4327.5020000000004</v>
      </c>
      <c r="J1363">
        <v>6245.0429999999997</v>
      </c>
    </row>
    <row r="1364" spans="1:10">
      <c r="A1364">
        <v>261</v>
      </c>
      <c r="B1364">
        <v>10</v>
      </c>
      <c r="C1364" t="s">
        <v>106</v>
      </c>
      <c r="D1364">
        <v>-33.9130046106824</v>
      </c>
      <c r="E1364">
        <v>18.846724402284099</v>
      </c>
      <c r="F1364">
        <v>6.5750000000000003E-2</v>
      </c>
      <c r="G1364">
        <v>0.1643</v>
      </c>
      <c r="H1364">
        <v>9.8599999999999993E-2</v>
      </c>
      <c r="I1364">
        <v>4428.2079999999996</v>
      </c>
      <c r="J1364">
        <v>6345.7489999999998</v>
      </c>
    </row>
    <row r="1365" spans="1:10">
      <c r="A1365">
        <v>262</v>
      </c>
      <c r="B1365">
        <v>10</v>
      </c>
      <c r="C1365" t="s">
        <v>106</v>
      </c>
      <c r="D1365">
        <v>-33.912578041663501</v>
      </c>
      <c r="E1365">
        <v>18.8451248492084</v>
      </c>
      <c r="F1365">
        <v>6.5750000000000003E-2</v>
      </c>
      <c r="G1365">
        <v>0.1643</v>
      </c>
      <c r="H1365">
        <v>9.8599999999999993E-2</v>
      </c>
      <c r="I1365">
        <v>4807.4930000000004</v>
      </c>
      <c r="J1365">
        <v>6725.0339999999997</v>
      </c>
    </row>
    <row r="1366" spans="1:10">
      <c r="A1366">
        <v>263</v>
      </c>
      <c r="B1366">
        <v>10</v>
      </c>
      <c r="C1366" t="s">
        <v>106</v>
      </c>
      <c r="D1366">
        <v>-33.913617458097001</v>
      </c>
      <c r="E1366">
        <v>18.846761004654802</v>
      </c>
      <c r="F1366">
        <v>6.5750000000000003E-2</v>
      </c>
      <c r="G1366">
        <v>0.1643</v>
      </c>
      <c r="H1366">
        <v>9.8599999999999993E-2</v>
      </c>
      <c r="I1366">
        <v>4421.72</v>
      </c>
      <c r="J1366">
        <v>6339.2610000000004</v>
      </c>
    </row>
    <row r="1367" spans="1:10">
      <c r="A1367">
        <v>264</v>
      </c>
      <c r="B1367">
        <v>10</v>
      </c>
      <c r="C1367" t="s">
        <v>106</v>
      </c>
      <c r="D1367">
        <v>-33.918116652613399</v>
      </c>
      <c r="E1367">
        <v>18.847461617196899</v>
      </c>
      <c r="F1367">
        <v>6.5750000000000003E-2</v>
      </c>
      <c r="G1367">
        <v>0.1643</v>
      </c>
      <c r="H1367">
        <v>9.8599999999999993E-2</v>
      </c>
      <c r="I1367">
        <v>4160.0690000000004</v>
      </c>
      <c r="J1367">
        <v>6077.61</v>
      </c>
    </row>
    <row r="1368" spans="1:10">
      <c r="A1368">
        <v>265</v>
      </c>
      <c r="B1368">
        <v>10</v>
      </c>
      <c r="C1368" t="s">
        <v>106</v>
      </c>
      <c r="D1368">
        <v>-33.915881722765398</v>
      </c>
      <c r="E1368">
        <v>18.847329387501102</v>
      </c>
      <c r="F1368">
        <v>6.5750000000000003E-2</v>
      </c>
      <c r="G1368">
        <v>0.1643</v>
      </c>
      <c r="H1368">
        <v>9.8599999999999993E-2</v>
      </c>
      <c r="I1368">
        <v>4179.9049999999997</v>
      </c>
      <c r="J1368">
        <v>6097.4459999999999</v>
      </c>
    </row>
    <row r="1369" spans="1:10">
      <c r="A1369">
        <v>266</v>
      </c>
      <c r="B1369">
        <v>10</v>
      </c>
      <c r="C1369" t="s">
        <v>106</v>
      </c>
      <c r="D1369">
        <v>-33.914357186902997</v>
      </c>
      <c r="E1369">
        <v>18.8454878474761</v>
      </c>
      <c r="F1369">
        <v>6.5750000000000003E-2</v>
      </c>
      <c r="G1369">
        <v>0.1643</v>
      </c>
      <c r="H1369">
        <v>9.8599999999999993E-2</v>
      </c>
      <c r="I1369">
        <v>4549.7280000000001</v>
      </c>
      <c r="J1369">
        <v>6467.2690000000002</v>
      </c>
    </row>
    <row r="1370" spans="1:10">
      <c r="A1370">
        <v>267</v>
      </c>
      <c r="B1370">
        <v>10</v>
      </c>
      <c r="C1370" t="s">
        <v>106</v>
      </c>
      <c r="D1370">
        <v>-33.914768521476802</v>
      </c>
      <c r="E1370">
        <v>18.845236835355301</v>
      </c>
      <c r="F1370">
        <v>6.5750000000000003E-2</v>
      </c>
      <c r="G1370">
        <v>0.1643</v>
      </c>
      <c r="H1370">
        <v>9.8599999999999993E-2</v>
      </c>
      <c r="I1370">
        <v>4779.4340000000002</v>
      </c>
      <c r="J1370">
        <v>6696.9750000000004</v>
      </c>
    </row>
    <row r="1371" spans="1:10">
      <c r="A1371">
        <v>268</v>
      </c>
      <c r="B1371">
        <v>10</v>
      </c>
      <c r="C1371" t="s">
        <v>106</v>
      </c>
      <c r="D1371">
        <v>-33.918674456878598</v>
      </c>
      <c r="E1371">
        <v>18.846668587612601</v>
      </c>
      <c r="F1371">
        <v>6.5750000000000003E-2</v>
      </c>
      <c r="G1371">
        <v>0.1643</v>
      </c>
      <c r="H1371">
        <v>9.8599999999999993E-2</v>
      </c>
      <c r="I1371">
        <v>4255.8900000000003</v>
      </c>
      <c r="J1371">
        <v>6173.4309999999996</v>
      </c>
    </row>
    <row r="1372" spans="1:10">
      <c r="A1372">
        <v>269</v>
      </c>
      <c r="B1372">
        <v>10</v>
      </c>
      <c r="C1372" t="s">
        <v>106</v>
      </c>
      <c r="D1372">
        <v>-33.917778308755103</v>
      </c>
      <c r="E1372">
        <v>18.845186361069199</v>
      </c>
      <c r="F1372">
        <v>6.5750000000000003E-2</v>
      </c>
      <c r="G1372">
        <v>0.1643</v>
      </c>
      <c r="H1372">
        <v>9.8599999999999993E-2</v>
      </c>
      <c r="I1372">
        <v>4666.0320000000002</v>
      </c>
      <c r="J1372">
        <v>6583.5730000000003</v>
      </c>
    </row>
    <row r="1373" spans="1:10">
      <c r="A1373">
        <v>270</v>
      </c>
      <c r="B1373">
        <v>10</v>
      </c>
      <c r="C1373" t="s">
        <v>106</v>
      </c>
      <c r="D1373">
        <v>-33.916341387144598</v>
      </c>
      <c r="E1373">
        <v>18.846361452726001</v>
      </c>
      <c r="F1373">
        <v>6.5750000000000003E-2</v>
      </c>
      <c r="G1373">
        <v>0.1643</v>
      </c>
      <c r="H1373">
        <v>9.8599999999999993E-2</v>
      </c>
      <c r="I1373">
        <v>4218.3190000000004</v>
      </c>
      <c r="J1373">
        <v>6135.86</v>
      </c>
    </row>
    <row r="1374" spans="1:10">
      <c r="A1374">
        <v>271</v>
      </c>
      <c r="B1374">
        <v>10</v>
      </c>
      <c r="C1374" t="s">
        <v>106</v>
      </c>
      <c r="D1374">
        <v>-33.915823092239002</v>
      </c>
      <c r="E1374">
        <v>18.847432504167902</v>
      </c>
      <c r="F1374">
        <v>6.5750000000000003E-2</v>
      </c>
      <c r="G1374">
        <v>0.1643</v>
      </c>
      <c r="H1374">
        <v>9.8599999999999993E-2</v>
      </c>
      <c r="I1374">
        <v>4171.6980000000003</v>
      </c>
      <c r="J1374">
        <v>6089.2389999999996</v>
      </c>
    </row>
    <row r="1375" spans="1:10">
      <c r="A1375">
        <v>272</v>
      </c>
      <c r="B1375">
        <v>10</v>
      </c>
      <c r="C1375" t="s">
        <v>106</v>
      </c>
      <c r="D1375">
        <v>-33.913051698825299</v>
      </c>
      <c r="E1375">
        <v>18.847353055246099</v>
      </c>
      <c r="F1375">
        <v>6.5750000000000003E-2</v>
      </c>
      <c r="G1375">
        <v>0.1643</v>
      </c>
      <c r="H1375">
        <v>9.8599999999999993E-2</v>
      </c>
      <c r="I1375">
        <v>4395.6459999999997</v>
      </c>
      <c r="J1375">
        <v>6313.1869999999999</v>
      </c>
    </row>
    <row r="1376" spans="1:10">
      <c r="A1376">
        <v>273</v>
      </c>
      <c r="B1376">
        <v>10</v>
      </c>
      <c r="C1376" t="s">
        <v>106</v>
      </c>
      <c r="D1376">
        <v>-33.9165070171114</v>
      </c>
      <c r="E1376">
        <v>18.845699456400499</v>
      </c>
      <c r="F1376">
        <v>6.5750000000000003E-2</v>
      </c>
      <c r="G1376">
        <v>0.1643</v>
      </c>
      <c r="H1376">
        <v>9.8599999999999993E-2</v>
      </c>
      <c r="I1376">
        <v>4306.6660000000002</v>
      </c>
      <c r="J1376">
        <v>6224.2060000000001</v>
      </c>
    </row>
    <row r="1377" spans="1:10">
      <c r="A1377">
        <v>274</v>
      </c>
      <c r="B1377">
        <v>10</v>
      </c>
      <c r="C1377" t="s">
        <v>106</v>
      </c>
      <c r="D1377">
        <v>-33.913601139750199</v>
      </c>
      <c r="E1377">
        <v>18.8472414530079</v>
      </c>
      <c r="F1377">
        <v>6.5750000000000003E-2</v>
      </c>
      <c r="G1377">
        <v>0.1643</v>
      </c>
      <c r="H1377">
        <v>9.8599999999999993E-2</v>
      </c>
      <c r="I1377">
        <v>4383.3180000000002</v>
      </c>
      <c r="J1377">
        <v>6300.8590000000004</v>
      </c>
    </row>
    <row r="1378" spans="1:10">
      <c r="A1378">
        <v>275</v>
      </c>
      <c r="B1378">
        <v>10</v>
      </c>
      <c r="C1378" t="s">
        <v>106</v>
      </c>
      <c r="D1378">
        <v>-33.918866297251597</v>
      </c>
      <c r="E1378">
        <v>18.8469320223005</v>
      </c>
      <c r="F1378">
        <v>6.5750000000000003E-2</v>
      </c>
      <c r="G1378">
        <v>0.1643</v>
      </c>
      <c r="H1378">
        <v>9.8599999999999993E-2</v>
      </c>
      <c r="I1378">
        <v>4242.4369999999999</v>
      </c>
      <c r="J1378">
        <v>6159.9780000000001</v>
      </c>
    </row>
    <row r="1379" spans="1:10">
      <c r="A1379">
        <v>276</v>
      </c>
      <c r="B1379">
        <v>10</v>
      </c>
      <c r="C1379" t="s">
        <v>106</v>
      </c>
      <c r="D1379">
        <v>-33.9132494851724</v>
      </c>
      <c r="E1379">
        <v>18.8451613746387</v>
      </c>
      <c r="F1379">
        <v>6.5750000000000003E-2</v>
      </c>
      <c r="G1379">
        <v>0.1643</v>
      </c>
      <c r="H1379">
        <v>9.8599999999999993E-2</v>
      </c>
      <c r="I1379">
        <v>4864.1639999999998</v>
      </c>
      <c r="J1379">
        <v>6781.7049999999999</v>
      </c>
    </row>
    <row r="1380" spans="1:10">
      <c r="A1380">
        <v>277</v>
      </c>
      <c r="B1380">
        <v>10</v>
      </c>
      <c r="C1380" t="s">
        <v>106</v>
      </c>
      <c r="D1380">
        <v>-33.918651969438997</v>
      </c>
      <c r="E1380">
        <v>18.845962422902101</v>
      </c>
      <c r="F1380">
        <v>6.5750000000000003E-2</v>
      </c>
      <c r="G1380">
        <v>0.1643</v>
      </c>
      <c r="H1380">
        <v>9.8599999999999993E-2</v>
      </c>
      <c r="I1380">
        <v>4311.1450000000004</v>
      </c>
      <c r="J1380">
        <v>6228.6859999999997</v>
      </c>
    </row>
    <row r="1381" spans="1:10">
      <c r="A1381">
        <v>278</v>
      </c>
      <c r="B1381">
        <v>10</v>
      </c>
      <c r="C1381" t="s">
        <v>106</v>
      </c>
      <c r="D1381">
        <v>-33.918278039201098</v>
      </c>
      <c r="E1381">
        <v>18.846321478317599</v>
      </c>
      <c r="F1381">
        <v>6.5750000000000003E-2</v>
      </c>
      <c r="G1381">
        <v>0.1643</v>
      </c>
      <c r="H1381">
        <v>9.8599999999999993E-2</v>
      </c>
      <c r="I1381">
        <v>4250.4080000000004</v>
      </c>
      <c r="J1381">
        <v>6167.9489999999996</v>
      </c>
    </row>
    <row r="1382" spans="1:10">
      <c r="A1382">
        <v>279</v>
      </c>
      <c r="B1382">
        <v>10</v>
      </c>
      <c r="C1382" t="s">
        <v>106</v>
      </c>
      <c r="D1382">
        <v>-33.915421446602203</v>
      </c>
      <c r="E1382">
        <v>18.847198449915801</v>
      </c>
      <c r="F1382">
        <v>6.5750000000000003E-2</v>
      </c>
      <c r="G1382">
        <v>0.1643</v>
      </c>
      <c r="H1382">
        <v>9.8599999999999993E-2</v>
      </c>
      <c r="I1382">
        <v>4260.4250000000002</v>
      </c>
      <c r="J1382">
        <v>6177.9660000000003</v>
      </c>
    </row>
    <row r="1383" spans="1:10">
      <c r="A1383">
        <v>280</v>
      </c>
      <c r="B1383">
        <v>10</v>
      </c>
      <c r="C1383" t="s">
        <v>106</v>
      </c>
      <c r="D1383">
        <v>-33.9149298594714</v>
      </c>
      <c r="E1383">
        <v>18.846235403286801</v>
      </c>
      <c r="F1383">
        <v>6.5750000000000003E-2</v>
      </c>
      <c r="G1383">
        <v>0.1643</v>
      </c>
      <c r="H1383">
        <v>9.8599999999999993E-2</v>
      </c>
      <c r="I1383">
        <v>4706.8159999999998</v>
      </c>
      <c r="J1383">
        <v>6624.3559999999998</v>
      </c>
    </row>
    <row r="1384" spans="1:10">
      <c r="A1384">
        <v>281</v>
      </c>
      <c r="B1384">
        <v>10</v>
      </c>
      <c r="C1384" t="s">
        <v>106</v>
      </c>
      <c r="D1384">
        <v>-33.918317347408703</v>
      </c>
      <c r="E1384">
        <v>18.845940978569899</v>
      </c>
      <c r="F1384">
        <v>6.5750000000000003E-2</v>
      </c>
      <c r="G1384">
        <v>0.1643</v>
      </c>
      <c r="H1384">
        <v>9.8599999999999993E-2</v>
      </c>
      <c r="I1384">
        <v>4279.8090000000002</v>
      </c>
      <c r="J1384">
        <v>6197.35</v>
      </c>
    </row>
    <row r="1385" spans="1:10">
      <c r="A1385">
        <v>282</v>
      </c>
      <c r="B1385">
        <v>10</v>
      </c>
      <c r="C1385" t="s">
        <v>106</v>
      </c>
      <c r="D1385">
        <v>-33.915942435385503</v>
      </c>
      <c r="E1385">
        <v>18.845460870987399</v>
      </c>
      <c r="F1385">
        <v>6.5750000000000003E-2</v>
      </c>
      <c r="G1385">
        <v>0.1643</v>
      </c>
      <c r="H1385">
        <v>9.8599999999999993E-2</v>
      </c>
      <c r="I1385">
        <v>4366.857</v>
      </c>
      <c r="J1385">
        <v>6284.3969999999999</v>
      </c>
    </row>
    <row r="1386" spans="1:10">
      <c r="A1386">
        <v>283</v>
      </c>
      <c r="B1386">
        <v>10</v>
      </c>
      <c r="C1386" t="s">
        <v>106</v>
      </c>
      <c r="D1386">
        <v>-33.918384577936003</v>
      </c>
      <c r="E1386">
        <v>18.846421346647201</v>
      </c>
      <c r="F1386">
        <v>6.5750000000000003E-2</v>
      </c>
      <c r="G1386">
        <v>0.1643</v>
      </c>
      <c r="H1386">
        <v>9.8599999999999993E-2</v>
      </c>
      <c r="I1386">
        <v>4290.5770000000002</v>
      </c>
      <c r="J1386">
        <v>6208.1180000000004</v>
      </c>
    </row>
    <row r="1387" spans="1:10">
      <c r="A1387">
        <v>284</v>
      </c>
      <c r="B1387">
        <v>10</v>
      </c>
      <c r="C1387" t="s">
        <v>106</v>
      </c>
      <c r="D1387">
        <v>-33.918485043313297</v>
      </c>
      <c r="E1387">
        <v>18.845333594123598</v>
      </c>
      <c r="F1387">
        <v>6.5750000000000003E-2</v>
      </c>
      <c r="G1387">
        <v>0.1643</v>
      </c>
      <c r="H1387">
        <v>9.8599999999999993E-2</v>
      </c>
      <c r="I1387">
        <v>4374.7190000000001</v>
      </c>
      <c r="J1387">
        <v>6292.26</v>
      </c>
    </row>
  </sheetData>
  <mergeCells count="1">
    <mergeCell ref="L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8"/>
  <sheetViews>
    <sheetView workbookViewId="0">
      <selection activeCell="K32" sqref="K32"/>
    </sheetView>
  </sheetViews>
  <sheetFormatPr defaultRowHeight="13.8"/>
  <cols>
    <col min="1" max="1" width="22.8984375" bestFit="1" customWidth="1"/>
    <col min="2" max="2" width="20.3984375" customWidth="1"/>
    <col min="3" max="3" width="20.09765625" customWidth="1"/>
    <col min="4" max="4" width="18" customWidth="1"/>
  </cols>
  <sheetData>
    <row r="1" spans="1:5" s="5" customFormat="1" ht="28.2" customHeight="1">
      <c r="A1" s="5" t="s">
        <v>63</v>
      </c>
      <c r="B1" s="5" t="s">
        <v>73</v>
      </c>
      <c r="C1" s="5" t="s">
        <v>72</v>
      </c>
      <c r="D1" s="5" t="s">
        <v>71</v>
      </c>
      <c r="E1" s="5" t="s">
        <v>74</v>
      </c>
    </row>
    <row r="2" spans="1:5">
      <c r="A2" t="s">
        <v>64</v>
      </c>
      <c r="B2">
        <v>8</v>
      </c>
      <c r="C2">
        <v>15</v>
      </c>
      <c r="D2">
        <v>36.020000000000003</v>
      </c>
      <c r="E2">
        <f>D2*C2</f>
        <v>540.30000000000007</v>
      </c>
    </row>
    <row r="3" spans="1:5">
      <c r="A3" t="s">
        <v>65</v>
      </c>
      <c r="B3">
        <v>12</v>
      </c>
      <c r="C3">
        <v>32</v>
      </c>
      <c r="D3">
        <v>26.91</v>
      </c>
      <c r="E3">
        <f t="shared" ref="E3:E8" si="0">D3*C3</f>
        <v>861.12</v>
      </c>
    </row>
    <row r="4" spans="1:5">
      <c r="A4" t="s">
        <v>66</v>
      </c>
      <c r="B4">
        <v>2</v>
      </c>
      <c r="C4">
        <v>2</v>
      </c>
      <c r="D4">
        <v>91.3</v>
      </c>
      <c r="E4">
        <f t="shared" si="0"/>
        <v>182.6</v>
      </c>
    </row>
    <row r="5" spans="1:5">
      <c r="A5" t="s">
        <v>67</v>
      </c>
      <c r="B5">
        <v>11</v>
      </c>
      <c r="C5">
        <v>2</v>
      </c>
      <c r="D5">
        <v>293.13</v>
      </c>
      <c r="E5">
        <f t="shared" si="0"/>
        <v>586.26</v>
      </c>
    </row>
    <row r="6" spans="1:5">
      <c r="A6" t="s">
        <v>68</v>
      </c>
      <c r="B6">
        <v>16</v>
      </c>
      <c r="C6">
        <v>26</v>
      </c>
      <c r="D6">
        <v>40.770000000000003</v>
      </c>
      <c r="E6">
        <f t="shared" si="0"/>
        <v>1060.02</v>
      </c>
    </row>
    <row r="7" spans="1:5">
      <c r="A7" t="s">
        <v>69</v>
      </c>
      <c r="B7">
        <v>35</v>
      </c>
      <c r="C7">
        <v>10</v>
      </c>
      <c r="D7">
        <v>251.07</v>
      </c>
      <c r="E7">
        <f t="shared" si="0"/>
        <v>2510.6999999999998</v>
      </c>
    </row>
    <row r="8" spans="1:5">
      <c r="A8" t="s">
        <v>70</v>
      </c>
      <c r="B8">
        <v>16</v>
      </c>
      <c r="C8">
        <v>13</v>
      </c>
      <c r="D8">
        <v>173.2</v>
      </c>
      <c r="E8">
        <f t="shared" si="0"/>
        <v>2251.6</v>
      </c>
    </row>
    <row r="10" spans="1:5">
      <c r="A10" t="s">
        <v>75</v>
      </c>
      <c r="C10">
        <f>SUM(C2:C8)</f>
        <v>100</v>
      </c>
      <c r="E10">
        <f>SUM(E2:E8)</f>
        <v>7992.6</v>
      </c>
    </row>
    <row r="12" spans="1:5">
      <c r="A12" t="s">
        <v>76</v>
      </c>
      <c r="C12">
        <f>E10/C10</f>
        <v>79.926000000000002</v>
      </c>
      <c r="D12" t="s">
        <v>77</v>
      </c>
    </row>
    <row r="25" spans="1:9">
      <c r="A25">
        <v>3</v>
      </c>
      <c r="B25">
        <v>2</v>
      </c>
      <c r="C25" t="s">
        <v>42</v>
      </c>
      <c r="D25">
        <v>-33.929626843477301</v>
      </c>
      <c r="E25">
        <v>18.8782951488101</v>
      </c>
      <c r="F25">
        <v>1.1148797950234099</v>
      </c>
      <c r="H25" s="6">
        <v>0</v>
      </c>
      <c r="I25">
        <v>1.1289384054824101</v>
      </c>
    </row>
    <row r="26" spans="1:9">
      <c r="A26">
        <v>3</v>
      </c>
      <c r="B26">
        <v>13</v>
      </c>
      <c r="C26" t="s">
        <v>42</v>
      </c>
      <c r="D26">
        <v>-33.9297060406154</v>
      </c>
      <c r="E26">
        <v>18.879035830394901</v>
      </c>
      <c r="F26">
        <v>1.0518704029877699</v>
      </c>
      <c r="H26" s="6">
        <v>1</v>
      </c>
      <c r="I26">
        <v>1.0368313596232099</v>
      </c>
    </row>
    <row r="27" spans="1:9">
      <c r="A27">
        <v>3</v>
      </c>
      <c r="B27">
        <v>5</v>
      </c>
      <c r="C27" t="s">
        <v>42</v>
      </c>
      <c r="D27">
        <v>-33.929935212592902</v>
      </c>
      <c r="E27">
        <v>18.879150092320199</v>
      </c>
      <c r="F27">
        <v>1.0930693273785601</v>
      </c>
      <c r="H27">
        <v>2</v>
      </c>
      <c r="I27">
        <v>1.1148797950234099</v>
      </c>
    </row>
    <row r="28" spans="1:9">
      <c r="A28">
        <v>3</v>
      </c>
      <c r="B28">
        <v>12</v>
      </c>
      <c r="C28" t="s">
        <v>42</v>
      </c>
      <c r="D28">
        <v>-33.929378056421299</v>
      </c>
      <c r="E28">
        <v>18.881672111093899</v>
      </c>
      <c r="F28">
        <v>1.0460698874954</v>
      </c>
      <c r="H28">
        <v>3</v>
      </c>
      <c r="I28">
        <v>0.97665571550819397</v>
      </c>
    </row>
    <row r="29" spans="1:9">
      <c r="A29">
        <v>3</v>
      </c>
      <c r="B29">
        <v>7</v>
      </c>
      <c r="C29" t="s">
        <v>42</v>
      </c>
      <c r="D29">
        <v>-33.927899593903099</v>
      </c>
      <c r="E29">
        <v>18.881793225654999</v>
      </c>
      <c r="F29">
        <v>1.03666458485701</v>
      </c>
      <c r="H29">
        <v>4</v>
      </c>
      <c r="I29">
        <v>0.98251314985617799</v>
      </c>
    </row>
    <row r="30" spans="1:9">
      <c r="A30">
        <v>3</v>
      </c>
      <c r="B30">
        <v>0</v>
      </c>
      <c r="C30" t="s">
        <v>42</v>
      </c>
      <c r="D30">
        <v>-33.955665864907999</v>
      </c>
      <c r="E30">
        <v>18.8661798284563</v>
      </c>
      <c r="F30">
        <v>1.1289384054824101</v>
      </c>
      <c r="H30">
        <v>5</v>
      </c>
      <c r="I30">
        <v>1.0930693273785601</v>
      </c>
    </row>
    <row r="31" spans="1:9">
      <c r="A31">
        <v>3</v>
      </c>
      <c r="B31">
        <v>6</v>
      </c>
      <c r="C31" t="s">
        <v>42</v>
      </c>
      <c r="D31">
        <v>-33.928585481596897</v>
      </c>
      <c r="E31">
        <v>18.877707432179498</v>
      </c>
      <c r="F31">
        <v>0.99751683696509597</v>
      </c>
      <c r="H31">
        <v>6</v>
      </c>
      <c r="I31">
        <v>0.99751683696509597</v>
      </c>
    </row>
    <row r="32" spans="1:9">
      <c r="A32">
        <v>3</v>
      </c>
      <c r="B32">
        <v>8</v>
      </c>
      <c r="C32" t="s">
        <v>42</v>
      </c>
      <c r="D32">
        <v>-33.927880925424503</v>
      </c>
      <c r="E32">
        <v>18.877921789796002</v>
      </c>
      <c r="F32">
        <v>0.94921825203251398</v>
      </c>
      <c r="H32">
        <v>7</v>
      </c>
      <c r="I32">
        <v>1.03666458485701</v>
      </c>
    </row>
    <row r="33" spans="1:9">
      <c r="A33">
        <v>3</v>
      </c>
      <c r="B33">
        <v>10</v>
      </c>
      <c r="C33" t="s">
        <v>42</v>
      </c>
      <c r="D33">
        <v>-33.927662198517801</v>
      </c>
      <c r="E33">
        <v>18.8784101128185</v>
      </c>
      <c r="F33">
        <v>0.98997341495254698</v>
      </c>
      <c r="H33">
        <v>8</v>
      </c>
      <c r="I33">
        <v>0.94921825203251398</v>
      </c>
    </row>
    <row r="34" spans="1:9">
      <c r="A34">
        <v>3</v>
      </c>
      <c r="B34">
        <v>9</v>
      </c>
      <c r="C34" t="s">
        <v>42</v>
      </c>
      <c r="D34">
        <v>-33.926770343238601</v>
      </c>
      <c r="E34">
        <v>18.881514298513299</v>
      </c>
      <c r="F34">
        <v>1.03977184960788</v>
      </c>
      <c r="H34">
        <v>9</v>
      </c>
      <c r="I34">
        <v>1.03977184960788</v>
      </c>
    </row>
    <row r="35" spans="1:9">
      <c r="A35">
        <v>3</v>
      </c>
      <c r="B35">
        <v>4</v>
      </c>
      <c r="C35" t="s">
        <v>42</v>
      </c>
      <c r="D35">
        <v>-33.952563693487399</v>
      </c>
      <c r="E35">
        <v>18.856620726726501</v>
      </c>
      <c r="F35">
        <v>0.98251314985617799</v>
      </c>
      <c r="H35">
        <v>10</v>
      </c>
      <c r="I35">
        <v>0.98997341495254698</v>
      </c>
    </row>
    <row r="36" spans="1:9">
      <c r="A36">
        <v>3</v>
      </c>
      <c r="B36">
        <v>1</v>
      </c>
      <c r="C36" t="s">
        <v>42</v>
      </c>
      <c r="D36">
        <v>-33.954589435039097</v>
      </c>
      <c r="E36">
        <v>18.8593848239857</v>
      </c>
      <c r="F36">
        <v>1.0368313596232099</v>
      </c>
      <c r="H36">
        <v>11</v>
      </c>
      <c r="I36">
        <v>0.99401018040642897</v>
      </c>
    </row>
    <row r="37" spans="1:9">
      <c r="A37">
        <v>3</v>
      </c>
      <c r="B37">
        <v>11</v>
      </c>
      <c r="C37" t="s">
        <v>42</v>
      </c>
      <c r="D37">
        <v>-33.954014549669402</v>
      </c>
      <c r="E37">
        <v>18.859761133132299</v>
      </c>
      <c r="F37">
        <v>0.99401018040642897</v>
      </c>
      <c r="H37">
        <v>12</v>
      </c>
      <c r="I37">
        <v>1.0460698874954</v>
      </c>
    </row>
    <row r="38" spans="1:9">
      <c r="A38">
        <v>3</v>
      </c>
      <c r="B38">
        <v>3</v>
      </c>
      <c r="C38" t="s">
        <v>42</v>
      </c>
      <c r="D38">
        <v>-33.956328641112101</v>
      </c>
      <c r="E38">
        <v>18.860005980924601</v>
      </c>
      <c r="F38">
        <v>0.97665571550819397</v>
      </c>
      <c r="H38">
        <v>13</v>
      </c>
      <c r="I38">
        <v>1.0518704029877699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3073" r:id="rId3">
          <objectPr defaultSize="0" autoPict="0" r:id="rId4">
            <anchor moveWithCells="1">
              <from>
                <xdr:col>0</xdr:col>
                <xdr:colOff>1508760</xdr:colOff>
                <xdr:row>13</xdr:row>
                <xdr:rowOff>167640</xdr:rowOff>
              </from>
              <to>
                <xdr:col>2</xdr:col>
                <xdr:colOff>1181100</xdr:colOff>
                <xdr:row>18</xdr:row>
                <xdr:rowOff>0</xdr:rowOff>
              </to>
            </anchor>
          </objectPr>
        </oleObject>
      </mc:Choice>
      <mc:Fallback>
        <oleObject shapeId="3073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workbookViewId="0">
      <selection activeCell="K29" sqref="K29"/>
    </sheetView>
  </sheetViews>
  <sheetFormatPr defaultRowHeight="13.8"/>
  <cols>
    <col min="1" max="1" width="12.09765625" bestFit="1" customWidth="1"/>
    <col min="4" max="4" width="12.19921875" bestFit="1" customWidth="1"/>
  </cols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82</v>
      </c>
      <c r="B2">
        <v>-33.910339999999998</v>
      </c>
      <c r="C2">
        <v>18.824529999999999</v>
      </c>
      <c r="D2">
        <v>20000</v>
      </c>
    </row>
    <row r="3" spans="1:4">
      <c r="A3" t="s">
        <v>83</v>
      </c>
      <c r="B3">
        <v>-33.911790000000003</v>
      </c>
      <c r="C3">
        <v>18.884270000000001</v>
      </c>
      <c r="D3">
        <v>25000</v>
      </c>
    </row>
    <row r="4" spans="1:4">
      <c r="A4" t="s">
        <v>84</v>
      </c>
      <c r="B4">
        <v>-33.935490000000001</v>
      </c>
      <c r="C4">
        <v>18.91283</v>
      </c>
      <c r="D4">
        <v>26000</v>
      </c>
    </row>
    <row r="5" spans="1:4">
      <c r="A5" t="s">
        <v>85</v>
      </c>
      <c r="B5">
        <v>-33.972839999999998</v>
      </c>
      <c r="C5">
        <v>18.891960000000001</v>
      </c>
      <c r="D5">
        <v>22000</v>
      </c>
    </row>
    <row r="6" spans="1:4">
      <c r="A6" t="s">
        <v>86</v>
      </c>
      <c r="B6">
        <v>-33.952800000000003</v>
      </c>
      <c r="C6">
        <v>18.818380000000001</v>
      </c>
      <c r="D6">
        <v>30000</v>
      </c>
    </row>
  </sheetData>
  <phoneticPr fontId="4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selection activeCell="D12" sqref="D12"/>
    </sheetView>
  </sheetViews>
  <sheetFormatPr defaultRowHeight="13.8"/>
  <cols>
    <col min="2" max="2" width="23.796875" bestFit="1" customWidth="1"/>
    <col min="3" max="3" width="10" bestFit="1" customWidth="1"/>
    <col min="4" max="4" width="30.296875" bestFit="1" customWidth="1"/>
  </cols>
  <sheetData>
    <row r="1" spans="2:4">
      <c r="B1" t="s">
        <v>94</v>
      </c>
    </row>
    <row r="2" spans="2:4">
      <c r="B2" s="6" t="s">
        <v>98</v>
      </c>
      <c r="C2" s="6" t="s">
        <v>99</v>
      </c>
      <c r="D2" s="6" t="s">
        <v>100</v>
      </c>
    </row>
    <row r="3" spans="2:4">
      <c r="B3" t="s">
        <v>95</v>
      </c>
      <c r="C3">
        <v>218088229</v>
      </c>
    </row>
    <row r="4" spans="2:4">
      <c r="B4" t="s">
        <v>96</v>
      </c>
      <c r="C4">
        <v>218088216</v>
      </c>
    </row>
    <row r="6" spans="2:4">
      <c r="B6" t="s">
        <v>97</v>
      </c>
      <c r="C6">
        <v>218088248</v>
      </c>
      <c r="D6" t="s">
        <v>101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workbookViewId="0">
      <selection activeCell="J16" sqref="J16"/>
    </sheetView>
  </sheetViews>
  <sheetFormatPr defaultRowHeight="13.8"/>
  <cols>
    <col min="2" max="2" width="22.796875" bestFit="1" customWidth="1"/>
    <col min="3" max="3" width="16.19921875" bestFit="1" customWidth="1"/>
    <col min="6" max="7" width="10.19921875" bestFit="1" customWidth="1"/>
    <col min="8" max="8" width="10" bestFit="1" customWidth="1"/>
    <col min="10" max="10" width="18" bestFit="1" customWidth="1"/>
    <col min="11" max="11" width="13" bestFit="1" customWidth="1"/>
    <col min="12" max="12" width="17.796875" bestFit="1" customWidth="1"/>
    <col min="13" max="13" width="18.296875" bestFit="1" customWidth="1"/>
    <col min="14" max="14" width="19.5" bestFit="1" customWidth="1"/>
    <col min="15" max="15" width="10.3984375" bestFit="1" customWidth="1"/>
    <col min="16" max="16" width="14.296875" bestFit="1" customWidth="1"/>
  </cols>
  <sheetData>
    <row r="1" spans="1:16">
      <c r="A1" t="s">
        <v>107</v>
      </c>
      <c r="B1" s="7" t="s">
        <v>61</v>
      </c>
      <c r="C1" s="7" t="s">
        <v>60</v>
      </c>
      <c r="D1" s="7" t="s">
        <v>58</v>
      </c>
      <c r="E1" s="7" t="s">
        <v>59</v>
      </c>
      <c r="F1" s="7" t="s">
        <v>57</v>
      </c>
      <c r="G1" s="7" t="s">
        <v>56</v>
      </c>
      <c r="H1" s="7" t="s">
        <v>55</v>
      </c>
      <c r="I1" s="7" t="s">
        <v>54</v>
      </c>
      <c r="J1" s="7" t="s">
        <v>53</v>
      </c>
      <c r="K1" s="7" t="s">
        <v>62</v>
      </c>
      <c r="L1" s="7" t="s">
        <v>102</v>
      </c>
      <c r="M1" s="7" t="s">
        <v>103</v>
      </c>
      <c r="N1" s="7" t="s">
        <v>104</v>
      </c>
      <c r="O1" s="7" t="s">
        <v>87</v>
      </c>
      <c r="P1" s="7" t="s">
        <v>93</v>
      </c>
    </row>
    <row r="2" spans="1:16">
      <c r="A2">
        <v>0</v>
      </c>
      <c r="B2" s="8" t="s">
        <v>46</v>
      </c>
      <c r="C2" s="9">
        <v>138</v>
      </c>
      <c r="D2" s="4">
        <v>34</v>
      </c>
      <c r="E2" s="10">
        <v>14</v>
      </c>
      <c r="F2" s="11">
        <v>-33.933844999999998</v>
      </c>
      <c r="G2" s="12">
        <v>-33.927222</v>
      </c>
      <c r="H2" s="12">
        <v>18.881762999999999</v>
      </c>
      <c r="I2" s="12">
        <v>18.891226</v>
      </c>
      <c r="J2" s="4">
        <v>3</v>
      </c>
      <c r="K2">
        <f t="shared" ref="K2:K12" si="0">C2*J2</f>
        <v>414</v>
      </c>
      <c r="L2">
        <v>4.3799999999999999E-2</v>
      </c>
      <c r="M2">
        <v>0.1096</v>
      </c>
      <c r="N2">
        <v>6.5750000000000003E-2</v>
      </c>
      <c r="O2" t="s">
        <v>92</v>
      </c>
      <c r="P2">
        <v>3</v>
      </c>
    </row>
    <row r="3" spans="1:16">
      <c r="A3">
        <v>1</v>
      </c>
      <c r="B3" s="13" t="s">
        <v>42</v>
      </c>
      <c r="C3" s="14">
        <v>138</v>
      </c>
      <c r="D3" s="4">
        <v>272</v>
      </c>
      <c r="E3" s="17">
        <v>14</v>
      </c>
      <c r="F3" s="15">
        <v>-33.930570000000003</v>
      </c>
      <c r="G3" s="16">
        <v>-33.925272999999997</v>
      </c>
      <c r="H3" s="16">
        <v>18.874172999999999</v>
      </c>
      <c r="I3" s="16">
        <v>18.881800999999999</v>
      </c>
      <c r="J3" s="4">
        <v>3</v>
      </c>
      <c r="K3">
        <f t="shared" si="0"/>
        <v>414</v>
      </c>
      <c r="L3">
        <v>4.3799999999999999E-2</v>
      </c>
      <c r="M3">
        <v>0.1096</v>
      </c>
      <c r="N3">
        <v>6.5750000000000003E-2</v>
      </c>
      <c r="O3" t="s">
        <v>88</v>
      </c>
      <c r="P3">
        <v>1</v>
      </c>
    </row>
    <row r="4" spans="1:16">
      <c r="A4">
        <v>2</v>
      </c>
      <c r="B4" s="8" t="s">
        <v>10</v>
      </c>
      <c r="C4" s="9">
        <v>182</v>
      </c>
      <c r="D4" s="4">
        <v>45</v>
      </c>
      <c r="E4" s="10">
        <v>18</v>
      </c>
      <c r="F4" s="11">
        <v>-33.959327000000002</v>
      </c>
      <c r="G4" s="12">
        <v>-33.951726999999998</v>
      </c>
      <c r="H4" s="12">
        <v>18.855896999999999</v>
      </c>
      <c r="I4" s="12">
        <v>18.874780000000001</v>
      </c>
      <c r="J4" s="4">
        <v>3</v>
      </c>
      <c r="K4">
        <f t="shared" si="0"/>
        <v>546</v>
      </c>
      <c r="L4">
        <v>4.3799999999999999E-2</v>
      </c>
      <c r="M4">
        <v>0.1096</v>
      </c>
      <c r="N4">
        <v>6.5750000000000003E-2</v>
      </c>
      <c r="O4" t="s">
        <v>90</v>
      </c>
      <c r="P4">
        <v>4</v>
      </c>
    </row>
    <row r="5" spans="1:16">
      <c r="A5">
        <v>3</v>
      </c>
      <c r="B5" s="13" t="s">
        <v>35</v>
      </c>
      <c r="C5" s="14">
        <v>593</v>
      </c>
      <c r="D5" s="4">
        <v>148.25</v>
      </c>
      <c r="E5" s="10">
        <v>59</v>
      </c>
      <c r="F5" s="15">
        <v>-33.968150000000001</v>
      </c>
      <c r="G5" s="16">
        <v>-33.95975</v>
      </c>
      <c r="H5" s="16">
        <v>18.849457999999998</v>
      </c>
      <c r="I5" s="16">
        <v>18.859714</v>
      </c>
      <c r="J5" s="4">
        <v>3</v>
      </c>
      <c r="K5">
        <f t="shared" si="0"/>
        <v>1779</v>
      </c>
      <c r="L5">
        <v>4.3799999999999999E-2</v>
      </c>
      <c r="M5">
        <v>0.1096</v>
      </c>
      <c r="N5">
        <v>6.5750000000000003E-2</v>
      </c>
      <c r="O5" t="s">
        <v>88</v>
      </c>
      <c r="P5">
        <v>1</v>
      </c>
    </row>
    <row r="6" spans="1:16">
      <c r="A6">
        <v>4</v>
      </c>
      <c r="B6" s="8" t="s">
        <v>21</v>
      </c>
      <c r="C6" s="9">
        <v>601</v>
      </c>
      <c r="D6" s="4">
        <v>150</v>
      </c>
      <c r="E6" s="17">
        <v>60</v>
      </c>
      <c r="F6" s="12">
        <v>-33.983074000000002</v>
      </c>
      <c r="G6" s="12">
        <v>-33.974781999999998</v>
      </c>
      <c r="H6" s="12">
        <v>18.839621999999999</v>
      </c>
      <c r="I6" s="12">
        <v>18.854728000000001</v>
      </c>
      <c r="J6" s="4">
        <v>5</v>
      </c>
      <c r="K6">
        <f t="shared" si="0"/>
        <v>3005</v>
      </c>
      <c r="L6">
        <v>4.3799999999999999E-2</v>
      </c>
      <c r="M6">
        <v>0.1096</v>
      </c>
      <c r="N6">
        <v>6.5750000000000003E-2</v>
      </c>
      <c r="O6" t="s">
        <v>89</v>
      </c>
      <c r="P6">
        <v>2</v>
      </c>
    </row>
    <row r="7" spans="1:16">
      <c r="A7">
        <v>5</v>
      </c>
      <c r="B7" s="13" t="s">
        <v>50</v>
      </c>
      <c r="C7" s="14">
        <v>1070</v>
      </c>
      <c r="D7" s="4">
        <v>148</v>
      </c>
      <c r="E7" s="17">
        <v>107</v>
      </c>
      <c r="F7" s="15">
        <v>-33.903559000000001</v>
      </c>
      <c r="G7" s="16">
        <v>-33.897236999999997</v>
      </c>
      <c r="H7" s="16">
        <v>18.846064999999999</v>
      </c>
      <c r="I7" s="16">
        <v>18.85866</v>
      </c>
      <c r="J7" s="4">
        <v>3</v>
      </c>
      <c r="K7">
        <f t="shared" si="0"/>
        <v>3210</v>
      </c>
      <c r="L7">
        <v>4.3799999999999999E-2</v>
      </c>
      <c r="M7">
        <v>0.1096</v>
      </c>
      <c r="N7">
        <v>6.5750000000000003E-2</v>
      </c>
      <c r="O7" t="s">
        <v>92</v>
      </c>
      <c r="P7">
        <v>3</v>
      </c>
    </row>
    <row r="8" spans="1:16">
      <c r="A8">
        <v>6</v>
      </c>
      <c r="B8" s="8" t="s">
        <v>52</v>
      </c>
      <c r="C8" s="9">
        <v>1089</v>
      </c>
      <c r="D8" s="4">
        <v>267</v>
      </c>
      <c r="E8" s="10">
        <v>109</v>
      </c>
      <c r="F8" s="11">
        <v>-33.954158999999997</v>
      </c>
      <c r="G8" s="12">
        <v>-33.941557000000003</v>
      </c>
      <c r="H8" s="12">
        <v>18.841255</v>
      </c>
      <c r="I8" s="12">
        <v>18.855331</v>
      </c>
      <c r="J8" s="4">
        <v>2</v>
      </c>
      <c r="K8">
        <f t="shared" si="0"/>
        <v>2178</v>
      </c>
      <c r="L8">
        <v>4.3799999999999999E-2</v>
      </c>
      <c r="M8">
        <v>0.1096</v>
      </c>
      <c r="N8">
        <v>6.5750000000000003E-2</v>
      </c>
      <c r="O8" t="s">
        <v>89</v>
      </c>
      <c r="P8">
        <v>2</v>
      </c>
    </row>
    <row r="9" spans="1:16">
      <c r="A9">
        <v>7</v>
      </c>
      <c r="B9" s="13" t="s">
        <v>51</v>
      </c>
      <c r="C9" s="14">
        <v>2128</v>
      </c>
      <c r="D9" s="4">
        <v>34</v>
      </c>
      <c r="E9" s="17">
        <v>213</v>
      </c>
      <c r="F9" s="15">
        <v>-33.926304999999999</v>
      </c>
      <c r="G9" s="16">
        <v>-33.917580000000001</v>
      </c>
      <c r="H9" s="16">
        <v>18.870832</v>
      </c>
      <c r="I9" s="16">
        <v>18.894607000000001</v>
      </c>
      <c r="J9" s="4">
        <v>3</v>
      </c>
      <c r="K9">
        <f t="shared" si="0"/>
        <v>6384</v>
      </c>
      <c r="L9">
        <v>4.3799999999999999E-2</v>
      </c>
      <c r="M9">
        <v>0.1096</v>
      </c>
      <c r="N9">
        <v>6.5750000000000003E-2</v>
      </c>
      <c r="O9" t="s">
        <v>91</v>
      </c>
      <c r="P9">
        <v>5</v>
      </c>
    </row>
    <row r="10" spans="1:16">
      <c r="A10">
        <v>8</v>
      </c>
      <c r="B10" s="8" t="s">
        <v>11</v>
      </c>
      <c r="C10" s="9">
        <v>3327</v>
      </c>
      <c r="D10" s="4">
        <v>831</v>
      </c>
      <c r="E10" s="10">
        <v>222</v>
      </c>
      <c r="F10" s="11">
        <v>-33.919987999999996</v>
      </c>
      <c r="G10" s="12">
        <v>-33.896053999999999</v>
      </c>
      <c r="H10" s="12">
        <v>18.843478000000001</v>
      </c>
      <c r="I10" s="12">
        <v>18.859335000000002</v>
      </c>
      <c r="J10" s="4">
        <v>5</v>
      </c>
      <c r="K10">
        <f t="shared" si="0"/>
        <v>16635</v>
      </c>
      <c r="L10">
        <v>6.5750000000000003E-2</v>
      </c>
      <c r="M10">
        <v>0.1643</v>
      </c>
      <c r="N10">
        <v>9.8599999999999993E-2</v>
      </c>
      <c r="O10" t="s">
        <v>88</v>
      </c>
      <c r="P10">
        <v>1</v>
      </c>
    </row>
    <row r="11" spans="1:16">
      <c r="A11">
        <v>9</v>
      </c>
      <c r="B11" s="13" t="s">
        <v>105</v>
      </c>
      <c r="C11" s="14">
        <v>4282</v>
      </c>
      <c r="D11" s="4">
        <v>2141</v>
      </c>
      <c r="E11" s="17">
        <v>285</v>
      </c>
      <c r="F11" s="15">
        <v>-33.927109999999999</v>
      </c>
      <c r="G11" s="16">
        <v>-33.91919</v>
      </c>
      <c r="H11" s="16">
        <v>18.835999999999999</v>
      </c>
      <c r="I11" s="16">
        <v>18.844889999999999</v>
      </c>
      <c r="J11" s="4">
        <v>3</v>
      </c>
      <c r="K11">
        <f t="shared" si="0"/>
        <v>12846</v>
      </c>
      <c r="L11">
        <v>6.5750000000000003E-2</v>
      </c>
      <c r="M11">
        <v>0.1643</v>
      </c>
      <c r="N11">
        <v>9.8599999999999993E-2</v>
      </c>
      <c r="O11" t="s">
        <v>90</v>
      </c>
      <c r="P11">
        <v>4</v>
      </c>
    </row>
    <row r="12" spans="1:16">
      <c r="A12">
        <v>10</v>
      </c>
      <c r="B12" s="8" t="s">
        <v>106</v>
      </c>
      <c r="C12" s="9">
        <v>4282</v>
      </c>
      <c r="D12">
        <v>532</v>
      </c>
      <c r="E12" s="10">
        <v>285</v>
      </c>
      <c r="F12" s="11">
        <v>-33.91919</v>
      </c>
      <c r="G12" s="12">
        <v>-33.91236</v>
      </c>
      <c r="H12" s="12">
        <v>18.844889999999999</v>
      </c>
      <c r="I12" s="12">
        <v>18.847619999999999</v>
      </c>
      <c r="J12" s="4">
        <v>4</v>
      </c>
      <c r="K12">
        <f t="shared" si="0"/>
        <v>17128</v>
      </c>
      <c r="L12">
        <v>6.5750000000000003E-2</v>
      </c>
      <c r="M12">
        <v>0.1643</v>
      </c>
      <c r="N12">
        <v>9.8599999999999993E-2</v>
      </c>
      <c r="O12" t="s">
        <v>91</v>
      </c>
      <c r="P12">
        <v>5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31" sqref="F31"/>
    </sheetView>
  </sheetViews>
  <sheetFormatPr defaultRowHeight="13.8"/>
  <cols>
    <col min="1" max="1" width="18.296875" bestFit="1" customWidth="1"/>
    <col min="3" max="3" width="16.59765625" customWidth="1"/>
    <col min="4" max="4" width="16.69921875" bestFit="1" customWidth="1"/>
    <col min="5" max="5" width="23.3984375" bestFit="1" customWidth="1"/>
    <col min="6" max="6" width="23.796875" bestFit="1" customWidth="1"/>
  </cols>
  <sheetData>
    <row r="1" spans="1:6">
      <c r="A1" t="s">
        <v>125</v>
      </c>
      <c r="C1" s="32" t="s">
        <v>126</v>
      </c>
      <c r="D1" s="32"/>
      <c r="E1" s="32"/>
      <c r="F1" s="32"/>
    </row>
    <row r="2" spans="1:6">
      <c r="A2" t="s">
        <v>122</v>
      </c>
    </row>
    <row r="3" spans="1:6">
      <c r="A3" t="s">
        <v>123</v>
      </c>
      <c r="C3" t="s">
        <v>127</v>
      </c>
      <c r="D3" t="s">
        <v>128</v>
      </c>
      <c r="E3" t="s">
        <v>132</v>
      </c>
      <c r="F3" t="s">
        <v>129</v>
      </c>
    </row>
    <row r="4" spans="1:6">
      <c r="A4" t="s">
        <v>124</v>
      </c>
      <c r="C4" t="s">
        <v>131</v>
      </c>
      <c r="D4" t="s">
        <v>135</v>
      </c>
      <c r="E4" t="s">
        <v>148</v>
      </c>
      <c r="F4" t="s">
        <v>130</v>
      </c>
    </row>
    <row r="5" spans="1:6">
      <c r="C5" t="s">
        <v>133</v>
      </c>
      <c r="D5" t="s">
        <v>134</v>
      </c>
      <c r="E5" t="s">
        <v>141</v>
      </c>
      <c r="F5" t="s">
        <v>130</v>
      </c>
    </row>
    <row r="6" spans="1:6">
      <c r="C6" t="s">
        <v>136</v>
      </c>
      <c r="D6" t="s">
        <v>150</v>
      </c>
      <c r="E6" t="s">
        <v>142</v>
      </c>
      <c r="F6" t="s">
        <v>130</v>
      </c>
    </row>
    <row r="7" spans="1:6">
      <c r="C7" t="s">
        <v>149</v>
      </c>
      <c r="D7" t="s">
        <v>150</v>
      </c>
      <c r="E7" t="s">
        <v>143</v>
      </c>
      <c r="F7" t="s">
        <v>130</v>
      </c>
    </row>
    <row r="8" spans="1:6">
      <c r="C8" t="s">
        <v>137</v>
      </c>
      <c r="D8" t="s">
        <v>150</v>
      </c>
      <c r="E8" t="s">
        <v>144</v>
      </c>
      <c r="F8" t="s">
        <v>138</v>
      </c>
    </row>
    <row r="9" spans="1:6">
      <c r="C9" t="s">
        <v>139</v>
      </c>
      <c r="D9" t="s">
        <v>150</v>
      </c>
      <c r="E9" t="s">
        <v>145</v>
      </c>
      <c r="F9" t="s">
        <v>138</v>
      </c>
    </row>
    <row r="14" spans="1:6">
      <c r="C14" s="18" t="s">
        <v>140</v>
      </c>
    </row>
    <row r="16" spans="1:6">
      <c r="C16" t="s">
        <v>146</v>
      </c>
      <c r="D16" t="s">
        <v>147</v>
      </c>
      <c r="E16">
        <v>729</v>
      </c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pups</vt:lpstr>
      <vt:lpstr>Sheet3</vt:lpstr>
      <vt:lpstr>Clusters</vt:lpstr>
      <vt:lpstr>optimalRoutes</vt:lpstr>
      <vt:lpstr>pupsBackup</vt:lpstr>
      <vt:lpstr>Case study app data</vt:lpstr>
      <vt:lpstr>Case study app data 2</vt:lpstr>
      <vt:lpstr>col requests</vt:lpstr>
      <vt:lpstr>Sheet4</vt:lpstr>
      <vt:lpstr>optimalRoutes rawdata (2)</vt:lpstr>
      <vt:lpstr>optimalRoutes rawdata</vt:lpstr>
      <vt:lpstr>pupsOriginalBackup</vt:lpstr>
      <vt:lpstr>Sheet2</vt:lpstr>
      <vt:lpstr>Landfills</vt:lpstr>
      <vt:lpstr>Contact Nos</vt:lpstr>
      <vt:lpstr>clusters_original</vt:lpstr>
      <vt:lpstr>Experiments</vt:lpstr>
    </vt:vector>
  </TitlesOfParts>
  <Company>Cape Peninsula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Magbiti Monzambe</dc:creator>
  <cp:lastModifiedBy>Giovani Monzambe</cp:lastModifiedBy>
  <dcterms:created xsi:type="dcterms:W3CDTF">2024-01-23T12:51:44Z</dcterms:created>
  <dcterms:modified xsi:type="dcterms:W3CDTF">2025-09-30T13:54:23Z</dcterms:modified>
</cp:coreProperties>
</file>