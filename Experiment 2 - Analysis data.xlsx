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cputacza-my.sharepoint.com/personal/monzambem_cput_ac_za/Documents/Documents/PhD RESEARCH/Dissertation and Notes/"/>
    </mc:Choice>
  </mc:AlternateContent>
  <xr:revisionPtr revIDLastSave="69" documentId="13_ncr:1_{C53812CB-801E-427F-9E3B-BA0E1DE7493E}" xr6:coauthVersionLast="47" xr6:coauthVersionMax="47" xr10:uidLastSave="{8DCE393D-3066-4901-9269-85A2E59E3259}"/>
  <bookViews>
    <workbookView xWindow="-108" yWindow="-108" windowWidth="23256" windowHeight="12456" activeTab="3" xr2:uid="{00000000-000D-0000-FFFF-FFFF00000000}"/>
  </bookViews>
  <sheets>
    <sheet name="TotalWasteDisposed" sheetId="5" r:id="rId1"/>
    <sheet name="TravelTime" sheetId="7" r:id="rId2"/>
    <sheet name="Distance" sheetId="8" r:id="rId3"/>
    <sheet name="CO2" sheetId="3" r:id="rId4"/>
    <sheet name="DataForDissertation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9" l="1"/>
  <c r="K38" i="9"/>
  <c r="L38" i="9"/>
  <c r="M38" i="9"/>
  <c r="J39" i="9"/>
  <c r="K39" i="9"/>
  <c r="L39" i="9"/>
  <c r="M39" i="9"/>
  <c r="K37" i="9"/>
  <c r="L37" i="9"/>
  <c r="M37" i="9"/>
  <c r="J37" i="9"/>
  <c r="D37" i="9"/>
  <c r="E37" i="9"/>
  <c r="G37" i="9"/>
  <c r="H37" i="9"/>
  <c r="I37" i="9"/>
  <c r="D38" i="9"/>
  <c r="E38" i="9"/>
  <c r="G38" i="9"/>
  <c r="H38" i="9"/>
  <c r="I38" i="9"/>
  <c r="D39" i="9"/>
  <c r="E39" i="9"/>
  <c r="G39" i="9"/>
  <c r="H39" i="9"/>
  <c r="I39" i="9"/>
  <c r="C38" i="9"/>
  <c r="C39" i="9"/>
  <c r="C37" i="9"/>
  <c r="O32" i="9"/>
  <c r="P32" i="9"/>
  <c r="O33" i="9"/>
  <c r="P33" i="9"/>
  <c r="P31" i="9"/>
  <c r="O31" i="9"/>
  <c r="N32" i="9"/>
  <c r="N33" i="9"/>
  <c r="N31" i="9"/>
  <c r="C32" i="9"/>
  <c r="M32" i="9" s="1"/>
  <c r="D32" i="9"/>
  <c r="E32" i="9"/>
  <c r="F32" i="9"/>
  <c r="G32" i="9"/>
  <c r="H32" i="9"/>
  <c r="I32" i="9"/>
  <c r="J32" i="9"/>
  <c r="K32" i="9"/>
  <c r="L32" i="9"/>
  <c r="C33" i="9"/>
  <c r="D33" i="9"/>
  <c r="E33" i="9"/>
  <c r="F33" i="9"/>
  <c r="G33" i="9"/>
  <c r="M33" i="9" s="1"/>
  <c r="H33" i="9"/>
  <c r="I33" i="9"/>
  <c r="J33" i="9"/>
  <c r="K33" i="9"/>
  <c r="L33" i="9"/>
  <c r="M31" i="9"/>
  <c r="D31" i="9"/>
  <c r="E31" i="9"/>
  <c r="F31" i="9"/>
  <c r="G31" i="9"/>
  <c r="H31" i="9"/>
  <c r="I31" i="9"/>
  <c r="J31" i="9"/>
  <c r="K31" i="9"/>
  <c r="L31" i="9"/>
  <c r="C31" i="9"/>
  <c r="L28" i="9"/>
  <c r="K28" i="9"/>
  <c r="J28" i="9"/>
  <c r="I28" i="9"/>
  <c r="H28" i="9"/>
  <c r="G28" i="9"/>
  <c r="F28" i="9"/>
  <c r="E28" i="9"/>
  <c r="D28" i="9"/>
  <c r="C28" i="9"/>
  <c r="L27" i="9"/>
  <c r="K27" i="9"/>
  <c r="J27" i="9"/>
  <c r="I27" i="9"/>
  <c r="H27" i="9"/>
  <c r="G27" i="9"/>
  <c r="F27" i="9"/>
  <c r="E27" i="9"/>
  <c r="D27" i="9"/>
  <c r="C27" i="9"/>
  <c r="L26" i="9"/>
  <c r="K26" i="9"/>
  <c r="J26" i="9"/>
  <c r="I26" i="9"/>
  <c r="H26" i="9"/>
  <c r="G26" i="9"/>
  <c r="F26" i="9"/>
  <c r="E26" i="9"/>
  <c r="D26" i="9"/>
  <c r="C26" i="9"/>
  <c r="C12" i="9"/>
  <c r="D12" i="9"/>
  <c r="E12" i="9"/>
  <c r="F12" i="9"/>
  <c r="G12" i="9"/>
  <c r="H12" i="9"/>
  <c r="I12" i="9"/>
  <c r="J12" i="9"/>
  <c r="K12" i="9"/>
  <c r="L12" i="9"/>
  <c r="C13" i="9"/>
  <c r="D13" i="9"/>
  <c r="E13" i="9"/>
  <c r="F13" i="9"/>
  <c r="G13" i="9"/>
  <c r="H13" i="9"/>
  <c r="I13" i="9"/>
  <c r="J13" i="9"/>
  <c r="K13" i="9"/>
  <c r="L13" i="9"/>
  <c r="D11" i="9"/>
  <c r="E11" i="9"/>
  <c r="F11" i="9"/>
  <c r="G11" i="9"/>
  <c r="H11" i="9"/>
  <c r="I11" i="9"/>
  <c r="J11" i="9"/>
  <c r="K11" i="9"/>
  <c r="L11" i="9"/>
  <c r="C11" i="9"/>
  <c r="AE4" i="7" a="1"/>
  <c r="AF4" i="7" s="1"/>
  <c r="AE4" i="7"/>
  <c r="Z84" i="8" a="1"/>
  <c r="Z84" i="8" s="1"/>
  <c r="AA84" i="8" s="1"/>
  <c r="Y84" i="8" a="1"/>
  <c r="Y84" i="8" s="1"/>
  <c r="Z83" i="8" a="1"/>
  <c r="Z83" i="8" s="1"/>
  <c r="AA83" i="8" s="1"/>
  <c r="Y83" i="8" a="1"/>
  <c r="Y83" i="8" s="1"/>
  <c r="Z82" i="8" a="1"/>
  <c r="Z82" i="8" s="1"/>
  <c r="AA82" i="8" s="1"/>
  <c r="Y82" i="8" a="1"/>
  <c r="Y82" i="8" s="1"/>
  <c r="Z81" i="8" a="1"/>
  <c r="Z81" i="8" s="1"/>
  <c r="AA81" i="8" s="1"/>
  <c r="Y81" i="8" a="1"/>
  <c r="Y81" i="8" s="1"/>
  <c r="Z80" i="8" a="1"/>
  <c r="Z80" i="8" s="1"/>
  <c r="AA80" i="8" s="1"/>
  <c r="Y80" i="8" a="1"/>
  <c r="Y80" i="8" s="1"/>
  <c r="Z79" i="8" a="1"/>
  <c r="Z79" i="8" s="1"/>
  <c r="AA79" i="8" s="1"/>
  <c r="Y79" i="8" a="1"/>
  <c r="Y79" i="8" s="1"/>
  <c r="Z78" i="8" a="1"/>
  <c r="Z78" i="8" s="1"/>
  <c r="AA78" i="8" s="1"/>
  <c r="Y78" i="8" a="1"/>
  <c r="Y78" i="8" s="1"/>
  <c r="Z77" i="8" a="1"/>
  <c r="Z77" i="8" s="1"/>
  <c r="AA77" i="8" s="1"/>
  <c r="Y77" i="8" a="1"/>
  <c r="Y77" i="8" s="1"/>
  <c r="Z76" i="8" a="1"/>
  <c r="Z76" i="8" s="1"/>
  <c r="AA76" i="8" s="1"/>
  <c r="Y76" i="8" a="1"/>
  <c r="Y76" i="8" s="1"/>
  <c r="Z75" i="8" a="1"/>
  <c r="Z75" i="8" s="1"/>
  <c r="AA75" i="8" s="1"/>
  <c r="Y75" i="8" a="1"/>
  <c r="Y75" i="8" s="1"/>
  <c r="Z74" i="8" a="1"/>
  <c r="Z74" i="8" s="1"/>
  <c r="AA74" i="8" s="1"/>
  <c r="Y74" i="8" a="1"/>
  <c r="Y74" i="8" s="1"/>
  <c r="Z73" i="8" a="1"/>
  <c r="Z73" i="8" s="1"/>
  <c r="AA73" i="8" s="1"/>
  <c r="Y73" i="8" a="1"/>
  <c r="Y73" i="8" s="1"/>
  <c r="Z72" i="8" a="1"/>
  <c r="Z72" i="8" s="1"/>
  <c r="AA72" i="8" s="1"/>
  <c r="Y72" i="8" a="1"/>
  <c r="Y72" i="8" s="1"/>
  <c r="Z71" i="8" a="1"/>
  <c r="Z71" i="8" s="1"/>
  <c r="AA71" i="8" s="1"/>
  <c r="Y71" i="8" a="1"/>
  <c r="Y71" i="8" s="1"/>
  <c r="Z70" i="8" a="1"/>
  <c r="Z70" i="8" s="1"/>
  <c r="AA70" i="8" s="1"/>
  <c r="Y70" i="8" a="1"/>
  <c r="Y70" i="8" s="1"/>
  <c r="Z69" i="8" a="1"/>
  <c r="Z69" i="8" s="1"/>
  <c r="AA69" i="8" s="1"/>
  <c r="Y69" i="8" a="1"/>
  <c r="Y69" i="8" s="1"/>
  <c r="Z68" i="8" a="1"/>
  <c r="Z68" i="8" s="1"/>
  <c r="AA68" i="8" s="1"/>
  <c r="Y68" i="8" a="1"/>
  <c r="Y68" i="8" s="1"/>
  <c r="Z67" i="8" a="1"/>
  <c r="Z67" i="8" s="1"/>
  <c r="AA67" i="8" s="1"/>
  <c r="Y67" i="8" a="1"/>
  <c r="Y67" i="8" s="1"/>
  <c r="Z66" i="8" a="1"/>
  <c r="Z66" i="8" s="1"/>
  <c r="AA66" i="8" s="1"/>
  <c r="Y66" i="8" a="1"/>
  <c r="Y66" i="8" s="1"/>
  <c r="Z65" i="8" a="1"/>
  <c r="Z65" i="8" s="1"/>
  <c r="AA65" i="8" s="1"/>
  <c r="Y65" i="8" a="1"/>
  <c r="Y65" i="8" s="1"/>
  <c r="Z64" i="8" a="1"/>
  <c r="Z64" i="8" s="1"/>
  <c r="AA64" i="8" s="1"/>
  <c r="Y64" i="8" a="1"/>
  <c r="Y64" i="8" s="1"/>
  <c r="Z63" i="8" a="1"/>
  <c r="Z63" i="8" s="1"/>
  <c r="AA63" i="8" s="1"/>
  <c r="Y63" i="8" a="1"/>
  <c r="Y63" i="8" s="1"/>
  <c r="Z62" i="8" a="1"/>
  <c r="Z62" i="8" s="1"/>
  <c r="AA62" i="8" s="1"/>
  <c r="Y62" i="8" a="1"/>
  <c r="Y62" i="8" s="1"/>
  <c r="AC62" i="8" s="1"/>
  <c r="Z61" i="8" a="1"/>
  <c r="Z61" i="8" s="1"/>
  <c r="AA61" i="8" s="1"/>
  <c r="Y61" i="8" a="1"/>
  <c r="Y61" i="8" s="1"/>
  <c r="Z60" i="8" a="1"/>
  <c r="Z60" i="8" s="1"/>
  <c r="AA60" i="8" s="1"/>
  <c r="Y60" i="8" a="1"/>
  <c r="Y60" i="8" s="1"/>
  <c r="Z59" i="8" a="1"/>
  <c r="Z59" i="8" s="1"/>
  <c r="AA59" i="8" s="1"/>
  <c r="Y59" i="8" a="1"/>
  <c r="Y59" i="8" s="1"/>
  <c r="Z58" i="8" a="1"/>
  <c r="Z58" i="8" s="1"/>
  <c r="AA58" i="8" s="1"/>
  <c r="Y58" i="8" a="1"/>
  <c r="Y58" i="8" s="1"/>
  <c r="Z57" i="8" a="1"/>
  <c r="Z57" i="8" s="1"/>
  <c r="AA57" i="8" s="1"/>
  <c r="Y57" i="8" a="1"/>
  <c r="Y57" i="8" s="1"/>
  <c r="Z56" i="8" a="1"/>
  <c r="Z56" i="8" s="1"/>
  <c r="AA56" i="8" s="1"/>
  <c r="Y56" i="8" a="1"/>
  <c r="Y56" i="8" s="1"/>
  <c r="Z55" i="8" a="1"/>
  <c r="Z55" i="8" s="1"/>
  <c r="AA55" i="8" s="1"/>
  <c r="Y55" i="8" a="1"/>
  <c r="Y55" i="8" s="1"/>
  <c r="Z54" i="8" a="1"/>
  <c r="Z54" i="8" s="1"/>
  <c r="AA54" i="8" s="1"/>
  <c r="Y54" i="8" a="1"/>
  <c r="Y54" i="8" s="1"/>
  <c r="Z53" i="8" a="1"/>
  <c r="Z53" i="8" s="1"/>
  <c r="AA53" i="8" s="1"/>
  <c r="Y53" i="8" a="1"/>
  <c r="Y53" i="8" s="1"/>
  <c r="Z52" i="8" a="1"/>
  <c r="Z52" i="8" s="1"/>
  <c r="AA52" i="8" s="1"/>
  <c r="Y52" i="8" a="1"/>
  <c r="Y52" i="8" s="1"/>
  <c r="Z51" i="8" a="1"/>
  <c r="Z51" i="8" s="1"/>
  <c r="AA51" i="8" s="1"/>
  <c r="Y51" i="8" a="1"/>
  <c r="Y51" i="8" s="1"/>
  <c r="Z50" i="8" a="1"/>
  <c r="Z50" i="8" s="1"/>
  <c r="AA50" i="8" s="1"/>
  <c r="Y50" i="8" a="1"/>
  <c r="Y50" i="8" s="1"/>
  <c r="Z49" i="8" a="1"/>
  <c r="Z49" i="8" s="1"/>
  <c r="AA49" i="8" s="1"/>
  <c r="Y49" i="8" a="1"/>
  <c r="Y49" i="8" s="1"/>
  <c r="Z48" i="8" a="1"/>
  <c r="Z48" i="8" s="1"/>
  <c r="AA48" i="8" s="1"/>
  <c r="Y48" i="8" a="1"/>
  <c r="Y48" i="8" s="1"/>
  <c r="Z47" i="8" a="1"/>
  <c r="Z47" i="8" s="1"/>
  <c r="AA47" i="8" s="1"/>
  <c r="Y47" i="8" a="1"/>
  <c r="Y47" i="8" s="1"/>
  <c r="Z46" i="8" a="1"/>
  <c r="Z46" i="8" s="1"/>
  <c r="AA46" i="8" s="1"/>
  <c r="Y46" i="8" a="1"/>
  <c r="Y46" i="8" s="1"/>
  <c r="Z45" i="8" a="1"/>
  <c r="Z45" i="8" s="1"/>
  <c r="AA45" i="8" s="1"/>
  <c r="Y45" i="8" a="1"/>
  <c r="Y45" i="8" s="1"/>
  <c r="Z44" i="8" a="1"/>
  <c r="Z44" i="8" s="1"/>
  <c r="AA44" i="8" s="1"/>
  <c r="Y44" i="8" a="1"/>
  <c r="Y44" i="8" s="1"/>
  <c r="Z43" i="8" a="1"/>
  <c r="Z43" i="8" s="1"/>
  <c r="AA43" i="8" s="1"/>
  <c r="Y43" i="8" a="1"/>
  <c r="Y43" i="8" s="1"/>
  <c r="Z42" i="8" a="1"/>
  <c r="Z42" i="8" s="1"/>
  <c r="AA42" i="8" s="1"/>
  <c r="Y42" i="8" a="1"/>
  <c r="Y42" i="8" s="1"/>
  <c r="Z41" i="8" a="1"/>
  <c r="Z41" i="8" s="1"/>
  <c r="AA41" i="8" s="1"/>
  <c r="Y41" i="8" a="1"/>
  <c r="Y41" i="8" s="1"/>
  <c r="Z40" i="8" a="1"/>
  <c r="Z40" i="8" s="1"/>
  <c r="AA40" i="8" s="1"/>
  <c r="Y40" i="8" a="1"/>
  <c r="Y40" i="8" s="1"/>
  <c r="Z39" i="8" a="1"/>
  <c r="Z39" i="8" s="1"/>
  <c r="AA39" i="8" s="1"/>
  <c r="Y39" i="8" a="1"/>
  <c r="Y39" i="8" s="1"/>
  <c r="Z38" i="8" a="1"/>
  <c r="Z38" i="8" s="1"/>
  <c r="AA38" i="8" s="1"/>
  <c r="Y38" i="8" a="1"/>
  <c r="Y38" i="8" s="1"/>
  <c r="Z37" i="8" a="1"/>
  <c r="Z37" i="8" s="1"/>
  <c r="AA37" i="8" s="1"/>
  <c r="Y37" i="8" a="1"/>
  <c r="Y37" i="8" s="1"/>
  <c r="Z36" i="8" a="1"/>
  <c r="Z36" i="8" s="1"/>
  <c r="AA36" i="8" s="1"/>
  <c r="Y36" i="8" a="1"/>
  <c r="Y36" i="8" s="1"/>
  <c r="Z35" i="8" a="1"/>
  <c r="Z35" i="8" s="1"/>
  <c r="AA35" i="8" s="1"/>
  <c r="Y35" i="8" a="1"/>
  <c r="Y35" i="8" s="1"/>
  <c r="Z34" i="8" a="1"/>
  <c r="Z34" i="8" s="1"/>
  <c r="AA34" i="8" s="1"/>
  <c r="Y34" i="8" a="1"/>
  <c r="Y34" i="8" s="1"/>
  <c r="Z33" i="8" a="1"/>
  <c r="Z33" i="8" s="1"/>
  <c r="AA33" i="8" s="1"/>
  <c r="Y33" i="8" a="1"/>
  <c r="Y33" i="8" s="1"/>
  <c r="Z32" i="8" a="1"/>
  <c r="Z32" i="8" s="1"/>
  <c r="AA32" i="8" s="1"/>
  <c r="Y32" i="8" a="1"/>
  <c r="Y32" i="8" s="1"/>
  <c r="Z31" i="8" a="1"/>
  <c r="Z31" i="8" s="1"/>
  <c r="AA31" i="8" s="1"/>
  <c r="Y31" i="8" a="1"/>
  <c r="Y31" i="8" s="1"/>
  <c r="Z30" i="8" a="1"/>
  <c r="Z30" i="8" s="1"/>
  <c r="AA30" i="8" s="1"/>
  <c r="Y30" i="8" a="1"/>
  <c r="Y30" i="8" s="1"/>
  <c r="Z29" i="8" a="1"/>
  <c r="Z29" i="8" s="1"/>
  <c r="AA29" i="8" s="1"/>
  <c r="Y29" i="8" a="1"/>
  <c r="Y29" i="8" s="1"/>
  <c r="Z28" i="8" a="1"/>
  <c r="Z28" i="8" s="1"/>
  <c r="AA28" i="8" s="1"/>
  <c r="Y28" i="8" a="1"/>
  <c r="Y28" i="8" s="1"/>
  <c r="Z27" i="8" a="1"/>
  <c r="Z27" i="8" s="1"/>
  <c r="AA27" i="8" s="1"/>
  <c r="Y27" i="8" a="1"/>
  <c r="Y27" i="8" s="1"/>
  <c r="Z26" i="8" a="1"/>
  <c r="Z26" i="8" s="1"/>
  <c r="AA26" i="8" s="1"/>
  <c r="Y26" i="8" a="1"/>
  <c r="Y26" i="8" s="1"/>
  <c r="Z25" i="8" a="1"/>
  <c r="Z25" i="8" s="1"/>
  <c r="AA25" i="8" s="1"/>
  <c r="Y25" i="8" a="1"/>
  <c r="Y25" i="8" s="1"/>
  <c r="Z24" i="8" a="1"/>
  <c r="Z24" i="8" s="1"/>
  <c r="AA24" i="8" s="1"/>
  <c r="Y24" i="8" a="1"/>
  <c r="Y24" i="8" s="1"/>
  <c r="Z23" i="8" a="1"/>
  <c r="Z23" i="8" s="1"/>
  <c r="AA23" i="8" s="1"/>
  <c r="Y23" i="8" a="1"/>
  <c r="Y23" i="8" s="1"/>
  <c r="Z22" i="8" a="1"/>
  <c r="Z22" i="8" s="1"/>
  <c r="AA22" i="8" s="1"/>
  <c r="Y22" i="8" a="1"/>
  <c r="Y22" i="8" s="1"/>
  <c r="Z21" i="8" a="1"/>
  <c r="Z21" i="8" s="1"/>
  <c r="AA21" i="8" s="1"/>
  <c r="Y21" i="8" a="1"/>
  <c r="Y21" i="8" s="1"/>
  <c r="Z20" i="8" a="1"/>
  <c r="Z20" i="8" s="1"/>
  <c r="AA20" i="8" s="1"/>
  <c r="Y20" i="8" a="1"/>
  <c r="Y20" i="8" s="1"/>
  <c r="Z19" i="8" a="1"/>
  <c r="Z19" i="8" s="1"/>
  <c r="AA19" i="8" s="1"/>
  <c r="Y19" i="8" a="1"/>
  <c r="Y19" i="8" s="1"/>
  <c r="Z18" i="8" a="1"/>
  <c r="Z18" i="8" s="1"/>
  <c r="AA18" i="8" s="1"/>
  <c r="Y18" i="8" a="1"/>
  <c r="Y18" i="8" s="1"/>
  <c r="Z17" i="8" a="1"/>
  <c r="Z17" i="8" s="1"/>
  <c r="AA17" i="8" s="1"/>
  <c r="Y17" i="8" a="1"/>
  <c r="Y17" i="8" s="1"/>
  <c r="Z16" i="8" a="1"/>
  <c r="Z16" i="8" s="1"/>
  <c r="AA16" i="8" s="1"/>
  <c r="Y16" i="8" a="1"/>
  <c r="Y16" i="8" s="1"/>
  <c r="Z15" i="8" a="1"/>
  <c r="Z15" i="8" s="1"/>
  <c r="AA15" i="8" s="1"/>
  <c r="Y15" i="8" a="1"/>
  <c r="Y15" i="8" s="1"/>
  <c r="Z14" i="8" a="1"/>
  <c r="Z14" i="8" s="1"/>
  <c r="AA14" i="8" s="1"/>
  <c r="Y14" i="8" a="1"/>
  <c r="Y14" i="8" s="1"/>
  <c r="Z13" i="8" a="1"/>
  <c r="Z13" i="8" s="1"/>
  <c r="AA13" i="8" s="1"/>
  <c r="Y13" i="8" a="1"/>
  <c r="Y13" i="8" s="1"/>
  <c r="Z12" i="8" a="1"/>
  <c r="Z12" i="8" s="1"/>
  <c r="AA12" i="8" s="1"/>
  <c r="Y12" i="8" a="1"/>
  <c r="Y12" i="8" s="1"/>
  <c r="Z11" i="8" a="1"/>
  <c r="Z11" i="8" s="1"/>
  <c r="AA11" i="8" s="1"/>
  <c r="Y11" i="8" a="1"/>
  <c r="Y11" i="8" s="1"/>
  <c r="Z10" i="8" a="1"/>
  <c r="Z10" i="8" s="1"/>
  <c r="AA10" i="8" s="1"/>
  <c r="Y10" i="8" a="1"/>
  <c r="Y10" i="8" s="1"/>
  <c r="Z9" i="8" a="1"/>
  <c r="Z9" i="8" s="1"/>
  <c r="AA9" i="8" s="1"/>
  <c r="Y9" i="8" a="1"/>
  <c r="Y9" i="8" s="1"/>
  <c r="Z8" i="8" a="1"/>
  <c r="Z8" i="8" s="1"/>
  <c r="AA8" i="8" s="1"/>
  <c r="Y8" i="8" a="1"/>
  <c r="Y8" i="8" s="1"/>
  <c r="Z7" i="8" a="1"/>
  <c r="Z7" i="8" s="1"/>
  <c r="AA7" i="8" s="1"/>
  <c r="Y7" i="8" a="1"/>
  <c r="Y7" i="8" s="1"/>
  <c r="Z6" i="8" a="1"/>
  <c r="Z6" i="8" s="1"/>
  <c r="AA6" i="8" s="1"/>
  <c r="Y6" i="8" a="1"/>
  <c r="Y6" i="8" s="1"/>
  <c r="Z5" i="8" a="1"/>
  <c r="Z5" i="8" s="1"/>
  <c r="AA5" i="8" s="1"/>
  <c r="Y5" i="8" a="1"/>
  <c r="Y5" i="8" s="1"/>
  <c r="Z4" i="8" a="1"/>
  <c r="Z4" i="8" s="1"/>
  <c r="AA4" i="8" s="1"/>
  <c r="Y4" i="8" a="1"/>
  <c r="Y4" i="8" s="1"/>
  <c r="Z84" i="7" a="1"/>
  <c r="Z84" i="7" s="1"/>
  <c r="AA84" i="7" s="1"/>
  <c r="Y84" i="7" a="1"/>
  <c r="Y84" i="7" s="1"/>
  <c r="Z83" i="7" a="1"/>
  <c r="Z83" i="7" s="1"/>
  <c r="AA83" i="7" s="1"/>
  <c r="Y83" i="7" a="1"/>
  <c r="Y83" i="7" s="1"/>
  <c r="Z82" i="7" a="1"/>
  <c r="Z82" i="7" s="1"/>
  <c r="AA82" i="7" s="1"/>
  <c r="Y82" i="7" a="1"/>
  <c r="Y82" i="7" s="1"/>
  <c r="Z81" i="7" a="1"/>
  <c r="Z81" i="7" s="1"/>
  <c r="AA81" i="7" s="1"/>
  <c r="Y81" i="7" a="1"/>
  <c r="Y81" i="7" s="1"/>
  <c r="Z80" i="7" a="1"/>
  <c r="Z80" i="7" s="1"/>
  <c r="AA80" i="7" s="1"/>
  <c r="Y80" i="7" a="1"/>
  <c r="Y80" i="7" s="1"/>
  <c r="Z79" i="7" a="1"/>
  <c r="Z79" i="7" s="1"/>
  <c r="AA79" i="7" s="1"/>
  <c r="Y79" i="7" a="1"/>
  <c r="Y79" i="7" s="1"/>
  <c r="Z78" i="7" a="1"/>
  <c r="Z78" i="7" s="1"/>
  <c r="AA78" i="7" s="1"/>
  <c r="Y78" i="7" a="1"/>
  <c r="Y78" i="7" s="1"/>
  <c r="Z77" i="7" a="1"/>
  <c r="Z77" i="7" s="1"/>
  <c r="AA77" i="7" s="1"/>
  <c r="Y77" i="7" a="1"/>
  <c r="Y77" i="7" s="1"/>
  <c r="Z76" i="7" a="1"/>
  <c r="Z76" i="7" s="1"/>
  <c r="AA76" i="7" s="1"/>
  <c r="Y76" i="7" a="1"/>
  <c r="Y76" i="7" s="1"/>
  <c r="Z75" i="7" a="1"/>
  <c r="Z75" i="7" s="1"/>
  <c r="AA75" i="7" s="1"/>
  <c r="Y75" i="7" a="1"/>
  <c r="Y75" i="7" s="1"/>
  <c r="Z74" i="7" a="1"/>
  <c r="Z74" i="7" s="1"/>
  <c r="AA74" i="7" s="1"/>
  <c r="Y74" i="7" a="1"/>
  <c r="Y74" i="7" s="1"/>
  <c r="Z73" i="7" a="1"/>
  <c r="Z73" i="7" s="1"/>
  <c r="AA73" i="7" s="1"/>
  <c r="Y73" i="7" a="1"/>
  <c r="Y73" i="7" s="1"/>
  <c r="Z72" i="7" a="1"/>
  <c r="Z72" i="7" s="1"/>
  <c r="AA72" i="7" s="1"/>
  <c r="Y72" i="7" a="1"/>
  <c r="Y72" i="7" s="1"/>
  <c r="Z71" i="7" a="1"/>
  <c r="Z71" i="7" s="1"/>
  <c r="AA71" i="7" s="1"/>
  <c r="Y71" i="7" a="1"/>
  <c r="Y71" i="7" s="1"/>
  <c r="Z70" i="7" a="1"/>
  <c r="Z70" i="7" s="1"/>
  <c r="AA70" i="7" s="1"/>
  <c r="Y70" i="7" a="1"/>
  <c r="Y70" i="7" s="1"/>
  <c r="Z69" i="7" a="1"/>
  <c r="Z69" i="7" s="1"/>
  <c r="AA69" i="7" s="1"/>
  <c r="Y69" i="7" a="1"/>
  <c r="Y69" i="7" s="1"/>
  <c r="Z68" i="7" a="1"/>
  <c r="Z68" i="7" s="1"/>
  <c r="AA68" i="7" s="1"/>
  <c r="Y68" i="7" a="1"/>
  <c r="Y68" i="7" s="1"/>
  <c r="Z67" i="7" a="1"/>
  <c r="Z67" i="7" s="1"/>
  <c r="AA67" i="7" s="1"/>
  <c r="Y67" i="7" a="1"/>
  <c r="Y67" i="7" s="1"/>
  <c r="Z66" i="7" a="1"/>
  <c r="Z66" i="7" s="1"/>
  <c r="AA66" i="7" s="1"/>
  <c r="Y66" i="7" a="1"/>
  <c r="Y66" i="7" s="1"/>
  <c r="Z65" i="7" a="1"/>
  <c r="Z65" i="7" s="1"/>
  <c r="AA65" i="7" s="1"/>
  <c r="Y65" i="7" a="1"/>
  <c r="Y65" i="7" s="1"/>
  <c r="Z64" i="7" a="1"/>
  <c r="Z64" i="7" s="1"/>
  <c r="AA64" i="7" s="1"/>
  <c r="Y64" i="7" a="1"/>
  <c r="Y64" i="7" s="1"/>
  <c r="Z63" i="7" a="1"/>
  <c r="Z63" i="7" s="1"/>
  <c r="AA63" i="7" s="1"/>
  <c r="Y63" i="7" a="1"/>
  <c r="Y63" i="7" s="1"/>
  <c r="Z62" i="7" a="1"/>
  <c r="Z62" i="7" s="1"/>
  <c r="AA62" i="7" s="1"/>
  <c r="Y62" i="7" a="1"/>
  <c r="Y62" i="7" s="1"/>
  <c r="Z61" i="7" a="1"/>
  <c r="Z61" i="7" s="1"/>
  <c r="AA61" i="7" s="1"/>
  <c r="Y61" i="7" a="1"/>
  <c r="Y61" i="7" s="1"/>
  <c r="Z60" i="7" a="1"/>
  <c r="Z60" i="7" s="1"/>
  <c r="AA60" i="7" s="1"/>
  <c r="Y60" i="7" a="1"/>
  <c r="Y60" i="7" s="1"/>
  <c r="Z59" i="7" a="1"/>
  <c r="Z59" i="7" s="1"/>
  <c r="AA59" i="7" s="1"/>
  <c r="Y59" i="7" a="1"/>
  <c r="Y59" i="7" s="1"/>
  <c r="Z58" i="7" a="1"/>
  <c r="Z58" i="7" s="1"/>
  <c r="AA58" i="7" s="1"/>
  <c r="Y58" i="7" a="1"/>
  <c r="Y58" i="7" s="1"/>
  <c r="Z57" i="7" a="1"/>
  <c r="Z57" i="7" s="1"/>
  <c r="AA57" i="7" s="1"/>
  <c r="Y57" i="7" a="1"/>
  <c r="Y57" i="7" s="1"/>
  <c r="Z56" i="7" a="1"/>
  <c r="Z56" i="7" s="1"/>
  <c r="AA56" i="7" s="1"/>
  <c r="Y56" i="7" a="1"/>
  <c r="Y56" i="7" s="1"/>
  <c r="Z55" i="7" a="1"/>
  <c r="Z55" i="7" s="1"/>
  <c r="AA55" i="7" s="1"/>
  <c r="Y55" i="7" a="1"/>
  <c r="Y55" i="7" s="1"/>
  <c r="Z54" i="7" a="1"/>
  <c r="Z54" i="7" s="1"/>
  <c r="AA54" i="7" s="1"/>
  <c r="Y54" i="7" a="1"/>
  <c r="Y54" i="7" s="1"/>
  <c r="Z53" i="7" a="1"/>
  <c r="Z53" i="7" s="1"/>
  <c r="AA53" i="7" s="1"/>
  <c r="Y53" i="7" a="1"/>
  <c r="Y53" i="7" s="1"/>
  <c r="Z52" i="7" a="1"/>
  <c r="Z52" i="7" s="1"/>
  <c r="AA52" i="7" s="1"/>
  <c r="Y52" i="7" a="1"/>
  <c r="Y52" i="7" s="1"/>
  <c r="Z51" i="7" a="1"/>
  <c r="Z51" i="7" s="1"/>
  <c r="AA51" i="7" s="1"/>
  <c r="Y51" i="7" a="1"/>
  <c r="Y51" i="7" s="1"/>
  <c r="Z50" i="7" a="1"/>
  <c r="Z50" i="7" s="1"/>
  <c r="AA50" i="7" s="1"/>
  <c r="Y50" i="7" a="1"/>
  <c r="Y50" i="7" s="1"/>
  <c r="Z49" i="7" a="1"/>
  <c r="Z49" i="7" s="1"/>
  <c r="AA49" i="7" s="1"/>
  <c r="Y49" i="7" a="1"/>
  <c r="Y49" i="7" s="1"/>
  <c r="Z48" i="7" a="1"/>
  <c r="Z48" i="7" s="1"/>
  <c r="AA48" i="7" s="1"/>
  <c r="Y48" i="7" a="1"/>
  <c r="Y48" i="7" s="1"/>
  <c r="Z47" i="7" a="1"/>
  <c r="Z47" i="7" s="1"/>
  <c r="AA47" i="7" s="1"/>
  <c r="Y47" i="7" a="1"/>
  <c r="Y47" i="7" s="1"/>
  <c r="Z46" i="7" a="1"/>
  <c r="Z46" i="7" s="1"/>
  <c r="AA46" i="7" s="1"/>
  <c r="Y46" i="7" a="1"/>
  <c r="Y46" i="7" s="1"/>
  <c r="Z45" i="7" a="1"/>
  <c r="Z45" i="7" s="1"/>
  <c r="AA45" i="7" s="1"/>
  <c r="Y45" i="7" a="1"/>
  <c r="Y45" i="7" s="1"/>
  <c r="Z44" i="7" a="1"/>
  <c r="Z44" i="7" s="1"/>
  <c r="AA44" i="7" s="1"/>
  <c r="Y44" i="7" a="1"/>
  <c r="Y44" i="7" s="1"/>
  <c r="Z43" i="7" a="1"/>
  <c r="Z43" i="7" s="1"/>
  <c r="AA43" i="7" s="1"/>
  <c r="Y43" i="7" a="1"/>
  <c r="Y43" i="7" s="1"/>
  <c r="Z42" i="7" a="1"/>
  <c r="Z42" i="7" s="1"/>
  <c r="AA42" i="7" s="1"/>
  <c r="Y42" i="7" a="1"/>
  <c r="Y42" i="7" s="1"/>
  <c r="Z41" i="7" a="1"/>
  <c r="Z41" i="7" s="1"/>
  <c r="AA41" i="7" s="1"/>
  <c r="Y41" i="7" a="1"/>
  <c r="Y41" i="7" s="1"/>
  <c r="Z40" i="7" a="1"/>
  <c r="Z40" i="7" s="1"/>
  <c r="AA40" i="7" s="1"/>
  <c r="Y40" i="7" a="1"/>
  <c r="Y40" i="7" s="1"/>
  <c r="Z39" i="7" a="1"/>
  <c r="Z39" i="7" s="1"/>
  <c r="AA39" i="7" s="1"/>
  <c r="Y39" i="7" a="1"/>
  <c r="Y39" i="7" s="1"/>
  <c r="Z38" i="7" a="1"/>
  <c r="Z38" i="7" s="1"/>
  <c r="AA38" i="7" s="1"/>
  <c r="Y38" i="7" a="1"/>
  <c r="Y38" i="7" s="1"/>
  <c r="Z37" i="7" a="1"/>
  <c r="Z37" i="7" s="1"/>
  <c r="AA37" i="7" s="1"/>
  <c r="Y37" i="7" a="1"/>
  <c r="Y37" i="7" s="1"/>
  <c r="Z36" i="7" a="1"/>
  <c r="Z36" i="7" s="1"/>
  <c r="AA36" i="7" s="1"/>
  <c r="Y36" i="7" a="1"/>
  <c r="Y36" i="7" s="1"/>
  <c r="Z35" i="7" a="1"/>
  <c r="Z35" i="7" s="1"/>
  <c r="AA35" i="7" s="1"/>
  <c r="Y35" i="7" a="1"/>
  <c r="Y35" i="7" s="1"/>
  <c r="Z34" i="7" a="1"/>
  <c r="Z34" i="7" s="1"/>
  <c r="AA34" i="7" s="1"/>
  <c r="Y34" i="7" a="1"/>
  <c r="Y34" i="7" s="1"/>
  <c r="Z33" i="7" a="1"/>
  <c r="Z33" i="7" s="1"/>
  <c r="AA33" i="7" s="1"/>
  <c r="Y33" i="7" a="1"/>
  <c r="Y33" i="7" s="1"/>
  <c r="Z32" i="7" a="1"/>
  <c r="Z32" i="7" s="1"/>
  <c r="AA32" i="7" s="1"/>
  <c r="Y32" i="7" a="1"/>
  <c r="Y32" i="7" s="1"/>
  <c r="Z31" i="7" a="1"/>
  <c r="Z31" i="7" s="1"/>
  <c r="AA31" i="7" s="1"/>
  <c r="Y31" i="7" a="1"/>
  <c r="Y31" i="7" s="1"/>
  <c r="Z30" i="7" a="1"/>
  <c r="Z30" i="7" s="1"/>
  <c r="AA30" i="7" s="1"/>
  <c r="Y30" i="7" a="1"/>
  <c r="Y30" i="7" s="1"/>
  <c r="Z29" i="7" a="1"/>
  <c r="Z29" i="7" s="1"/>
  <c r="AA29" i="7" s="1"/>
  <c r="Y29" i="7" a="1"/>
  <c r="Y29" i="7" s="1"/>
  <c r="Z28" i="7" a="1"/>
  <c r="Z28" i="7" s="1"/>
  <c r="AA28" i="7" s="1"/>
  <c r="Y28" i="7" a="1"/>
  <c r="Y28" i="7" s="1"/>
  <c r="Z27" i="7" a="1"/>
  <c r="Z27" i="7" s="1"/>
  <c r="AA27" i="7" s="1"/>
  <c r="Y27" i="7" a="1"/>
  <c r="Y27" i="7" s="1"/>
  <c r="Z26" i="7" a="1"/>
  <c r="Z26" i="7" s="1"/>
  <c r="AA26" i="7" s="1"/>
  <c r="Y26" i="7" a="1"/>
  <c r="Y26" i="7" s="1"/>
  <c r="Z25" i="7" a="1"/>
  <c r="Z25" i="7" s="1"/>
  <c r="AA25" i="7" s="1"/>
  <c r="Y25" i="7" a="1"/>
  <c r="Y25" i="7" s="1"/>
  <c r="Z24" i="7" a="1"/>
  <c r="Z24" i="7" s="1"/>
  <c r="AA24" i="7" s="1"/>
  <c r="Y24" i="7" a="1"/>
  <c r="Y24" i="7" s="1"/>
  <c r="Z23" i="7" a="1"/>
  <c r="Z23" i="7" s="1"/>
  <c r="AA23" i="7" s="1"/>
  <c r="Y23" i="7" a="1"/>
  <c r="Y23" i="7" s="1"/>
  <c r="Z22" i="7" a="1"/>
  <c r="Z22" i="7" s="1"/>
  <c r="AA22" i="7" s="1"/>
  <c r="Y22" i="7" a="1"/>
  <c r="Y22" i="7" s="1"/>
  <c r="Z21" i="7" a="1"/>
  <c r="Z21" i="7" s="1"/>
  <c r="AA21" i="7" s="1"/>
  <c r="Y21" i="7" a="1"/>
  <c r="Y21" i="7" s="1"/>
  <c r="Z20" i="7" a="1"/>
  <c r="Z20" i="7" s="1"/>
  <c r="AA20" i="7" s="1"/>
  <c r="Y20" i="7" a="1"/>
  <c r="Y20" i="7" s="1"/>
  <c r="Z19" i="7" a="1"/>
  <c r="Z19" i="7" s="1"/>
  <c r="AA19" i="7" s="1"/>
  <c r="Y19" i="7" a="1"/>
  <c r="Y19" i="7" s="1"/>
  <c r="Z18" i="7" a="1"/>
  <c r="Z18" i="7" s="1"/>
  <c r="AA18" i="7" s="1"/>
  <c r="Y18" i="7" a="1"/>
  <c r="Y18" i="7" s="1"/>
  <c r="Z17" i="7" a="1"/>
  <c r="Z17" i="7" s="1"/>
  <c r="AA17" i="7" s="1"/>
  <c r="Y17" i="7" a="1"/>
  <c r="Y17" i="7" s="1"/>
  <c r="Z16" i="7" a="1"/>
  <c r="Z16" i="7" s="1"/>
  <c r="AA16" i="7" s="1"/>
  <c r="Y16" i="7" a="1"/>
  <c r="Y16" i="7" s="1"/>
  <c r="Z15" i="7" a="1"/>
  <c r="Z15" i="7" s="1"/>
  <c r="AA15" i="7" s="1"/>
  <c r="Y15" i="7" a="1"/>
  <c r="Y15" i="7" s="1"/>
  <c r="Z14" i="7" a="1"/>
  <c r="Z14" i="7" s="1"/>
  <c r="AA14" i="7" s="1"/>
  <c r="Y14" i="7" a="1"/>
  <c r="Y14" i="7" s="1"/>
  <c r="Z13" i="7" a="1"/>
  <c r="Z13" i="7" s="1"/>
  <c r="AA13" i="7" s="1"/>
  <c r="Y13" i="7" a="1"/>
  <c r="Y13" i="7" s="1"/>
  <c r="Z12" i="7" a="1"/>
  <c r="Z12" i="7" s="1"/>
  <c r="AA12" i="7" s="1"/>
  <c r="Y12" i="7" a="1"/>
  <c r="Y12" i="7" s="1"/>
  <c r="Z11" i="7" a="1"/>
  <c r="Z11" i="7" s="1"/>
  <c r="AA11" i="7" s="1"/>
  <c r="Y11" i="7" a="1"/>
  <c r="Y11" i="7" s="1"/>
  <c r="Z10" i="7" a="1"/>
  <c r="Z10" i="7" s="1"/>
  <c r="AA10" i="7" s="1"/>
  <c r="Y10" i="7" a="1"/>
  <c r="Y10" i="7" s="1"/>
  <c r="Z9" i="7" a="1"/>
  <c r="Z9" i="7" s="1"/>
  <c r="AA9" i="7" s="1"/>
  <c r="Y9" i="7" a="1"/>
  <c r="Y9" i="7" s="1"/>
  <c r="Z8" i="7" a="1"/>
  <c r="Z8" i="7" s="1"/>
  <c r="AA8" i="7" s="1"/>
  <c r="Y8" i="7" a="1"/>
  <c r="Y8" i="7" s="1"/>
  <c r="Z7" i="7" a="1"/>
  <c r="Z7" i="7" s="1"/>
  <c r="AA7" i="7" s="1"/>
  <c r="Y7" i="7" a="1"/>
  <c r="Y7" i="7" s="1"/>
  <c r="Z6" i="7" a="1"/>
  <c r="Z6" i="7" s="1"/>
  <c r="AA6" i="7" s="1"/>
  <c r="Y6" i="7" a="1"/>
  <c r="Y6" i="7" s="1"/>
  <c r="Z5" i="7" a="1"/>
  <c r="Z5" i="7" s="1"/>
  <c r="AA5" i="7" s="1"/>
  <c r="Y5" i="7" a="1"/>
  <c r="Y5" i="7" s="1"/>
  <c r="Z4" i="7" a="1"/>
  <c r="Z4" i="7" s="1"/>
  <c r="AA4" i="7" s="1"/>
  <c r="Y4" i="7" a="1"/>
  <c r="Y4" i="7" s="1"/>
  <c r="Y5" i="3" a="1"/>
  <c r="Y5" i="3" s="1"/>
  <c r="Z5" i="3" a="1"/>
  <c r="Z5" i="3" s="1"/>
  <c r="AA5" i="3" s="1"/>
  <c r="Y6" i="3" a="1"/>
  <c r="Y6" i="3" s="1"/>
  <c r="Z6" i="3" a="1"/>
  <c r="Z6" i="3" s="1"/>
  <c r="AA6" i="3" s="1"/>
  <c r="Y7" i="3" a="1"/>
  <c r="Y7" i="3" s="1"/>
  <c r="Z7" i="3" a="1"/>
  <c r="Z7" i="3" s="1"/>
  <c r="AA7" i="3" s="1"/>
  <c r="Y8" i="3" a="1"/>
  <c r="Y8" i="3" s="1"/>
  <c r="Z8" i="3" a="1"/>
  <c r="Z8" i="3" s="1"/>
  <c r="AA8" i="3" s="1"/>
  <c r="Y9" i="3" a="1"/>
  <c r="Y9" i="3" s="1"/>
  <c r="Z9" i="3" a="1"/>
  <c r="Z9" i="3" s="1"/>
  <c r="AA9" i="3" s="1"/>
  <c r="Y10" i="3" a="1"/>
  <c r="Y10" i="3" s="1"/>
  <c r="Z10" i="3" a="1"/>
  <c r="Z10" i="3" s="1"/>
  <c r="AA10" i="3" s="1"/>
  <c r="Y11" i="3" a="1"/>
  <c r="Y11" i="3" s="1"/>
  <c r="Z11" i="3" a="1"/>
  <c r="Z11" i="3" s="1"/>
  <c r="AA11" i="3" s="1"/>
  <c r="Y12" i="3" a="1"/>
  <c r="Y12" i="3" s="1"/>
  <c r="Z12" i="3" a="1"/>
  <c r="Z12" i="3" s="1"/>
  <c r="AA12" i="3" s="1"/>
  <c r="Y13" i="3" a="1"/>
  <c r="Y13" i="3" s="1"/>
  <c r="Z13" i="3" a="1"/>
  <c r="Z13" i="3" s="1"/>
  <c r="AA13" i="3" s="1"/>
  <c r="Y14" i="3" a="1"/>
  <c r="Y14" i="3" s="1"/>
  <c r="Z14" i="3" a="1"/>
  <c r="Z14" i="3" s="1"/>
  <c r="AA14" i="3" s="1"/>
  <c r="Y15" i="3" a="1"/>
  <c r="Y15" i="3" s="1"/>
  <c r="Z15" i="3" a="1"/>
  <c r="Z15" i="3" s="1"/>
  <c r="AA15" i="3" s="1"/>
  <c r="Y16" i="3" a="1"/>
  <c r="Y16" i="3" s="1"/>
  <c r="Z16" i="3" a="1"/>
  <c r="Z16" i="3" s="1"/>
  <c r="AA16" i="3" s="1"/>
  <c r="Y17" i="3" a="1"/>
  <c r="Y17" i="3" s="1"/>
  <c r="Z17" i="3" a="1"/>
  <c r="Z17" i="3" s="1"/>
  <c r="AA17" i="3" s="1"/>
  <c r="Y18" i="3" a="1"/>
  <c r="Y18" i="3" s="1"/>
  <c r="Z18" i="3" a="1"/>
  <c r="Z18" i="3" s="1"/>
  <c r="AA18" i="3" s="1"/>
  <c r="Y19" i="3" a="1"/>
  <c r="Y19" i="3" s="1"/>
  <c r="Z19" i="3" a="1"/>
  <c r="Z19" i="3" s="1"/>
  <c r="AA19" i="3" s="1"/>
  <c r="Y20" i="3" a="1"/>
  <c r="Y20" i="3" s="1"/>
  <c r="Z20" i="3" a="1"/>
  <c r="Z20" i="3" s="1"/>
  <c r="AA20" i="3" s="1"/>
  <c r="Y21" i="3" a="1"/>
  <c r="Y21" i="3" s="1"/>
  <c r="Z21" i="3" a="1"/>
  <c r="Z21" i="3" s="1"/>
  <c r="AA21" i="3" s="1"/>
  <c r="Y22" i="3" a="1"/>
  <c r="Y22" i="3" s="1"/>
  <c r="Z22" i="3" a="1"/>
  <c r="Z22" i="3" s="1"/>
  <c r="AA22" i="3" s="1"/>
  <c r="Y23" i="3" a="1"/>
  <c r="Y23" i="3" s="1"/>
  <c r="Z23" i="3" a="1"/>
  <c r="Z23" i="3" s="1"/>
  <c r="AA23" i="3" s="1"/>
  <c r="Y24" i="3" a="1"/>
  <c r="Y24" i="3" s="1"/>
  <c r="Z24" i="3" a="1"/>
  <c r="Z24" i="3" s="1"/>
  <c r="AA24" i="3" s="1"/>
  <c r="Y25" i="3" a="1"/>
  <c r="Y25" i="3" s="1"/>
  <c r="Z25" i="3" a="1"/>
  <c r="Z25" i="3" s="1"/>
  <c r="AA25" i="3" s="1"/>
  <c r="Y26" i="3" a="1"/>
  <c r="Y26" i="3" s="1"/>
  <c r="Z26" i="3" a="1"/>
  <c r="Z26" i="3" s="1"/>
  <c r="AA26" i="3" s="1"/>
  <c r="Y27" i="3" a="1"/>
  <c r="Y27" i="3" s="1"/>
  <c r="Z27" i="3" a="1"/>
  <c r="Z27" i="3" s="1"/>
  <c r="AA27" i="3" s="1"/>
  <c r="Y28" i="3" a="1"/>
  <c r="Y28" i="3" s="1"/>
  <c r="Z28" i="3" a="1"/>
  <c r="Z28" i="3" s="1"/>
  <c r="AA28" i="3" s="1"/>
  <c r="Y29" i="3" a="1"/>
  <c r="Y29" i="3" s="1"/>
  <c r="Z29" i="3" a="1"/>
  <c r="Z29" i="3" s="1"/>
  <c r="AA29" i="3" s="1"/>
  <c r="Y30" i="3" a="1"/>
  <c r="Y30" i="3" s="1"/>
  <c r="Z30" i="3" a="1"/>
  <c r="Z30" i="3" s="1"/>
  <c r="AA30" i="3" s="1"/>
  <c r="Y31" i="3" a="1"/>
  <c r="Y31" i="3" s="1"/>
  <c r="Z31" i="3" a="1"/>
  <c r="Z31" i="3" s="1"/>
  <c r="AA31" i="3" s="1"/>
  <c r="Y32" i="3" a="1"/>
  <c r="Y32" i="3" s="1"/>
  <c r="Z32" i="3" a="1"/>
  <c r="Z32" i="3" s="1"/>
  <c r="AA32" i="3" s="1"/>
  <c r="Y33" i="3" a="1"/>
  <c r="Y33" i="3" s="1"/>
  <c r="Z33" i="3" a="1"/>
  <c r="Z33" i="3" s="1"/>
  <c r="AA33" i="3" s="1"/>
  <c r="Y34" i="3" a="1"/>
  <c r="Y34" i="3" s="1"/>
  <c r="Z34" i="3" a="1"/>
  <c r="Z34" i="3" s="1"/>
  <c r="AA34" i="3" s="1"/>
  <c r="Y35" i="3" a="1"/>
  <c r="Y35" i="3" s="1"/>
  <c r="Z35" i="3" a="1"/>
  <c r="Z35" i="3" s="1"/>
  <c r="AA35" i="3" s="1"/>
  <c r="Y36" i="3" a="1"/>
  <c r="Y36" i="3" s="1"/>
  <c r="Z36" i="3" a="1"/>
  <c r="Z36" i="3" s="1"/>
  <c r="AA36" i="3" s="1"/>
  <c r="Y37" i="3" a="1"/>
  <c r="Y37" i="3" s="1"/>
  <c r="Z37" i="3" a="1"/>
  <c r="Z37" i="3" s="1"/>
  <c r="AA37" i="3" s="1"/>
  <c r="Y38" i="3" a="1"/>
  <c r="Y38" i="3" s="1"/>
  <c r="Z38" i="3" a="1"/>
  <c r="Z38" i="3" s="1"/>
  <c r="AA38" i="3" s="1"/>
  <c r="Y39" i="3" a="1"/>
  <c r="Y39" i="3" s="1"/>
  <c r="Z39" i="3" a="1"/>
  <c r="Z39" i="3" s="1"/>
  <c r="AA39" i="3" s="1"/>
  <c r="Y40" i="3" a="1"/>
  <c r="Y40" i="3" s="1"/>
  <c r="Z40" i="3" a="1"/>
  <c r="Z40" i="3" s="1"/>
  <c r="AA40" i="3" s="1"/>
  <c r="Y41" i="3" a="1"/>
  <c r="Y41" i="3" s="1"/>
  <c r="Z41" i="3" a="1"/>
  <c r="Z41" i="3" s="1"/>
  <c r="AA41" i="3" s="1"/>
  <c r="Y42" i="3" a="1"/>
  <c r="Y42" i="3" s="1"/>
  <c r="Z42" i="3" a="1"/>
  <c r="Z42" i="3" s="1"/>
  <c r="AA42" i="3" s="1"/>
  <c r="Y43" i="3" a="1"/>
  <c r="Y43" i="3" s="1"/>
  <c r="Z43" i="3" a="1"/>
  <c r="Z43" i="3" s="1"/>
  <c r="AA43" i="3" s="1"/>
  <c r="Y44" i="3" a="1"/>
  <c r="Y44" i="3" s="1"/>
  <c r="Z44" i="3" a="1"/>
  <c r="Z44" i="3" s="1"/>
  <c r="AA44" i="3" s="1"/>
  <c r="Y45" i="3" a="1"/>
  <c r="Y45" i="3" s="1"/>
  <c r="Z45" i="3" a="1"/>
  <c r="Z45" i="3" s="1"/>
  <c r="AA45" i="3" s="1"/>
  <c r="Y46" i="3" a="1"/>
  <c r="Y46" i="3" s="1"/>
  <c r="Z46" i="3" a="1"/>
  <c r="Z46" i="3" s="1"/>
  <c r="AA46" i="3" s="1"/>
  <c r="Y47" i="3" a="1"/>
  <c r="Y47" i="3" s="1"/>
  <c r="Z47" i="3" a="1"/>
  <c r="Z47" i="3" s="1"/>
  <c r="AA47" i="3" s="1"/>
  <c r="Y48" i="3" a="1"/>
  <c r="Y48" i="3" s="1"/>
  <c r="Z48" i="3" a="1"/>
  <c r="Z48" i="3" s="1"/>
  <c r="AA48" i="3" s="1"/>
  <c r="Y49" i="3" a="1"/>
  <c r="Y49" i="3" s="1"/>
  <c r="Z49" i="3" a="1"/>
  <c r="Z49" i="3"/>
  <c r="AA49" i="3" s="1"/>
  <c r="Y50" i="3" a="1"/>
  <c r="Y50" i="3" s="1"/>
  <c r="Z50" i="3" a="1"/>
  <c r="Z50" i="3" s="1"/>
  <c r="AA50" i="3" s="1"/>
  <c r="Y51" i="3" a="1"/>
  <c r="Y51" i="3" s="1"/>
  <c r="Z51" i="3" a="1"/>
  <c r="Z51" i="3" s="1"/>
  <c r="AA51" i="3" s="1"/>
  <c r="Y52" i="3" a="1"/>
  <c r="Y52" i="3" s="1"/>
  <c r="Z52" i="3" a="1"/>
  <c r="Z52" i="3" s="1"/>
  <c r="AA52" i="3" s="1"/>
  <c r="Y53" i="3" a="1"/>
  <c r="Y53" i="3" s="1"/>
  <c r="Z53" i="3" a="1"/>
  <c r="Z53" i="3" s="1"/>
  <c r="AA53" i="3" s="1"/>
  <c r="Y54" i="3" a="1"/>
  <c r="Y54" i="3" s="1"/>
  <c r="Z54" i="3" a="1"/>
  <c r="Z54" i="3" s="1"/>
  <c r="AA54" i="3" s="1"/>
  <c r="Y55" i="3" a="1"/>
  <c r="Y55" i="3" s="1"/>
  <c r="Z55" i="3" a="1"/>
  <c r="Z55" i="3" s="1"/>
  <c r="AA55" i="3" s="1"/>
  <c r="Y56" i="3" a="1"/>
  <c r="Y56" i="3" s="1"/>
  <c r="Z56" i="3" a="1"/>
  <c r="Z56" i="3" s="1"/>
  <c r="AA56" i="3" s="1"/>
  <c r="Y57" i="3" a="1"/>
  <c r="Y57" i="3" s="1"/>
  <c r="Z57" i="3" a="1"/>
  <c r="Z57" i="3" s="1"/>
  <c r="AA57" i="3" s="1"/>
  <c r="Y58" i="3" a="1"/>
  <c r="Y58" i="3" s="1"/>
  <c r="Z58" i="3" a="1"/>
  <c r="Z58" i="3" s="1"/>
  <c r="AA58" i="3" s="1"/>
  <c r="Y59" i="3" a="1"/>
  <c r="Y59" i="3" s="1"/>
  <c r="Z59" i="3" a="1"/>
  <c r="Z59" i="3" s="1"/>
  <c r="AA59" i="3" s="1"/>
  <c r="Y60" i="3" a="1"/>
  <c r="Y60" i="3" s="1"/>
  <c r="Z60" i="3" a="1"/>
  <c r="Z60" i="3" s="1"/>
  <c r="AA60" i="3" s="1"/>
  <c r="Y61" i="3" a="1"/>
  <c r="Y61" i="3" s="1"/>
  <c r="Z61" i="3" a="1"/>
  <c r="Z61" i="3" s="1"/>
  <c r="AA61" i="3" s="1"/>
  <c r="Y62" i="3" a="1"/>
  <c r="Y62" i="3" s="1"/>
  <c r="Z62" i="3" a="1"/>
  <c r="Z62" i="3" s="1"/>
  <c r="AA62" i="3" s="1"/>
  <c r="Y63" i="3" a="1"/>
  <c r="Y63" i="3"/>
  <c r="Z63" i="3" a="1"/>
  <c r="Z63" i="3" s="1"/>
  <c r="AA63" i="3" s="1"/>
  <c r="Y64" i="3" a="1"/>
  <c r="Y64" i="3" s="1"/>
  <c r="Z64" i="3" a="1"/>
  <c r="Z64" i="3" s="1"/>
  <c r="AA64" i="3" s="1"/>
  <c r="Y65" i="3" a="1"/>
  <c r="Y65" i="3" s="1"/>
  <c r="Z65" i="3" a="1"/>
  <c r="Z65" i="3" s="1"/>
  <c r="AA65" i="3" s="1"/>
  <c r="Y66" i="3" a="1"/>
  <c r="Y66" i="3" s="1"/>
  <c r="Z66" i="3" a="1"/>
  <c r="Z66" i="3" s="1"/>
  <c r="AA66" i="3" s="1"/>
  <c r="Y67" i="3" a="1"/>
  <c r="Y67" i="3" s="1"/>
  <c r="Z67" i="3" a="1"/>
  <c r="Z67" i="3" s="1"/>
  <c r="AA67" i="3" s="1"/>
  <c r="Y68" i="3" a="1"/>
  <c r="Y68" i="3" s="1"/>
  <c r="Z68" i="3" a="1"/>
  <c r="Z68" i="3" s="1"/>
  <c r="AA68" i="3" s="1"/>
  <c r="Y69" i="3" a="1"/>
  <c r="Y69" i="3" s="1"/>
  <c r="Z69" i="3" a="1"/>
  <c r="Z69" i="3" s="1"/>
  <c r="AA69" i="3" s="1"/>
  <c r="Y70" i="3" a="1"/>
  <c r="Y70" i="3" s="1"/>
  <c r="Z70" i="3" a="1"/>
  <c r="Z70" i="3" s="1"/>
  <c r="AA70" i="3" s="1"/>
  <c r="Y71" i="3" a="1"/>
  <c r="Y71" i="3" s="1"/>
  <c r="Z71" i="3" a="1"/>
  <c r="Z71" i="3" s="1"/>
  <c r="AA71" i="3" s="1"/>
  <c r="Y72" i="3" a="1"/>
  <c r="Y72" i="3" s="1"/>
  <c r="Z72" i="3" a="1"/>
  <c r="Z72" i="3" s="1"/>
  <c r="AA72" i="3" s="1"/>
  <c r="Y73" i="3" a="1"/>
  <c r="Y73" i="3" s="1"/>
  <c r="Z73" i="3" a="1"/>
  <c r="Z73" i="3" s="1"/>
  <c r="AA73" i="3" s="1"/>
  <c r="Y74" i="3" a="1"/>
  <c r="Y74" i="3" s="1"/>
  <c r="Z74" i="3" a="1"/>
  <c r="Z74" i="3" s="1"/>
  <c r="AA74" i="3" s="1"/>
  <c r="Y75" i="3" a="1"/>
  <c r="Y75" i="3" s="1"/>
  <c r="Z75" i="3" a="1"/>
  <c r="Z75" i="3" s="1"/>
  <c r="AA75" i="3" s="1"/>
  <c r="Y76" i="3" a="1"/>
  <c r="Y76" i="3" s="1"/>
  <c r="Z76" i="3" a="1"/>
  <c r="Z76" i="3" s="1"/>
  <c r="AA76" i="3" s="1"/>
  <c r="Y77" i="3" a="1"/>
  <c r="Y77" i="3" s="1"/>
  <c r="Z77" i="3" a="1"/>
  <c r="Z77" i="3" s="1"/>
  <c r="AA77" i="3" s="1"/>
  <c r="Y78" i="3" a="1"/>
  <c r="Y78" i="3" s="1"/>
  <c r="Z78" i="3" a="1"/>
  <c r="Z78" i="3" s="1"/>
  <c r="AA78" i="3" s="1"/>
  <c r="Y79" i="3" a="1"/>
  <c r="Y79" i="3" s="1"/>
  <c r="Z79" i="3" a="1"/>
  <c r="Z79" i="3" s="1"/>
  <c r="AA79" i="3" s="1"/>
  <c r="Y80" i="3" a="1"/>
  <c r="Y80" i="3" s="1"/>
  <c r="Z80" i="3" a="1"/>
  <c r="Z80" i="3" s="1"/>
  <c r="AA80" i="3" s="1"/>
  <c r="Y81" i="3" a="1"/>
  <c r="Y81" i="3" s="1"/>
  <c r="Z81" i="3" a="1"/>
  <c r="Z81" i="3" s="1"/>
  <c r="AA81" i="3" s="1"/>
  <c r="Y82" i="3" a="1"/>
  <c r="Y82" i="3" s="1"/>
  <c r="Z82" i="3" a="1"/>
  <c r="Z82" i="3" s="1"/>
  <c r="AA82" i="3" s="1"/>
  <c r="Y83" i="3" a="1"/>
  <c r="Y83" i="3" s="1"/>
  <c r="Z83" i="3" a="1"/>
  <c r="Z83" i="3" s="1"/>
  <c r="AA83" i="3" s="1"/>
  <c r="Y84" i="3" a="1"/>
  <c r="Y84" i="3" s="1"/>
  <c r="Z84" i="3" a="1"/>
  <c r="Z84" i="3" s="1"/>
  <c r="AA84" i="3" s="1"/>
  <c r="Z4" i="3" a="1"/>
  <c r="Z4" i="3" s="1"/>
  <c r="AA4" i="3" s="1"/>
  <c r="Y4" i="3" a="1"/>
  <c r="Y4" i="3" s="1"/>
  <c r="AC11" i="7" l="1"/>
  <c r="AC19" i="7"/>
  <c r="AC71" i="3"/>
  <c r="AB68" i="3"/>
  <c r="AC15" i="3"/>
  <c r="AC79" i="3"/>
  <c r="AB83" i="3"/>
  <c r="AB18" i="3"/>
  <c r="AC58" i="7"/>
  <c r="AB61" i="3"/>
  <c r="AB52" i="7"/>
  <c r="AC56" i="3"/>
  <c r="AC28" i="3"/>
  <c r="AC35" i="3"/>
  <c r="AB58" i="8"/>
  <c r="AB71" i="3"/>
  <c r="AC35" i="7"/>
  <c r="AB72" i="7"/>
  <c r="AN5" i="7"/>
  <c r="AL5" i="7"/>
  <c r="AC59" i="3"/>
  <c r="AK5" i="7"/>
  <c r="AB48" i="3"/>
  <c r="AC34" i="7"/>
  <c r="AJ5" i="7"/>
  <c r="AC15" i="7"/>
  <c r="AN6" i="7"/>
  <c r="AG5" i="7"/>
  <c r="AB78" i="3"/>
  <c r="AM6" i="7"/>
  <c r="AF5" i="7"/>
  <c r="AB28" i="3"/>
  <c r="AB25" i="3"/>
  <c r="AI5" i="7"/>
  <c r="AB75" i="3"/>
  <c r="AB23" i="3"/>
  <c r="AL6" i="7"/>
  <c r="AM4" i="7"/>
  <c r="AC81" i="3"/>
  <c r="AK6" i="7"/>
  <c r="AL4" i="7"/>
  <c r="AC21" i="3"/>
  <c r="AB17" i="3"/>
  <c r="AB26" i="7"/>
  <c r="AI6" i="7"/>
  <c r="AJ4" i="7"/>
  <c r="AC55" i="3"/>
  <c r="AC74" i="3"/>
  <c r="AC41" i="3"/>
  <c r="AB11" i="3"/>
  <c r="AC22" i="7"/>
  <c r="AH6" i="7"/>
  <c r="AI4" i="7"/>
  <c r="AC45" i="3"/>
  <c r="AB77" i="3"/>
  <c r="AC66" i="7"/>
  <c r="AE6" i="7"/>
  <c r="AG4" i="7"/>
  <c r="AC48" i="3"/>
  <c r="AB39" i="3"/>
  <c r="AC39" i="3"/>
  <c r="AC68" i="3"/>
  <c r="AB65" i="3"/>
  <c r="AC65" i="3"/>
  <c r="AB19" i="3"/>
  <c r="AC6" i="7"/>
  <c r="AB70" i="3"/>
  <c r="AC16" i="3"/>
  <c r="AC61" i="3"/>
  <c r="AB57" i="3"/>
  <c r="AB74" i="3"/>
  <c r="AB50" i="8"/>
  <c r="AB50" i="3"/>
  <c r="AB58" i="3"/>
  <c r="AB55" i="3"/>
  <c r="AB45" i="3"/>
  <c r="AB79" i="3"/>
  <c r="AC75" i="3"/>
  <c r="AC25" i="3"/>
  <c r="AC41" i="7"/>
  <c r="AB38" i="3"/>
  <c r="AG6" i="7"/>
  <c r="AE5" i="7"/>
  <c r="AF6" i="7"/>
  <c r="AN4" i="7"/>
  <c r="AM5" i="7"/>
  <c r="AK4" i="7"/>
  <c r="AC26" i="7"/>
  <c r="AB34" i="3"/>
  <c r="AC18" i="3"/>
  <c r="AB80" i="3"/>
  <c r="AB37" i="3"/>
  <c r="AH4" i="7"/>
  <c r="AC11" i="3"/>
  <c r="AB59" i="3"/>
  <c r="AC36" i="3"/>
  <c r="AB30" i="3"/>
  <c r="AB10" i="3"/>
  <c r="AC76" i="3"/>
  <c r="AJ6" i="7"/>
  <c r="AH5" i="7"/>
  <c r="AC71" i="8"/>
  <c r="AC78" i="8"/>
  <c r="AB30" i="8"/>
  <c r="AB38" i="8"/>
  <c r="AB10" i="8"/>
  <c r="AC82" i="8"/>
  <c r="AC4" i="8"/>
  <c r="AC70" i="8"/>
  <c r="AC37" i="8"/>
  <c r="AC44" i="8"/>
  <c r="AC58" i="8"/>
  <c r="AB78" i="8"/>
  <c r="AC30" i="8"/>
  <c r="AC38" i="8"/>
  <c r="AB18" i="8"/>
  <c r="AC42" i="8"/>
  <c r="AC84" i="8"/>
  <c r="AB70" i="8"/>
  <c r="AC8" i="8"/>
  <c r="AB8" i="8"/>
  <c r="AC22" i="8"/>
  <c r="AC51" i="8"/>
  <c r="AB51" i="8"/>
  <c r="AC65" i="8"/>
  <c r="AB65" i="8"/>
  <c r="AC15" i="8"/>
  <c r="AB15" i="8"/>
  <c r="AC9" i="8"/>
  <c r="AB9" i="8"/>
  <c r="AC16" i="8"/>
  <c r="AB16" i="8"/>
  <c r="AC23" i="8"/>
  <c r="AB23" i="8"/>
  <c r="AC31" i="8"/>
  <c r="AB31" i="8"/>
  <c r="AC45" i="8"/>
  <c r="AB45" i="8"/>
  <c r="AC59" i="8"/>
  <c r="AB59" i="8"/>
  <c r="AC79" i="8"/>
  <c r="AB79" i="8"/>
  <c r="AC72" i="8"/>
  <c r="AB72" i="8"/>
  <c r="AC80" i="8"/>
  <c r="AB80" i="8"/>
  <c r="AC43" i="8"/>
  <c r="AB43" i="8"/>
  <c r="AC52" i="8"/>
  <c r="AB52" i="8"/>
  <c r="AC17" i="8"/>
  <c r="AC24" i="8"/>
  <c r="AB53" i="8"/>
  <c r="AC53" i="8"/>
  <c r="AC60" i="8"/>
  <c r="AB60" i="8"/>
  <c r="AB73" i="8"/>
  <c r="AC73" i="8"/>
  <c r="AC10" i="8"/>
  <c r="AC32" i="8"/>
  <c r="AB32" i="8"/>
  <c r="AC46" i="8"/>
  <c r="AB46" i="8"/>
  <c r="AB67" i="8"/>
  <c r="AC67" i="8"/>
  <c r="AC66" i="8"/>
  <c r="AB66" i="8"/>
  <c r="AB39" i="8"/>
  <c r="AC39" i="8"/>
  <c r="AC54" i="8"/>
  <c r="AB54" i="8"/>
  <c r="AB61" i="8"/>
  <c r="AC61" i="8"/>
  <c r="AC74" i="8"/>
  <c r="AB74" i="8"/>
  <c r="AC81" i="8"/>
  <c r="AB81" i="8"/>
  <c r="AC11" i="8"/>
  <c r="AB11" i="8"/>
  <c r="AC25" i="8"/>
  <c r="AB25" i="8"/>
  <c r="AB47" i="8"/>
  <c r="AC47" i="8"/>
  <c r="AC68" i="8"/>
  <c r="AB68" i="8"/>
  <c r="AC18" i="8"/>
  <c r="AB33" i="8"/>
  <c r="AC33" i="8"/>
  <c r="AC40" i="8"/>
  <c r="AB40" i="8"/>
  <c r="AC20" i="8"/>
  <c r="AB20" i="8"/>
  <c r="AC28" i="8"/>
  <c r="AB28" i="8"/>
  <c r="AC6" i="8"/>
  <c r="AB6" i="8"/>
  <c r="AC35" i="8"/>
  <c r="AB35" i="8"/>
  <c r="AC77" i="8"/>
  <c r="AB77" i="8"/>
  <c r="AC48" i="8"/>
  <c r="AB48" i="8"/>
  <c r="AB12" i="8"/>
  <c r="AC12" i="8"/>
  <c r="AC34" i="8"/>
  <c r="AB34" i="8"/>
  <c r="AC41" i="8"/>
  <c r="AB41" i="8"/>
  <c r="AC55" i="8"/>
  <c r="AB55" i="8"/>
  <c r="AB27" i="8"/>
  <c r="AC27" i="8"/>
  <c r="AC76" i="8"/>
  <c r="AB76" i="8"/>
  <c r="AB13" i="8"/>
  <c r="AC13" i="8"/>
  <c r="AC63" i="8"/>
  <c r="AB63" i="8"/>
  <c r="AC14" i="8"/>
  <c r="AB14" i="8"/>
  <c r="AC21" i="8"/>
  <c r="AB21" i="8"/>
  <c r="AC29" i="8"/>
  <c r="AB29" i="8"/>
  <c r="AC36" i="8"/>
  <c r="AB36" i="8"/>
  <c r="AC57" i="8"/>
  <c r="AC64" i="8"/>
  <c r="AC26" i="8"/>
  <c r="AB26" i="8"/>
  <c r="AC69" i="8"/>
  <c r="AB69" i="8"/>
  <c r="AC75" i="8"/>
  <c r="AB75" i="8"/>
  <c r="AB19" i="8"/>
  <c r="AC19" i="8"/>
  <c r="AC49" i="8"/>
  <c r="AB49" i="8"/>
  <c r="AC56" i="8"/>
  <c r="AB56" i="8"/>
  <c r="AC83" i="8"/>
  <c r="AB83" i="8"/>
  <c r="AC5" i="8"/>
  <c r="AB5" i="8"/>
  <c r="AB7" i="8"/>
  <c r="AC7" i="8"/>
  <c r="AC50" i="8"/>
  <c r="AB22" i="8"/>
  <c r="AB42" i="8"/>
  <c r="AB62" i="8"/>
  <c r="AB82" i="8"/>
  <c r="AB71" i="8"/>
  <c r="AB17" i="8"/>
  <c r="AB37" i="8"/>
  <c r="AB57" i="8"/>
  <c r="AB4" i="8"/>
  <c r="AB24" i="8"/>
  <c r="AB44" i="8"/>
  <c r="AB64" i="8"/>
  <c r="AB84" i="8"/>
  <c r="AB6" i="7"/>
  <c r="AC46" i="7"/>
  <c r="AB59" i="7"/>
  <c r="AB66" i="7"/>
  <c r="AB55" i="7"/>
  <c r="AC12" i="7"/>
  <c r="AC71" i="7"/>
  <c r="AB32" i="7"/>
  <c r="AB35" i="7"/>
  <c r="AC18" i="7"/>
  <c r="AC54" i="7"/>
  <c r="AC55" i="7"/>
  <c r="AB67" i="7"/>
  <c r="AC74" i="7"/>
  <c r="AB15" i="7"/>
  <c r="AB46" i="7"/>
  <c r="AB58" i="7"/>
  <c r="AC59" i="7"/>
  <c r="AC17" i="7"/>
  <c r="AB17" i="7"/>
  <c r="AC24" i="7"/>
  <c r="AB24" i="7"/>
  <c r="AC60" i="7"/>
  <c r="AB60" i="7"/>
  <c r="AB30" i="7"/>
  <c r="AC30" i="7"/>
  <c r="AC42" i="7"/>
  <c r="AC48" i="7"/>
  <c r="AB48" i="7"/>
  <c r="AC78" i="7"/>
  <c r="AB78" i="7"/>
  <c r="AC70" i="7"/>
  <c r="AB70" i="7"/>
  <c r="AB25" i="7"/>
  <c r="AC25" i="7"/>
  <c r="AC36" i="7"/>
  <c r="AB36" i="7"/>
  <c r="AC75" i="7"/>
  <c r="AB75" i="7"/>
  <c r="AC43" i="7"/>
  <c r="AB43" i="7"/>
  <c r="AC31" i="7"/>
  <c r="AB49" i="7"/>
  <c r="AC49" i="7"/>
  <c r="AC61" i="7"/>
  <c r="AC79" i="7"/>
  <c r="AC44" i="7"/>
  <c r="AB44" i="7"/>
  <c r="AC80" i="7"/>
  <c r="AB80" i="7"/>
  <c r="AC13" i="7"/>
  <c r="AB13" i="7"/>
  <c r="AC45" i="7"/>
  <c r="AB45" i="7"/>
  <c r="AC37" i="7"/>
  <c r="AB37" i="7"/>
  <c r="AC73" i="7"/>
  <c r="AB73" i="7"/>
  <c r="AC20" i="7"/>
  <c r="AB20" i="7"/>
  <c r="AC38" i="7"/>
  <c r="AC50" i="7"/>
  <c r="AB50" i="7"/>
  <c r="AB62" i="7"/>
  <c r="AC68" i="7"/>
  <c r="AB68" i="7"/>
  <c r="AB7" i="7"/>
  <c r="AC7" i="7"/>
  <c r="AC56" i="7"/>
  <c r="AB56" i="7"/>
  <c r="AC63" i="7"/>
  <c r="AB63" i="7"/>
  <c r="AC81" i="7"/>
  <c r="AC8" i="7"/>
  <c r="AB8" i="7"/>
  <c r="AC14" i="7"/>
  <c r="AB14" i="7"/>
  <c r="AC33" i="7"/>
  <c r="AB33" i="7"/>
  <c r="AC39" i="7"/>
  <c r="AC51" i="7"/>
  <c r="AC69" i="7"/>
  <c r="AB69" i="7"/>
  <c r="AC21" i="7"/>
  <c r="AC57" i="7"/>
  <c r="AB57" i="7"/>
  <c r="AC64" i="7"/>
  <c r="AB64" i="7"/>
  <c r="AC9" i="7"/>
  <c r="AB9" i="7"/>
  <c r="AB27" i="7"/>
  <c r="AC40" i="7"/>
  <c r="AB40" i="7"/>
  <c r="AC65" i="7"/>
  <c r="AB65" i="7"/>
  <c r="AC82" i="7"/>
  <c r="AC28" i="7"/>
  <c r="AB28" i="7"/>
  <c r="AC76" i="7"/>
  <c r="AB76" i="7"/>
  <c r="AC83" i="7"/>
  <c r="AB83" i="7"/>
  <c r="AC4" i="7"/>
  <c r="AB4" i="7"/>
  <c r="AC10" i="7"/>
  <c r="AB10" i="7"/>
  <c r="AC16" i="7"/>
  <c r="AB16" i="7"/>
  <c r="AC29" i="7"/>
  <c r="AB29" i="7"/>
  <c r="AC23" i="7"/>
  <c r="AB23" i="7"/>
  <c r="AC53" i="7"/>
  <c r="AB53" i="7"/>
  <c r="AC84" i="7"/>
  <c r="AB84" i="7"/>
  <c r="AB5" i="7"/>
  <c r="AC5" i="7"/>
  <c r="AB47" i="7"/>
  <c r="AC77" i="7"/>
  <c r="AB77" i="7"/>
  <c r="AC32" i="7"/>
  <c r="AC47" i="7"/>
  <c r="AC67" i="7"/>
  <c r="AB19" i="7"/>
  <c r="AB39" i="7"/>
  <c r="AB79" i="7"/>
  <c r="AB42" i="7"/>
  <c r="AB82" i="7"/>
  <c r="AC52" i="7"/>
  <c r="AB22" i="7"/>
  <c r="AC62" i="7"/>
  <c r="AC27" i="7"/>
  <c r="AB11" i="7"/>
  <c r="AB31" i="7"/>
  <c r="AB51" i="7"/>
  <c r="AB71" i="7"/>
  <c r="AB34" i="7"/>
  <c r="AB54" i="7"/>
  <c r="AB74" i="7"/>
  <c r="AC72" i="7"/>
  <c r="AB12" i="7"/>
  <c r="AB18" i="7"/>
  <c r="AB38" i="7"/>
  <c r="AB21" i="7"/>
  <c r="AB41" i="7"/>
  <c r="AB61" i="7"/>
  <c r="AB81" i="7"/>
  <c r="AB49" i="3"/>
  <c r="AC49" i="3"/>
  <c r="AB60" i="3"/>
  <c r="AC60" i="3"/>
  <c r="AB44" i="3"/>
  <c r="AC44" i="3"/>
  <c r="AC38" i="3"/>
  <c r="AB16" i="3"/>
  <c r="AB54" i="3"/>
  <c r="AB43" i="3"/>
  <c r="AB32" i="3"/>
  <c r="AC32" i="3"/>
  <c r="AB22" i="3"/>
  <c r="AC22" i="3"/>
  <c r="AB53" i="3"/>
  <c r="AC53" i="3"/>
  <c r="AB31" i="3"/>
  <c r="AC31" i="3"/>
  <c r="AC27" i="3"/>
  <c r="AB27" i="3"/>
  <c r="AB69" i="3"/>
  <c r="AC69" i="3"/>
  <c r="AC78" i="3"/>
  <c r="AB73" i="3"/>
  <c r="AC73" i="3"/>
  <c r="AC64" i="3"/>
  <c r="AB64" i="3"/>
  <c r="AC58" i="3"/>
  <c r="AC26" i="3"/>
  <c r="AB26" i="3"/>
  <c r="AB15" i="3"/>
  <c r="AB9" i="3"/>
  <c r="AC9" i="3"/>
  <c r="AB21" i="3"/>
  <c r="AB8" i="3"/>
  <c r="AC8" i="3"/>
  <c r="AB33" i="3"/>
  <c r="AC33" i="3"/>
  <c r="AC84" i="3"/>
  <c r="AB84" i="3"/>
  <c r="AB63" i="3"/>
  <c r="AB52" i="3"/>
  <c r="AC52" i="3"/>
  <c r="AB42" i="3"/>
  <c r="AC42" i="3"/>
  <c r="AB36" i="3"/>
  <c r="AB20" i="3"/>
  <c r="AC20" i="3"/>
  <c r="AC47" i="3"/>
  <c r="AB47" i="3"/>
  <c r="AB41" i="3"/>
  <c r="AC7" i="3"/>
  <c r="AB7" i="3"/>
  <c r="AB35" i="3"/>
  <c r="AB76" i="3"/>
  <c r="AC62" i="3"/>
  <c r="AB62" i="3"/>
  <c r="AB56" i="3"/>
  <c r="AB40" i="3"/>
  <c r="AC40" i="3"/>
  <c r="AB6" i="3"/>
  <c r="AC6" i="3"/>
  <c r="AB81" i="3"/>
  <c r="AC67" i="3"/>
  <c r="AB67" i="3"/>
  <c r="AB5" i="3"/>
  <c r="AC5" i="3"/>
  <c r="AB72" i="3"/>
  <c r="AC72" i="3"/>
  <c r="AC46" i="3"/>
  <c r="AB46" i="3"/>
  <c r="AC82" i="3"/>
  <c r="AB82" i="3"/>
  <c r="AB13" i="3"/>
  <c r="AC13" i="3"/>
  <c r="AC66" i="3"/>
  <c r="AB66" i="3"/>
  <c r="AB29" i="3"/>
  <c r="AC29" i="3"/>
  <c r="AC24" i="3"/>
  <c r="AB24" i="3"/>
  <c r="AB12" i="3"/>
  <c r="AC12" i="3"/>
  <c r="AB51" i="3"/>
  <c r="AC51" i="3"/>
  <c r="AB14" i="3"/>
  <c r="AC14" i="3"/>
  <c r="AC83" i="3"/>
  <c r="AC63" i="3"/>
  <c r="AC43" i="3"/>
  <c r="AC23" i="3"/>
  <c r="AC80" i="3"/>
  <c r="AC77" i="3"/>
  <c r="AC57" i="3"/>
  <c r="AC37" i="3"/>
  <c r="AC17" i="3"/>
  <c r="AC54" i="3"/>
  <c r="AC34" i="3"/>
  <c r="AC19" i="3"/>
  <c r="AC70" i="3"/>
  <c r="AC50" i="3"/>
  <c r="AC30" i="3"/>
  <c r="AC10" i="3"/>
  <c r="AB4" i="3"/>
  <c r="AC4" i="3"/>
</calcChain>
</file>

<file path=xl/sharedStrings.xml><?xml version="1.0" encoding="utf-8"?>
<sst xmlns="http://schemas.openxmlformats.org/spreadsheetml/2006/main" count="66" uniqueCount="21">
  <si>
    <t>Replications</t>
  </si>
  <si>
    <t>CS</t>
  </si>
  <si>
    <t>SS</t>
  </si>
  <si>
    <t>Avg diff</t>
  </si>
  <si>
    <t>Std dev diff</t>
  </si>
  <si>
    <t>h</t>
  </si>
  <si>
    <t>CI Low</t>
  </si>
  <si>
    <t>CI Up</t>
  </si>
  <si>
    <t>Waste disposed</t>
  </si>
  <si>
    <t>Travel time</t>
  </si>
  <si>
    <t>Travel time/Waste disposed</t>
  </si>
  <si>
    <t>Scenario</t>
  </si>
  <si>
    <t>Replication</t>
  </si>
  <si>
    <t>Mean diff.</t>
  </si>
  <si>
    <t>Mean std. dev.</t>
  </si>
  <si>
    <t>Differences: CS - SS values</t>
  </si>
  <si>
    <t>…</t>
  </si>
  <si>
    <t xml:space="preserve">I copied values from previous sheets, then created tables in Latex </t>
  </si>
  <si>
    <t>to explain how the analysis works.</t>
  </si>
  <si>
    <t>Scenarios</t>
  </si>
  <si>
    <t xml:space="preserve">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</si>
</sst>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6" formatCode="0.000"/>
    <numFmt numFmtId="167" formatCode="0.0"/>
    <numFmt numFmtId="168" formatCode="0.0000"/>
    <numFmt numFmtId="169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1" applyFont="1"/>
    <xf numFmtId="2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1" xfId="0" applyFont="1" applyBorder="1" applyAlignment="1">
      <alignment horizontal="center" vertical="center"/>
    </xf>
    <xf numFmtId="168" fontId="0" fillId="0" borderId="0" xfId="0" applyNumberFormat="1"/>
    <xf numFmtId="169" fontId="0" fillId="0" borderId="0" xfId="0" applyNumberFormat="1"/>
    <xf numFmtId="0" fontId="3" fillId="0" borderId="0" xfId="0" applyFont="1"/>
    <xf numFmtId="0" fontId="0" fillId="0" borderId="0" xfId="0" applyAlignment="1">
      <alignment vertical="center" textRotation="90" wrapText="1"/>
    </xf>
    <xf numFmtId="0" fontId="0" fillId="0" borderId="0" xfId="0" applyAlignment="1">
      <alignment horizontal="center" vertical="center"/>
    </xf>
    <xf numFmtId="0" fontId="2" fillId="2" borderId="2" xfId="0" applyFont="1" applyFill="1" applyBorder="1"/>
    <xf numFmtId="0" fontId="0" fillId="0" borderId="0" xfId="0" applyAlignment="1">
      <alignment horizontal="center"/>
    </xf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2" fillId="2" borderId="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/>
    <xf numFmtId="0" fontId="0" fillId="0" borderId="6" xfId="0" applyBorder="1" applyAlignment="1">
      <alignment horizontal="center"/>
    </xf>
    <xf numFmtId="2" fontId="0" fillId="0" borderId="0" xfId="0" applyNumberFormat="1" applyBorder="1"/>
    <xf numFmtId="2" fontId="0" fillId="0" borderId="7" xfId="0" applyNumberFormat="1" applyBorder="1"/>
    <xf numFmtId="0" fontId="0" fillId="0" borderId="10" xfId="0" applyBorder="1" applyAlignment="1">
      <alignment horizontal="center"/>
    </xf>
    <xf numFmtId="2" fontId="0" fillId="0" borderId="1" xfId="0" applyNumberFormat="1" applyBorder="1"/>
    <xf numFmtId="2" fontId="0" fillId="0" borderId="11" xfId="0" applyNumberFormat="1" applyBorder="1"/>
    <xf numFmtId="0" fontId="2" fillId="2" borderId="0" xfId="0" applyFont="1" applyFill="1" applyBorder="1" applyAlignment="1">
      <alignment horizontal="center"/>
    </xf>
    <xf numFmtId="164" fontId="0" fillId="0" borderId="0" xfId="0" applyNumberFormat="1" applyBorder="1"/>
    <xf numFmtId="164" fontId="0" fillId="0" borderId="7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0" xfId="1" applyFont="1" applyBorder="1"/>
    <xf numFmtId="164" fontId="0" fillId="0" borderId="7" xfId="1" applyFont="1" applyBorder="1"/>
    <xf numFmtId="164" fontId="0" fillId="0" borderId="1" xfId="1" applyFont="1" applyBorder="1"/>
    <xf numFmtId="164" fontId="0" fillId="0" borderId="1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01AB-54BC-4F58-8FD4-2AA6609C179D}">
  <dimension ref="A1:W84"/>
  <sheetViews>
    <sheetView workbookViewId="0">
      <selection activeCell="G11" sqref="G11"/>
    </sheetView>
  </sheetViews>
  <sheetFormatPr defaultRowHeight="14.4" x14ac:dyDescent="0.3"/>
  <cols>
    <col min="1" max="1" width="8.88671875" style="14"/>
    <col min="12" max="12" width="4.5546875" customWidth="1"/>
  </cols>
  <sheetData>
    <row r="1" spans="1:23" x14ac:dyDescent="0.3">
      <c r="A1" s="15" t="s">
        <v>1</v>
      </c>
      <c r="B1" s="16"/>
      <c r="C1" s="16"/>
      <c r="D1" s="16"/>
      <c r="E1" s="16"/>
      <c r="F1" s="16"/>
      <c r="G1" s="16"/>
      <c r="H1" s="16"/>
      <c r="I1" s="16"/>
      <c r="J1" s="16"/>
      <c r="K1" s="17"/>
      <c r="M1" s="15" t="s">
        <v>20</v>
      </c>
      <c r="N1" s="16"/>
      <c r="O1" s="16"/>
      <c r="P1" s="16"/>
      <c r="Q1" s="16"/>
      <c r="R1" s="16"/>
      <c r="S1" s="16"/>
      <c r="T1" s="16"/>
      <c r="U1" s="16"/>
      <c r="V1" s="16"/>
      <c r="W1" s="17"/>
    </row>
    <row r="2" spans="1:23" x14ac:dyDescent="0.3">
      <c r="A2" s="18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20"/>
      <c r="L2" s="1"/>
      <c r="M2" s="18"/>
      <c r="N2" s="19" t="s">
        <v>0</v>
      </c>
      <c r="O2" s="19"/>
      <c r="P2" s="19"/>
      <c r="Q2" s="19"/>
      <c r="R2" s="19"/>
      <c r="S2" s="19"/>
      <c r="T2" s="19"/>
      <c r="U2" s="19"/>
      <c r="V2" s="19"/>
      <c r="W2" s="20"/>
    </row>
    <row r="3" spans="1:23" x14ac:dyDescent="0.3">
      <c r="A3" s="21" t="s">
        <v>19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22">
        <v>10</v>
      </c>
      <c r="L3" s="13"/>
      <c r="M3" s="21" t="s">
        <v>19</v>
      </c>
      <c r="N3" s="13">
        <v>1</v>
      </c>
      <c r="O3" s="13">
        <v>2</v>
      </c>
      <c r="P3" s="13">
        <v>3</v>
      </c>
      <c r="Q3" s="13">
        <v>4</v>
      </c>
      <c r="R3" s="13">
        <v>5</v>
      </c>
      <c r="S3" s="13">
        <v>6</v>
      </c>
      <c r="T3" s="13">
        <v>7</v>
      </c>
      <c r="U3" s="13">
        <v>8</v>
      </c>
      <c r="V3" s="13">
        <v>9</v>
      </c>
      <c r="W3" s="22">
        <v>10</v>
      </c>
    </row>
    <row r="4" spans="1:23" x14ac:dyDescent="0.3">
      <c r="A4" s="23">
        <v>1</v>
      </c>
      <c r="B4" s="24">
        <v>1184.248410590159</v>
      </c>
      <c r="C4" s="24">
        <v>1186.0758068512359</v>
      </c>
      <c r="D4" s="24">
        <v>1184.453051870941</v>
      </c>
      <c r="E4" s="24">
        <v>1187.929211498677</v>
      </c>
      <c r="F4" s="24">
        <v>1181.760489999012</v>
      </c>
      <c r="G4" s="24">
        <v>1185.8831616758812</v>
      </c>
      <c r="H4" s="24">
        <v>1186.2345118265112</v>
      </c>
      <c r="I4" s="24">
        <v>1185.4029794882549</v>
      </c>
      <c r="J4" s="24">
        <v>1185.274836352821</v>
      </c>
      <c r="K4" s="25">
        <v>1181.8621601831089</v>
      </c>
      <c r="L4" s="3"/>
      <c r="M4" s="23">
        <v>1</v>
      </c>
      <c r="N4" s="24">
        <v>374.09752576063579</v>
      </c>
      <c r="O4" s="24">
        <v>373.12850369030269</v>
      </c>
      <c r="P4" s="24">
        <v>372.70621056952359</v>
      </c>
      <c r="Q4" s="24">
        <v>373.94856890944914</v>
      </c>
      <c r="R4" s="24">
        <v>373.54827202085551</v>
      </c>
      <c r="S4" s="24">
        <v>374.21567940549488</v>
      </c>
      <c r="T4" s="24">
        <v>374.0168440031843</v>
      </c>
      <c r="U4" s="24">
        <v>372.83570186317695</v>
      </c>
      <c r="V4" s="24">
        <v>373.9717037358684</v>
      </c>
      <c r="W4" s="25">
        <v>373.87052599178634</v>
      </c>
    </row>
    <row r="5" spans="1:23" x14ac:dyDescent="0.3">
      <c r="A5" s="23">
        <v>2</v>
      </c>
      <c r="B5" s="24">
        <v>1184.001547661584</v>
      </c>
      <c r="C5" s="24">
        <v>1186.249571151624</v>
      </c>
      <c r="D5" s="24">
        <v>1185.9298113052951</v>
      </c>
      <c r="E5" s="24">
        <v>1186.8303851215278</v>
      </c>
      <c r="F5" s="24">
        <v>1186.9910334179278</v>
      </c>
      <c r="G5" s="24">
        <v>1190.35265635676</v>
      </c>
      <c r="H5" s="24">
        <v>1184.605596210009</v>
      </c>
      <c r="I5" s="24">
        <v>1182.5911010069631</v>
      </c>
      <c r="J5" s="24">
        <v>1187.3750660775979</v>
      </c>
      <c r="K5" s="25">
        <v>1182.4717931435889</v>
      </c>
      <c r="L5" s="3"/>
      <c r="M5" s="23">
        <v>2</v>
      </c>
      <c r="N5" s="24">
        <v>372.8002047149364</v>
      </c>
      <c r="O5" s="24">
        <v>373.98003322838991</v>
      </c>
      <c r="P5" s="24">
        <v>374.3422647093364</v>
      </c>
      <c r="Q5" s="24">
        <v>375.58779524661918</v>
      </c>
      <c r="R5" s="24">
        <v>373.91722039112949</v>
      </c>
      <c r="S5" s="24">
        <v>373.56989819732661</v>
      </c>
      <c r="T5" s="24">
        <v>372.7653914868726</v>
      </c>
      <c r="U5" s="24">
        <v>374.22045576259472</v>
      </c>
      <c r="V5" s="24">
        <v>374.08791113658799</v>
      </c>
      <c r="W5" s="25">
        <v>375.60648071528385</v>
      </c>
    </row>
    <row r="6" spans="1:23" x14ac:dyDescent="0.3">
      <c r="A6" s="23">
        <v>3</v>
      </c>
      <c r="B6" s="24">
        <v>1183.1976959987969</v>
      </c>
      <c r="C6" s="24">
        <v>1181.7053889694789</v>
      </c>
      <c r="D6" s="24">
        <v>1186.0180905601919</v>
      </c>
      <c r="E6" s="24">
        <v>1184.895283545138</v>
      </c>
      <c r="F6" s="24">
        <v>1183.3438053452089</v>
      </c>
      <c r="G6" s="24">
        <v>1186.751105684292</v>
      </c>
      <c r="H6" s="24">
        <v>1186.909211423168</v>
      </c>
      <c r="I6" s="24">
        <v>1184.749324870432</v>
      </c>
      <c r="J6" s="24">
        <v>1186.882909764171</v>
      </c>
      <c r="K6" s="25">
        <v>1182.085517588642</v>
      </c>
      <c r="L6" s="3"/>
      <c r="M6" s="23">
        <v>3</v>
      </c>
      <c r="N6" s="24">
        <v>372.17932291879021</v>
      </c>
      <c r="O6" s="24">
        <v>374.76263430681468</v>
      </c>
      <c r="P6" s="24">
        <v>354.39723853559326</v>
      </c>
      <c r="Q6" s="24">
        <v>373.50187303821218</v>
      </c>
      <c r="R6" s="24">
        <v>373.51139570606233</v>
      </c>
      <c r="S6" s="24">
        <v>374.67546866620199</v>
      </c>
      <c r="T6" s="24">
        <v>372.813411458823</v>
      </c>
      <c r="U6" s="24">
        <v>372.29030817792744</v>
      </c>
      <c r="V6" s="24">
        <v>374.68327426888334</v>
      </c>
      <c r="W6" s="25">
        <v>373.11301321205207</v>
      </c>
    </row>
    <row r="7" spans="1:23" x14ac:dyDescent="0.3">
      <c r="A7" s="23">
        <v>4</v>
      </c>
      <c r="B7" s="24">
        <v>1182.6393816506441</v>
      </c>
      <c r="C7" s="24">
        <v>1183.3313509621589</v>
      </c>
      <c r="D7" s="24">
        <v>1181.2983123364211</v>
      </c>
      <c r="E7" s="24">
        <v>1180.4495669436042</v>
      </c>
      <c r="F7" s="24">
        <v>1186.441693649193</v>
      </c>
      <c r="G7" s="24">
        <v>1187.2804714769579</v>
      </c>
      <c r="H7" s="24">
        <v>1183.0680183699319</v>
      </c>
      <c r="I7" s="24">
        <v>1186.1845794156959</v>
      </c>
      <c r="J7" s="24">
        <v>1186.2411509215951</v>
      </c>
      <c r="K7" s="25">
        <v>1186.6417561917879</v>
      </c>
      <c r="L7" s="3"/>
      <c r="M7" s="23">
        <v>4</v>
      </c>
      <c r="N7" s="24">
        <v>374.49249728446148</v>
      </c>
      <c r="O7" s="24">
        <v>372.50692409365672</v>
      </c>
      <c r="P7" s="24">
        <v>376.06725533724631</v>
      </c>
      <c r="Q7" s="24">
        <v>373.96772239602797</v>
      </c>
      <c r="R7" s="24">
        <v>373.53835897605859</v>
      </c>
      <c r="S7" s="24">
        <v>375.7677356404613</v>
      </c>
      <c r="T7" s="24">
        <v>373.47405243532859</v>
      </c>
      <c r="U7" s="24">
        <v>356.23843149358879</v>
      </c>
      <c r="V7" s="24">
        <v>355.4230805530151</v>
      </c>
      <c r="W7" s="25">
        <v>374.442060579616</v>
      </c>
    </row>
    <row r="8" spans="1:23" x14ac:dyDescent="0.3">
      <c r="A8" s="23">
        <v>5</v>
      </c>
      <c r="B8" s="24">
        <v>1186.0701007169789</v>
      </c>
      <c r="C8" s="24">
        <v>1183.1575270470692</v>
      </c>
      <c r="D8" s="24">
        <v>1183.912663733709</v>
      </c>
      <c r="E8" s="24">
        <v>1184.251152270846</v>
      </c>
      <c r="F8" s="24">
        <v>1185.769125649987</v>
      </c>
      <c r="G8" s="24">
        <v>1182.9962237975089</v>
      </c>
      <c r="H8" s="24">
        <v>1185.926730205596</v>
      </c>
      <c r="I8" s="24">
        <v>1186.793294656738</v>
      </c>
      <c r="J8" s="24">
        <v>1182.8030772969878</v>
      </c>
      <c r="K8" s="25">
        <v>1183.012340065605</v>
      </c>
      <c r="L8" s="3"/>
      <c r="M8" s="23">
        <v>5</v>
      </c>
      <c r="N8" s="24">
        <v>372.33724370697496</v>
      </c>
      <c r="O8" s="24">
        <v>373.87987638432941</v>
      </c>
      <c r="P8" s="24">
        <v>375.43409724678065</v>
      </c>
      <c r="Q8" s="24">
        <v>372.36165424544367</v>
      </c>
      <c r="R8" s="24">
        <v>375.12751305180751</v>
      </c>
      <c r="S8" s="24">
        <v>370.97293413378702</v>
      </c>
      <c r="T8" s="24">
        <v>373.77184437337866</v>
      </c>
      <c r="U8" s="24">
        <v>373.05794720266971</v>
      </c>
      <c r="V8" s="24">
        <v>374.53045861877717</v>
      </c>
      <c r="W8" s="25">
        <v>374.36254230496445</v>
      </c>
    </row>
    <row r="9" spans="1:23" x14ac:dyDescent="0.3">
      <c r="A9" s="23">
        <v>6</v>
      </c>
      <c r="B9" s="24">
        <v>1185.173092390781</v>
      </c>
      <c r="C9" s="24">
        <v>1182.9413095681759</v>
      </c>
      <c r="D9" s="24">
        <v>1184.7087137460371</v>
      </c>
      <c r="E9" s="24">
        <v>1187.1818123711159</v>
      </c>
      <c r="F9" s="24">
        <v>1183.80358308717</v>
      </c>
      <c r="G9" s="24">
        <v>1181.872939891203</v>
      </c>
      <c r="H9" s="24">
        <v>1186.236242949296</v>
      </c>
      <c r="I9" s="24">
        <v>1184.4356779158832</v>
      </c>
      <c r="J9" s="24">
        <v>1185.8669540604469</v>
      </c>
      <c r="K9" s="25">
        <v>1186.78190329219</v>
      </c>
      <c r="L9" s="3"/>
      <c r="M9" s="23">
        <v>6</v>
      </c>
      <c r="N9" s="24">
        <v>374.77252809882822</v>
      </c>
      <c r="O9" s="24">
        <v>375.31166812249677</v>
      </c>
      <c r="P9" s="24">
        <v>373.64154561629704</v>
      </c>
      <c r="Q9" s="24">
        <v>373.30341856278267</v>
      </c>
      <c r="R9" s="24">
        <v>371.84749091510707</v>
      </c>
      <c r="S9" s="24">
        <v>373.98541898917341</v>
      </c>
      <c r="T9" s="24">
        <v>375.06490845717855</v>
      </c>
      <c r="U9" s="24">
        <v>376.14542517477855</v>
      </c>
      <c r="V9" s="24">
        <v>375.11656172706523</v>
      </c>
      <c r="W9" s="25">
        <v>374.87904585889481</v>
      </c>
    </row>
    <row r="10" spans="1:23" x14ac:dyDescent="0.3">
      <c r="A10" s="23">
        <v>7</v>
      </c>
      <c r="B10" s="24">
        <v>1183.2761704808599</v>
      </c>
      <c r="C10" s="24">
        <v>1186.6731778285071</v>
      </c>
      <c r="D10" s="24">
        <v>1186.4364969278381</v>
      </c>
      <c r="E10" s="24">
        <v>1189.2744077707409</v>
      </c>
      <c r="F10" s="24">
        <v>1182.2719668269469</v>
      </c>
      <c r="G10" s="24">
        <v>1185.947221833979</v>
      </c>
      <c r="H10" s="24">
        <v>1184.979555673166</v>
      </c>
      <c r="I10" s="24">
        <v>1183.771317311029</v>
      </c>
      <c r="J10" s="24">
        <v>1183.8498257110109</v>
      </c>
      <c r="K10" s="25">
        <v>1183.923042226751</v>
      </c>
      <c r="L10" s="3"/>
      <c r="M10" s="23">
        <v>7</v>
      </c>
      <c r="N10" s="24">
        <v>373.45461352494851</v>
      </c>
      <c r="O10" s="24">
        <v>374.55418500359315</v>
      </c>
      <c r="P10" s="24">
        <v>372.5585731646371</v>
      </c>
      <c r="Q10" s="24">
        <v>375.72881607158831</v>
      </c>
      <c r="R10" s="24">
        <v>356.15054730084051</v>
      </c>
      <c r="S10" s="24">
        <v>373.19827044911239</v>
      </c>
      <c r="T10" s="24">
        <v>373.30004792110572</v>
      </c>
      <c r="U10" s="24">
        <v>373.48872990776073</v>
      </c>
      <c r="V10" s="24">
        <v>372.68873968398572</v>
      </c>
      <c r="W10" s="25">
        <v>373.30713498135054</v>
      </c>
    </row>
    <row r="11" spans="1:23" x14ac:dyDescent="0.3">
      <c r="A11" s="23">
        <v>8</v>
      </c>
      <c r="B11" s="24">
        <v>1182.100241686883</v>
      </c>
      <c r="C11" s="24">
        <v>1186.4756548370231</v>
      </c>
      <c r="D11" s="24">
        <v>1184.556761273838</v>
      </c>
      <c r="E11" s="24">
        <v>1185.902731533095</v>
      </c>
      <c r="F11" s="24">
        <v>1185.2957675495638</v>
      </c>
      <c r="G11" s="24">
        <v>1181.0172801100159</v>
      </c>
      <c r="H11" s="24">
        <v>1183.734040875072</v>
      </c>
      <c r="I11" s="24">
        <v>1185.153132694787</v>
      </c>
      <c r="J11" s="24">
        <v>1184.0554658264739</v>
      </c>
      <c r="K11" s="25">
        <v>1183.5488980361479</v>
      </c>
      <c r="L11" s="3"/>
      <c r="M11" s="23">
        <v>8</v>
      </c>
      <c r="N11" s="24">
        <v>373.86887542910051</v>
      </c>
      <c r="O11" s="24">
        <v>373.89366012662128</v>
      </c>
      <c r="P11" s="24">
        <v>355.80541712453203</v>
      </c>
      <c r="Q11" s="24">
        <v>374.81558059892723</v>
      </c>
      <c r="R11" s="24">
        <v>376.15004799894689</v>
      </c>
      <c r="S11" s="24">
        <v>355.7551476576723</v>
      </c>
      <c r="T11" s="24">
        <v>374.63570890997028</v>
      </c>
      <c r="U11" s="24">
        <v>375.64321344005117</v>
      </c>
      <c r="V11" s="24">
        <v>374.07587014604042</v>
      </c>
      <c r="W11" s="25">
        <v>374.33210297302446</v>
      </c>
    </row>
    <row r="12" spans="1:23" x14ac:dyDescent="0.3">
      <c r="A12" s="23">
        <v>9</v>
      </c>
      <c r="B12" s="24">
        <v>1185.9547001805399</v>
      </c>
      <c r="C12" s="24">
        <v>1189.210743325674</v>
      </c>
      <c r="D12" s="24">
        <v>1184.931509948794</v>
      </c>
      <c r="E12" s="24">
        <v>1183.970417237656</v>
      </c>
      <c r="F12" s="24">
        <v>1185.5950386425991</v>
      </c>
      <c r="G12" s="24">
        <v>1181.1260971206029</v>
      </c>
      <c r="H12" s="24">
        <v>1180.4107159221628</v>
      </c>
      <c r="I12" s="24">
        <v>1183.9846833913321</v>
      </c>
      <c r="J12" s="24">
        <v>1184.8735461876861</v>
      </c>
      <c r="K12" s="25">
        <v>1186.0009620989811</v>
      </c>
      <c r="L12" s="3"/>
      <c r="M12" s="23">
        <v>9</v>
      </c>
      <c r="N12" s="24">
        <v>374.45436955095442</v>
      </c>
      <c r="O12" s="24">
        <v>376.12451045252237</v>
      </c>
      <c r="P12" s="24">
        <v>374.73327986807442</v>
      </c>
      <c r="Q12" s="24">
        <v>374.43462098293105</v>
      </c>
      <c r="R12" s="24">
        <v>371.89731290534712</v>
      </c>
      <c r="S12" s="24">
        <v>373.65778892970468</v>
      </c>
      <c r="T12" s="24">
        <v>372.59731566481821</v>
      </c>
      <c r="U12" s="24">
        <v>354.17807999251949</v>
      </c>
      <c r="V12" s="24">
        <v>374.86180345381212</v>
      </c>
      <c r="W12" s="25">
        <v>373.26185215519786</v>
      </c>
    </row>
    <row r="13" spans="1:23" x14ac:dyDescent="0.3">
      <c r="A13" s="23">
        <v>10</v>
      </c>
      <c r="B13" s="24">
        <v>1213.7858692014431</v>
      </c>
      <c r="C13" s="24">
        <v>1216.701190244203</v>
      </c>
      <c r="D13" s="24">
        <v>1216.4145873651789</v>
      </c>
      <c r="E13" s="24">
        <v>1216.0721770605371</v>
      </c>
      <c r="F13" s="24">
        <v>1216.659155153176</v>
      </c>
      <c r="G13" s="24">
        <v>1214.9639089351849</v>
      </c>
      <c r="H13" s="24">
        <v>1212.5193922582559</v>
      </c>
      <c r="I13" s="24">
        <v>1217.7857534292559</v>
      </c>
      <c r="J13" s="24">
        <v>1215.200877622432</v>
      </c>
      <c r="K13" s="25">
        <v>1213.1272022633409</v>
      </c>
      <c r="L13" s="3"/>
      <c r="M13" s="23">
        <v>10</v>
      </c>
      <c r="N13" s="24">
        <v>766.94609898356975</v>
      </c>
      <c r="O13" s="24">
        <v>727.63033302031999</v>
      </c>
      <c r="P13" s="24">
        <v>764.61960814003419</v>
      </c>
      <c r="Q13" s="24">
        <v>761.48343206387653</v>
      </c>
      <c r="R13" s="24">
        <v>757.86343369443637</v>
      </c>
      <c r="S13" s="24">
        <v>758.15996388242775</v>
      </c>
      <c r="T13" s="24">
        <v>764.43674549115758</v>
      </c>
      <c r="U13" s="24">
        <v>760.77881998568205</v>
      </c>
      <c r="V13" s="24">
        <v>760.10837383117416</v>
      </c>
      <c r="W13" s="25">
        <v>761.76001861802774</v>
      </c>
    </row>
    <row r="14" spans="1:23" x14ac:dyDescent="0.3">
      <c r="A14" s="23">
        <v>11</v>
      </c>
      <c r="B14" s="24">
        <v>1216.12869644543</v>
      </c>
      <c r="C14" s="24">
        <v>1209.110123750258</v>
      </c>
      <c r="D14" s="24">
        <v>1216.3233560697822</v>
      </c>
      <c r="E14" s="24">
        <v>1215.5662615617562</v>
      </c>
      <c r="F14" s="24">
        <v>1212.790354509649</v>
      </c>
      <c r="G14" s="24">
        <v>1214.209286594212</v>
      </c>
      <c r="H14" s="24">
        <v>1213.5349436466931</v>
      </c>
      <c r="I14" s="24">
        <v>1213.4300861067791</v>
      </c>
      <c r="J14" s="24">
        <v>1216.170700038105</v>
      </c>
      <c r="K14" s="25">
        <v>1215.8223964477761</v>
      </c>
      <c r="L14" s="3"/>
      <c r="M14" s="23">
        <v>11</v>
      </c>
      <c r="N14" s="24">
        <v>758.27303528200775</v>
      </c>
      <c r="O14" s="24">
        <v>760.89587463574037</v>
      </c>
      <c r="P14" s="24">
        <v>757.83406502600656</v>
      </c>
      <c r="Q14" s="24">
        <v>749.77402116109204</v>
      </c>
      <c r="R14" s="24">
        <v>759.22519295798054</v>
      </c>
      <c r="S14" s="24">
        <v>759.27623339544709</v>
      </c>
      <c r="T14" s="24">
        <v>767.74683443313279</v>
      </c>
      <c r="U14" s="24">
        <v>761.84249790145054</v>
      </c>
      <c r="V14" s="24">
        <v>748.32383401714662</v>
      </c>
      <c r="W14" s="25">
        <v>761.33881652631806</v>
      </c>
    </row>
    <row r="15" spans="1:23" x14ac:dyDescent="0.3">
      <c r="A15" s="23">
        <v>12</v>
      </c>
      <c r="B15" s="24">
        <v>1213.6030342742208</v>
      </c>
      <c r="C15" s="24">
        <v>1215.8257186374221</v>
      </c>
      <c r="D15" s="24">
        <v>1212.454646600793</v>
      </c>
      <c r="E15" s="24">
        <v>1214.002876508687</v>
      </c>
      <c r="F15" s="24">
        <v>1222.027692836248</v>
      </c>
      <c r="G15" s="24">
        <v>1213.9486605838861</v>
      </c>
      <c r="H15" s="24">
        <v>1214.239509215842</v>
      </c>
      <c r="I15" s="24">
        <v>1217.05549086101</v>
      </c>
      <c r="J15" s="24">
        <v>1218.2667666686611</v>
      </c>
      <c r="K15" s="25">
        <v>1210.540456470078</v>
      </c>
      <c r="L15" s="3"/>
      <c r="M15" s="23">
        <v>12</v>
      </c>
      <c r="N15" s="24">
        <v>761.33171909760028</v>
      </c>
      <c r="O15" s="24">
        <v>766.18515244029243</v>
      </c>
      <c r="P15" s="24">
        <v>758.87169300295579</v>
      </c>
      <c r="Q15" s="24">
        <v>760.1753868554631</v>
      </c>
      <c r="R15" s="24">
        <v>730.74439484902234</v>
      </c>
      <c r="S15" s="24">
        <v>760.53921368980468</v>
      </c>
      <c r="T15" s="24">
        <v>766.57342420547832</v>
      </c>
      <c r="U15" s="24">
        <v>759.97748652542691</v>
      </c>
      <c r="V15" s="24">
        <v>747.72950068610101</v>
      </c>
      <c r="W15" s="25">
        <v>753.42480537798951</v>
      </c>
    </row>
    <row r="16" spans="1:23" x14ac:dyDescent="0.3">
      <c r="A16" s="23">
        <v>13</v>
      </c>
      <c r="B16" s="24">
        <v>1215.313990837031</v>
      </c>
      <c r="C16" s="24">
        <v>1213.0180303216491</v>
      </c>
      <c r="D16" s="24">
        <v>1217.0210177722061</v>
      </c>
      <c r="E16" s="24">
        <v>1213.4155780612491</v>
      </c>
      <c r="F16" s="24">
        <v>1213.986697625154</v>
      </c>
      <c r="G16" s="24">
        <v>1214.012056639044</v>
      </c>
      <c r="H16" s="24">
        <v>1215.0516617688529</v>
      </c>
      <c r="I16" s="24">
        <v>1216.2141052426171</v>
      </c>
      <c r="J16" s="24">
        <v>1217.098740965564</v>
      </c>
      <c r="K16" s="25">
        <v>1212.535789157741</v>
      </c>
      <c r="L16" s="3"/>
      <c r="M16" s="23">
        <v>13</v>
      </c>
      <c r="N16" s="24">
        <v>759.7111451365289</v>
      </c>
      <c r="O16" s="24">
        <v>760.97730446925073</v>
      </c>
      <c r="P16" s="24">
        <v>762.76080246763502</v>
      </c>
      <c r="Q16" s="24">
        <v>762.46452315466388</v>
      </c>
      <c r="R16" s="24">
        <v>760.12941430501041</v>
      </c>
      <c r="S16" s="24">
        <v>759.47582262544131</v>
      </c>
      <c r="T16" s="24">
        <v>764.27608165077095</v>
      </c>
      <c r="U16" s="24">
        <v>762.29512268149983</v>
      </c>
      <c r="V16" s="24">
        <v>741.41706087149169</v>
      </c>
      <c r="W16" s="25">
        <v>759.52850210710449</v>
      </c>
    </row>
    <row r="17" spans="1:23" x14ac:dyDescent="0.3">
      <c r="A17" s="23">
        <v>14</v>
      </c>
      <c r="B17" s="24">
        <v>1215.9222283928439</v>
      </c>
      <c r="C17" s="24">
        <v>1215.3457045970119</v>
      </c>
      <c r="D17" s="24">
        <v>1218.1290953948219</v>
      </c>
      <c r="E17" s="24">
        <v>1213.057718547539</v>
      </c>
      <c r="F17" s="24">
        <v>1215.1871710963021</v>
      </c>
      <c r="G17" s="24">
        <v>1213.8559255875509</v>
      </c>
      <c r="H17" s="24">
        <v>1217.376666958389</v>
      </c>
      <c r="I17" s="24">
        <v>1209.0486098562819</v>
      </c>
      <c r="J17" s="24">
        <v>1217.541928592736</v>
      </c>
      <c r="K17" s="25">
        <v>1213.3989526067789</v>
      </c>
      <c r="L17" s="3"/>
      <c r="M17" s="23">
        <v>14</v>
      </c>
      <c r="N17" s="24">
        <v>765.95231878618279</v>
      </c>
      <c r="O17" s="24">
        <v>760.66109678084774</v>
      </c>
      <c r="P17" s="24">
        <v>745.31223225599774</v>
      </c>
      <c r="Q17" s="24">
        <v>758.11840366477293</v>
      </c>
      <c r="R17" s="24">
        <v>759.87192108209501</v>
      </c>
      <c r="S17" s="24">
        <v>741.25690423626736</v>
      </c>
      <c r="T17" s="24">
        <v>746.23764148387045</v>
      </c>
      <c r="U17" s="24">
        <v>764.08307159467154</v>
      </c>
      <c r="V17" s="24">
        <v>747.98263933142016</v>
      </c>
      <c r="W17" s="25">
        <v>763.56216081036837</v>
      </c>
    </row>
    <row r="18" spans="1:23" x14ac:dyDescent="0.3">
      <c r="A18" s="23">
        <v>15</v>
      </c>
      <c r="B18" s="24">
        <v>1217.8899021249649</v>
      </c>
      <c r="C18" s="24">
        <v>1213.955694407799</v>
      </c>
      <c r="D18" s="24">
        <v>1210.70823104598</v>
      </c>
      <c r="E18" s="24">
        <v>1217.36734333301</v>
      </c>
      <c r="F18" s="24">
        <v>1216.188256148751</v>
      </c>
      <c r="G18" s="24">
        <v>1216.6277444894458</v>
      </c>
      <c r="H18" s="24">
        <v>1217.236335885942</v>
      </c>
      <c r="I18" s="24">
        <v>1215.95646181764</v>
      </c>
      <c r="J18" s="24">
        <v>1215.7828199427499</v>
      </c>
      <c r="K18" s="25">
        <v>1218.6329600464699</v>
      </c>
      <c r="L18" s="3"/>
      <c r="M18" s="23">
        <v>15</v>
      </c>
      <c r="N18" s="24">
        <v>753.72068627132069</v>
      </c>
      <c r="O18" s="24">
        <v>758.60070821675026</v>
      </c>
      <c r="P18" s="24">
        <v>763.86391933431366</v>
      </c>
      <c r="Q18" s="24">
        <v>745.66020636867825</v>
      </c>
      <c r="R18" s="24">
        <v>747.08182133560604</v>
      </c>
      <c r="S18" s="24">
        <v>757.85888490750392</v>
      </c>
      <c r="T18" s="24">
        <v>750.97003693949853</v>
      </c>
      <c r="U18" s="24">
        <v>764.24528674860164</v>
      </c>
      <c r="V18" s="24">
        <v>759.74170130421351</v>
      </c>
      <c r="W18" s="25">
        <v>745.17674666664743</v>
      </c>
    </row>
    <row r="19" spans="1:23" x14ac:dyDescent="0.3">
      <c r="A19" s="23">
        <v>16</v>
      </c>
      <c r="B19" s="24">
        <v>1217.853693352966</v>
      </c>
      <c r="C19" s="24">
        <v>1215.1418869081551</v>
      </c>
      <c r="D19" s="24">
        <v>1216.3405877769349</v>
      </c>
      <c r="E19" s="24">
        <v>1215.530533708986</v>
      </c>
      <c r="F19" s="24">
        <v>1215.022716840153</v>
      </c>
      <c r="G19" s="24">
        <v>1211.355553369885</v>
      </c>
      <c r="H19" s="24">
        <v>1213.8645510962951</v>
      </c>
      <c r="I19" s="24">
        <v>1207.8385548675351</v>
      </c>
      <c r="J19" s="24">
        <v>1215.7677191711939</v>
      </c>
      <c r="K19" s="25">
        <v>1212.7269903680221</v>
      </c>
      <c r="L19" s="3"/>
      <c r="M19" s="23">
        <v>16</v>
      </c>
      <c r="N19" s="24">
        <v>745.28991876185228</v>
      </c>
      <c r="O19" s="24">
        <v>746.38264248566986</v>
      </c>
      <c r="P19" s="24">
        <v>766.32480648377737</v>
      </c>
      <c r="Q19" s="24">
        <v>759.83293661816197</v>
      </c>
      <c r="R19" s="24">
        <v>761.31864729785048</v>
      </c>
      <c r="S19" s="24">
        <v>746.51832478260417</v>
      </c>
      <c r="T19" s="24">
        <v>760.68414057825703</v>
      </c>
      <c r="U19" s="24">
        <v>764.16125981156472</v>
      </c>
      <c r="V19" s="24">
        <v>760.15176991120018</v>
      </c>
      <c r="W19" s="25">
        <v>759.97324213635557</v>
      </c>
    </row>
    <row r="20" spans="1:23" x14ac:dyDescent="0.3">
      <c r="A20" s="23">
        <v>17</v>
      </c>
      <c r="B20" s="24">
        <v>1213.750491104305</v>
      </c>
      <c r="C20" s="24">
        <v>1214.250034099864</v>
      </c>
      <c r="D20" s="24">
        <v>1210.819838464852</v>
      </c>
      <c r="E20" s="24">
        <v>1213.6927451425599</v>
      </c>
      <c r="F20" s="24">
        <v>1213.202121474751</v>
      </c>
      <c r="G20" s="24">
        <v>1207.747735877588</v>
      </c>
      <c r="H20" s="24">
        <v>1210.4629321824589</v>
      </c>
      <c r="I20" s="24">
        <v>1211.2168491296559</v>
      </c>
      <c r="J20" s="24">
        <v>1213.595269426575</v>
      </c>
      <c r="K20" s="25">
        <v>1215.9623056423929</v>
      </c>
      <c r="L20" s="3"/>
      <c r="M20" s="23">
        <v>17</v>
      </c>
      <c r="N20" s="24">
        <v>747.03829907321233</v>
      </c>
      <c r="O20" s="24">
        <v>747.4733186276236</v>
      </c>
      <c r="P20" s="24">
        <v>766.24743136850395</v>
      </c>
      <c r="Q20" s="24">
        <v>752.70309291336343</v>
      </c>
      <c r="R20" s="24">
        <v>752.15629708055565</v>
      </c>
      <c r="S20" s="24">
        <v>745.71335867977837</v>
      </c>
      <c r="T20" s="24">
        <v>763.31514488268351</v>
      </c>
      <c r="U20" s="24">
        <v>758.36655770552545</v>
      </c>
      <c r="V20" s="24">
        <v>764.01193026210171</v>
      </c>
      <c r="W20" s="25">
        <v>766.65370315627365</v>
      </c>
    </row>
    <row r="21" spans="1:23" x14ac:dyDescent="0.3">
      <c r="A21" s="23">
        <v>18</v>
      </c>
      <c r="B21" s="24">
        <v>1215.309907416841</v>
      </c>
      <c r="C21" s="24">
        <v>1213.117650956382</v>
      </c>
      <c r="D21" s="24">
        <v>1216.7221481522981</v>
      </c>
      <c r="E21" s="24">
        <v>1213.1252932593461</v>
      </c>
      <c r="F21" s="24">
        <v>1216.5631037354879</v>
      </c>
      <c r="G21" s="24">
        <v>1215.7960452637201</v>
      </c>
      <c r="H21" s="24">
        <v>1210.0022959693511</v>
      </c>
      <c r="I21" s="24">
        <v>1216.0991760935269</v>
      </c>
      <c r="J21" s="24">
        <v>1217.4959075360609</v>
      </c>
      <c r="K21" s="25">
        <v>1218.246276084896</v>
      </c>
      <c r="L21" s="3"/>
      <c r="M21" s="23">
        <v>18</v>
      </c>
      <c r="N21" s="24">
        <v>733.76926869303247</v>
      </c>
      <c r="O21" s="24">
        <v>745.3211260021676</v>
      </c>
      <c r="P21" s="24">
        <v>753.56689613309209</v>
      </c>
      <c r="Q21" s="24">
        <v>763.48566614951687</v>
      </c>
      <c r="R21" s="24">
        <v>746.82986537048112</v>
      </c>
      <c r="S21" s="24">
        <v>752.60051268676261</v>
      </c>
      <c r="T21" s="24">
        <v>765.28803240966442</v>
      </c>
      <c r="U21" s="24">
        <v>747.43293742255162</v>
      </c>
      <c r="V21" s="24">
        <v>763.84271456523629</v>
      </c>
      <c r="W21" s="25">
        <v>761.66237423090149</v>
      </c>
    </row>
    <row r="22" spans="1:23" x14ac:dyDescent="0.3">
      <c r="A22" s="23">
        <v>19</v>
      </c>
      <c r="B22" s="24">
        <v>1209.679708220654</v>
      </c>
      <c r="C22" s="24">
        <v>1213.7112437708292</v>
      </c>
      <c r="D22" s="24">
        <v>1214.2728021735109</v>
      </c>
      <c r="E22" s="24">
        <v>1209.5362564733259</v>
      </c>
      <c r="F22" s="24">
        <v>1210.4062554445591</v>
      </c>
      <c r="G22" s="24">
        <v>1212.7011516265889</v>
      </c>
      <c r="H22" s="24">
        <v>1207.4740027881198</v>
      </c>
      <c r="I22" s="24">
        <v>1212.3151536275891</v>
      </c>
      <c r="J22" s="24">
        <v>1209.179419118826</v>
      </c>
      <c r="K22" s="25">
        <v>1209.5801600912121</v>
      </c>
      <c r="L22" s="3"/>
      <c r="M22" s="23">
        <v>19</v>
      </c>
      <c r="N22" s="24">
        <v>1148.2892099020269</v>
      </c>
      <c r="O22" s="24">
        <v>1151.8707718502696</v>
      </c>
      <c r="P22" s="24">
        <v>1160.1635755448888</v>
      </c>
      <c r="Q22" s="24">
        <v>1160.7338942205781</v>
      </c>
      <c r="R22" s="24">
        <v>1158.8351250165711</v>
      </c>
      <c r="S22" s="24">
        <v>1158.9506431418081</v>
      </c>
      <c r="T22" s="24">
        <v>1146.8396658915647</v>
      </c>
      <c r="U22" s="24">
        <v>1171.7777718958541</v>
      </c>
      <c r="V22" s="24">
        <v>1161.4105909179809</v>
      </c>
      <c r="W22" s="25">
        <v>1158.1059980879013</v>
      </c>
    </row>
    <row r="23" spans="1:23" x14ac:dyDescent="0.3">
      <c r="A23" s="23">
        <v>20</v>
      </c>
      <c r="B23" s="24">
        <v>1214.5285572452501</v>
      </c>
      <c r="C23" s="24">
        <v>1211.548835202407</v>
      </c>
      <c r="D23" s="24">
        <v>1210.956763009136</v>
      </c>
      <c r="E23" s="24">
        <v>1213.1536552083608</v>
      </c>
      <c r="F23" s="24">
        <v>1209.4039832411661</v>
      </c>
      <c r="G23" s="24">
        <v>1215.7197537736931</v>
      </c>
      <c r="H23" s="24">
        <v>1207.492282665386</v>
      </c>
      <c r="I23" s="24">
        <v>1212.4304423935678</v>
      </c>
      <c r="J23" s="24">
        <v>1213.839557819605</v>
      </c>
      <c r="K23" s="25">
        <v>1212.314094404293</v>
      </c>
      <c r="L23" s="3"/>
      <c r="M23" s="23">
        <v>20</v>
      </c>
      <c r="N23" s="24">
        <v>1158.0699807557485</v>
      </c>
      <c r="O23" s="24">
        <v>1137.282946416836</v>
      </c>
      <c r="P23" s="24">
        <v>1145.8159538729867</v>
      </c>
      <c r="Q23" s="24">
        <v>1146.1424158863717</v>
      </c>
      <c r="R23" s="24">
        <v>1144.3578768927387</v>
      </c>
      <c r="S23" s="24">
        <v>1147.6196005922864</v>
      </c>
      <c r="T23" s="24">
        <v>1144.7625384867686</v>
      </c>
      <c r="U23" s="24">
        <v>1159.5795228291443</v>
      </c>
      <c r="V23" s="24">
        <v>1150.5057329303099</v>
      </c>
      <c r="W23" s="25">
        <v>1144.3074987037542</v>
      </c>
    </row>
    <row r="24" spans="1:23" x14ac:dyDescent="0.3">
      <c r="A24" s="23">
        <v>21</v>
      </c>
      <c r="B24" s="24">
        <v>1210.591316819588</v>
      </c>
      <c r="C24" s="24">
        <v>1215.2016836637849</v>
      </c>
      <c r="D24" s="24">
        <v>1206.043542144077</v>
      </c>
      <c r="E24" s="24">
        <v>1212.9451547761009</v>
      </c>
      <c r="F24" s="24">
        <v>1211.986818051867</v>
      </c>
      <c r="G24" s="24">
        <v>1209.5298944344311</v>
      </c>
      <c r="H24" s="24">
        <v>1211.4358083120849</v>
      </c>
      <c r="I24" s="24">
        <v>1209.244296659368</v>
      </c>
      <c r="J24" s="24">
        <v>1209.1508112420011</v>
      </c>
      <c r="K24" s="25">
        <v>1210.3902567847051</v>
      </c>
      <c r="L24" s="3"/>
      <c r="M24" s="23">
        <v>21</v>
      </c>
      <c r="N24" s="24">
        <v>1157.4829214634112</v>
      </c>
      <c r="O24" s="24">
        <v>1160.9664136359511</v>
      </c>
      <c r="P24" s="24">
        <v>1146.3634556686613</v>
      </c>
      <c r="Q24" s="24">
        <v>1151.414745833064</v>
      </c>
      <c r="R24" s="24">
        <v>1128.3547661644313</v>
      </c>
      <c r="S24" s="24">
        <v>1147.0293996380251</v>
      </c>
      <c r="T24" s="24">
        <v>1159.323549243454</v>
      </c>
      <c r="U24" s="24">
        <v>1151.8883105224022</v>
      </c>
      <c r="V24" s="24">
        <v>1157.8684788499493</v>
      </c>
      <c r="W24" s="25">
        <v>1146.9068399803655</v>
      </c>
    </row>
    <row r="25" spans="1:23" x14ac:dyDescent="0.3">
      <c r="A25" s="23">
        <v>22</v>
      </c>
      <c r="B25" s="24">
        <v>1212.7816627810319</v>
      </c>
      <c r="C25" s="24">
        <v>1211.0017539755452</v>
      </c>
      <c r="D25" s="24">
        <v>1214.2434149005001</v>
      </c>
      <c r="E25" s="24">
        <v>1212.151763782475</v>
      </c>
      <c r="F25" s="24">
        <v>1209.6921327919611</v>
      </c>
      <c r="G25" s="24">
        <v>1213.5395528931931</v>
      </c>
      <c r="H25" s="24">
        <v>1208.4672808847972</v>
      </c>
      <c r="I25" s="24">
        <v>1206.952351767939</v>
      </c>
      <c r="J25" s="24">
        <v>1211.382422254753</v>
      </c>
      <c r="K25" s="25">
        <v>1209.8153460225449</v>
      </c>
      <c r="L25" s="3"/>
      <c r="M25" s="23">
        <v>22</v>
      </c>
      <c r="N25" s="24">
        <v>1173.8629028357416</v>
      </c>
      <c r="O25" s="24">
        <v>1163.1274307998967</v>
      </c>
      <c r="P25" s="24">
        <v>1154.1160712866147</v>
      </c>
      <c r="Q25" s="24">
        <v>1162.2856346762628</v>
      </c>
      <c r="R25" s="24">
        <v>1146.4212270828634</v>
      </c>
      <c r="S25" s="24">
        <v>1159.1294521534228</v>
      </c>
      <c r="T25" s="24">
        <v>1136.891038363417</v>
      </c>
      <c r="U25" s="24">
        <v>1159.3918250779654</v>
      </c>
      <c r="V25" s="24">
        <v>1160.9689945888733</v>
      </c>
      <c r="W25" s="25">
        <v>1150.7386523231878</v>
      </c>
    </row>
    <row r="26" spans="1:23" x14ac:dyDescent="0.3">
      <c r="A26" s="23">
        <v>23</v>
      </c>
      <c r="B26" s="24">
        <v>1207.8468866289779</v>
      </c>
      <c r="C26" s="24">
        <v>1210.1536309835401</v>
      </c>
      <c r="D26" s="24">
        <v>1209.5034054250509</v>
      </c>
      <c r="E26" s="24">
        <v>1210.5045280977229</v>
      </c>
      <c r="F26" s="24">
        <v>1214.87322618301</v>
      </c>
      <c r="G26" s="24">
        <v>1210.9172138862691</v>
      </c>
      <c r="H26" s="24">
        <v>1209.72865848219</v>
      </c>
      <c r="I26" s="24">
        <v>1212.8132939431759</v>
      </c>
      <c r="J26" s="24">
        <v>1211.648431477003</v>
      </c>
      <c r="K26" s="25">
        <v>1210.0319757442319</v>
      </c>
      <c r="L26" s="3"/>
      <c r="M26" s="23">
        <v>23</v>
      </c>
      <c r="N26" s="24">
        <v>1145.4845510656544</v>
      </c>
      <c r="O26" s="24">
        <v>1161.7087994634605</v>
      </c>
      <c r="P26" s="24">
        <v>1146.2089272000283</v>
      </c>
      <c r="Q26" s="24">
        <v>1135.8809220846038</v>
      </c>
      <c r="R26" s="24">
        <v>1157.1896661612418</v>
      </c>
      <c r="S26" s="24">
        <v>1160.2951178182127</v>
      </c>
      <c r="T26" s="24">
        <v>1165.8689387715406</v>
      </c>
      <c r="U26" s="24">
        <v>1160.5348997193846</v>
      </c>
      <c r="V26" s="24">
        <v>1172.4973791643567</v>
      </c>
      <c r="W26" s="25">
        <v>1149.1103000804285</v>
      </c>
    </row>
    <row r="27" spans="1:23" x14ac:dyDescent="0.3">
      <c r="A27" s="23">
        <v>24</v>
      </c>
      <c r="B27" s="24">
        <v>1212.6652822989863</v>
      </c>
      <c r="C27" s="24">
        <v>1206.38974192259</v>
      </c>
      <c r="D27" s="24">
        <v>1214.816617921844</v>
      </c>
      <c r="E27" s="24">
        <v>1212.0322193164961</v>
      </c>
      <c r="F27" s="24">
        <v>1211.8321823702011</v>
      </c>
      <c r="G27" s="24">
        <v>1213.83026205388</v>
      </c>
      <c r="H27" s="24">
        <v>1213.2314030221241</v>
      </c>
      <c r="I27" s="24">
        <v>1211.4046645601891</v>
      </c>
      <c r="J27" s="24">
        <v>1212.6390595710011</v>
      </c>
      <c r="K27" s="25">
        <v>1213.1401628309909</v>
      </c>
      <c r="L27" s="3"/>
      <c r="M27" s="23">
        <v>24</v>
      </c>
      <c r="N27" s="24">
        <v>1133.7053133325776</v>
      </c>
      <c r="O27" s="24">
        <v>1157.3294558350553</v>
      </c>
      <c r="P27" s="24">
        <v>1160.11259696866</v>
      </c>
      <c r="Q27" s="24">
        <v>1164.3302787588873</v>
      </c>
      <c r="R27" s="24">
        <v>1160.0113721672694</v>
      </c>
      <c r="S27" s="24">
        <v>1147.5813537815616</v>
      </c>
      <c r="T27" s="24">
        <v>1162.0539312089795</v>
      </c>
      <c r="U27" s="24">
        <v>1160.0726223373401</v>
      </c>
      <c r="V27" s="24">
        <v>1146.1300211798055</v>
      </c>
      <c r="W27" s="25">
        <v>1161.0913229565824</v>
      </c>
    </row>
    <row r="28" spans="1:23" x14ac:dyDescent="0.3">
      <c r="A28" s="23">
        <v>25</v>
      </c>
      <c r="B28" s="24">
        <v>1209.5451331927509</v>
      </c>
      <c r="C28" s="24">
        <v>1211.325421906992</v>
      </c>
      <c r="D28" s="24">
        <v>1212.9322984618118</v>
      </c>
      <c r="E28" s="24">
        <v>1210.325446377939</v>
      </c>
      <c r="F28" s="24">
        <v>1212.161724816568</v>
      </c>
      <c r="G28" s="24">
        <v>1210.6446972767831</v>
      </c>
      <c r="H28" s="24">
        <v>1213.828957556459</v>
      </c>
      <c r="I28" s="24">
        <v>1210.0883584821358</v>
      </c>
      <c r="J28" s="24">
        <v>1210.2096399857389</v>
      </c>
      <c r="K28" s="25">
        <v>1212.4512953477602</v>
      </c>
      <c r="L28" s="3"/>
      <c r="M28" s="23">
        <v>25</v>
      </c>
      <c r="N28" s="24">
        <v>1149.8397454257256</v>
      </c>
      <c r="O28" s="24">
        <v>1150.1556533552964</v>
      </c>
      <c r="P28" s="24">
        <v>1149.7435339014132</v>
      </c>
      <c r="Q28" s="24">
        <v>1160.4907549417846</v>
      </c>
      <c r="R28" s="24">
        <v>1148.8851198276634</v>
      </c>
      <c r="S28" s="24">
        <v>1149.7799809899259</v>
      </c>
      <c r="T28" s="24">
        <v>1134.0479173707838</v>
      </c>
      <c r="U28" s="24">
        <v>1134.8248837740953</v>
      </c>
      <c r="V28" s="24">
        <v>1161.1052775652649</v>
      </c>
      <c r="W28" s="25">
        <v>1144.1144702953698</v>
      </c>
    </row>
    <row r="29" spans="1:23" x14ac:dyDescent="0.3">
      <c r="A29" s="23">
        <v>26</v>
      </c>
      <c r="B29" s="24">
        <v>1211.62056857619</v>
      </c>
      <c r="C29" s="24">
        <v>1212.9705859282599</v>
      </c>
      <c r="D29" s="24">
        <v>1209.4875995773182</v>
      </c>
      <c r="E29" s="24">
        <v>1216.883193838574</v>
      </c>
      <c r="F29" s="24">
        <v>1213.680527038518</v>
      </c>
      <c r="G29" s="24">
        <v>1212.2896298117209</v>
      </c>
      <c r="H29" s="24">
        <v>1212.046037023706</v>
      </c>
      <c r="I29" s="24">
        <v>1210.2996237585498</v>
      </c>
      <c r="J29" s="24">
        <v>1211.923282912662</v>
      </c>
      <c r="K29" s="25">
        <v>1210.5428039161691</v>
      </c>
      <c r="L29" s="3"/>
      <c r="M29" s="23">
        <v>26</v>
      </c>
      <c r="N29" s="24">
        <v>1147.776799725511</v>
      </c>
      <c r="O29" s="24">
        <v>1156.3322143206738</v>
      </c>
      <c r="P29" s="24">
        <v>1161.7626206991197</v>
      </c>
      <c r="Q29" s="24">
        <v>1129.2321463893854</v>
      </c>
      <c r="R29" s="24">
        <v>1145.6854232119456</v>
      </c>
      <c r="S29" s="24">
        <v>1164.1993329891711</v>
      </c>
      <c r="T29" s="24">
        <v>1135.2710757315549</v>
      </c>
      <c r="U29" s="24">
        <v>1140.3013499761867</v>
      </c>
      <c r="V29" s="24">
        <v>1157.1889005784233</v>
      </c>
      <c r="W29" s="25">
        <v>1147.3412143767946</v>
      </c>
    </row>
    <row r="30" spans="1:23" x14ac:dyDescent="0.3">
      <c r="A30" s="23">
        <v>27</v>
      </c>
      <c r="B30" s="24">
        <v>1213.4382385058661</v>
      </c>
      <c r="C30" s="24">
        <v>1207.9838313489729</v>
      </c>
      <c r="D30" s="24">
        <v>1215.2003735943829</v>
      </c>
      <c r="E30" s="24">
        <v>1215.3412121108749</v>
      </c>
      <c r="F30" s="24">
        <v>1210.9237224894869</v>
      </c>
      <c r="G30" s="24">
        <v>1213.0850351633239</v>
      </c>
      <c r="H30" s="24">
        <v>1212.8930149233568</v>
      </c>
      <c r="I30" s="24">
        <v>1213.9523629300647</v>
      </c>
      <c r="J30" s="24">
        <v>1212.6592539169319</v>
      </c>
      <c r="K30" s="25">
        <v>1213.1502265559809</v>
      </c>
      <c r="L30" s="3"/>
      <c r="M30" s="23">
        <v>27</v>
      </c>
      <c r="N30" s="24">
        <v>1163.2307335544881</v>
      </c>
      <c r="O30" s="24">
        <v>1148.5130436687668</v>
      </c>
      <c r="P30" s="24">
        <v>1161.2325536547328</v>
      </c>
      <c r="Q30" s="24">
        <v>1149.917140196965</v>
      </c>
      <c r="R30" s="24">
        <v>1164.0405840052701</v>
      </c>
      <c r="S30" s="24">
        <v>1147.0725570111504</v>
      </c>
      <c r="T30" s="24">
        <v>1160.410756363256</v>
      </c>
      <c r="U30" s="24">
        <v>1132.1287368169531</v>
      </c>
      <c r="V30" s="24">
        <v>1172.5728701534774</v>
      </c>
      <c r="W30" s="25">
        <v>1147.4652923564142</v>
      </c>
    </row>
    <row r="31" spans="1:23" x14ac:dyDescent="0.3">
      <c r="A31" s="23">
        <v>28</v>
      </c>
      <c r="B31" s="24">
        <v>1188.812807862512</v>
      </c>
      <c r="C31" s="24">
        <v>1184.942462184124</v>
      </c>
      <c r="D31" s="24">
        <v>1190.9447391946469</v>
      </c>
      <c r="E31" s="24">
        <v>1188.972259504817</v>
      </c>
      <c r="F31" s="24">
        <v>1187.278888773548</v>
      </c>
      <c r="G31" s="24">
        <v>1188.313350347551</v>
      </c>
      <c r="H31" s="24">
        <v>1185.4919890259089</v>
      </c>
      <c r="I31" s="24">
        <v>1189.5992164644019</v>
      </c>
      <c r="J31" s="24">
        <v>1184.913601498225</v>
      </c>
      <c r="K31" s="25">
        <v>1188.2999888897721</v>
      </c>
      <c r="L31" s="3"/>
      <c r="M31" s="23">
        <v>28</v>
      </c>
      <c r="N31" s="24">
        <v>441.55995992594336</v>
      </c>
      <c r="O31" s="24">
        <v>440.39434010346997</v>
      </c>
      <c r="P31" s="24">
        <v>440.72032565764027</v>
      </c>
      <c r="Q31" s="24">
        <v>442.48051173360142</v>
      </c>
      <c r="R31" s="24">
        <v>440.22078707801086</v>
      </c>
      <c r="S31" s="24">
        <v>441.74165416922204</v>
      </c>
      <c r="T31" s="24">
        <v>443.17922554200101</v>
      </c>
      <c r="U31" s="24">
        <v>443.60220001615437</v>
      </c>
      <c r="V31" s="24">
        <v>441.42291382068947</v>
      </c>
      <c r="W31" s="25">
        <v>441.13976807696031</v>
      </c>
    </row>
    <row r="32" spans="1:23" x14ac:dyDescent="0.3">
      <c r="A32" s="23">
        <v>29</v>
      </c>
      <c r="B32" s="24">
        <v>1187.8609448472348</v>
      </c>
      <c r="C32" s="24">
        <v>1186.5794157850389</v>
      </c>
      <c r="D32" s="24">
        <v>1186.032863510658</v>
      </c>
      <c r="E32" s="24">
        <v>1188.1263202111199</v>
      </c>
      <c r="F32" s="24">
        <v>1185.3343414250498</v>
      </c>
      <c r="G32" s="24">
        <v>1185.4435707259579</v>
      </c>
      <c r="H32" s="24">
        <v>1188.2175378289221</v>
      </c>
      <c r="I32" s="24">
        <v>1185.8448264787999</v>
      </c>
      <c r="J32" s="24">
        <v>1191.5265997553779</v>
      </c>
      <c r="K32" s="25">
        <v>1185.4198967634211</v>
      </c>
      <c r="L32" s="3"/>
      <c r="M32" s="23">
        <v>29</v>
      </c>
      <c r="N32" s="24">
        <v>441.44487486718828</v>
      </c>
      <c r="O32" s="24">
        <v>439.04585082905021</v>
      </c>
      <c r="P32" s="24">
        <v>441.8844605702414</v>
      </c>
      <c r="Q32" s="24">
        <v>442.0730993801958</v>
      </c>
      <c r="R32" s="24">
        <v>443.11002901874798</v>
      </c>
      <c r="S32" s="24">
        <v>440.27409398204554</v>
      </c>
      <c r="T32" s="24">
        <v>442.3829673162391</v>
      </c>
      <c r="U32" s="24">
        <v>439.791136510451</v>
      </c>
      <c r="V32" s="24">
        <v>441.047441572568</v>
      </c>
      <c r="W32" s="25">
        <v>440.65351274353384</v>
      </c>
    </row>
    <row r="33" spans="1:23" x14ac:dyDescent="0.3">
      <c r="A33" s="23">
        <v>30</v>
      </c>
      <c r="B33" s="24">
        <v>1188.797577648498</v>
      </c>
      <c r="C33" s="24">
        <v>1188.6007688130551</v>
      </c>
      <c r="D33" s="24">
        <v>1188.9814174477979</v>
      </c>
      <c r="E33" s="24">
        <v>1185.672385522239</v>
      </c>
      <c r="F33" s="24">
        <v>1188.0607651999539</v>
      </c>
      <c r="G33" s="24">
        <v>1186.201456473651</v>
      </c>
      <c r="H33" s="24">
        <v>1189.22047903264</v>
      </c>
      <c r="I33" s="24">
        <v>1183.360158010842</v>
      </c>
      <c r="J33" s="24">
        <v>1187.2572599116991</v>
      </c>
      <c r="K33" s="25">
        <v>1186.899116456241</v>
      </c>
      <c r="L33" s="3"/>
      <c r="M33" s="23">
        <v>30</v>
      </c>
      <c r="N33" s="24">
        <v>441.90863181869099</v>
      </c>
      <c r="O33" s="24">
        <v>441.33044895596657</v>
      </c>
      <c r="P33" s="24">
        <v>438.53920078380406</v>
      </c>
      <c r="Q33" s="24">
        <v>441.0609356301714</v>
      </c>
      <c r="R33" s="24">
        <v>440.24008343586803</v>
      </c>
      <c r="S33" s="24">
        <v>441.72346944942319</v>
      </c>
      <c r="T33" s="24">
        <v>441.81173013360598</v>
      </c>
      <c r="U33" s="24">
        <v>442.39093143391568</v>
      </c>
      <c r="V33" s="24">
        <v>440.9681476051598</v>
      </c>
      <c r="W33" s="25">
        <v>439.9971348799528</v>
      </c>
    </row>
    <row r="34" spans="1:23" x14ac:dyDescent="0.3">
      <c r="A34" s="23">
        <v>31</v>
      </c>
      <c r="B34" s="24">
        <v>1186.5857336860372</v>
      </c>
      <c r="C34" s="24">
        <v>1188.225017960651</v>
      </c>
      <c r="D34" s="24">
        <v>1184.9364948453699</v>
      </c>
      <c r="E34" s="24">
        <v>1191.130639536935</v>
      </c>
      <c r="F34" s="24">
        <v>1186.032467718017</v>
      </c>
      <c r="G34" s="24">
        <v>1188.313522550932</v>
      </c>
      <c r="H34" s="24">
        <v>1187.950818773558</v>
      </c>
      <c r="I34" s="24">
        <v>1187.1083690603971</v>
      </c>
      <c r="J34" s="24">
        <v>1189.0739557419311</v>
      </c>
      <c r="K34" s="25">
        <v>1192.1676909567668</v>
      </c>
      <c r="L34" s="3"/>
      <c r="M34" s="23">
        <v>31</v>
      </c>
      <c r="N34" s="24">
        <v>441.62319514398149</v>
      </c>
      <c r="O34" s="24">
        <v>438.80292661930429</v>
      </c>
      <c r="P34" s="24">
        <v>442.0726577036225</v>
      </c>
      <c r="Q34" s="24">
        <v>438.58335298673421</v>
      </c>
      <c r="R34" s="24">
        <v>441.65939136678503</v>
      </c>
      <c r="S34" s="24">
        <v>441.57934266703171</v>
      </c>
      <c r="T34" s="24">
        <v>441.04376050278358</v>
      </c>
      <c r="U34" s="24">
        <v>442.95458509800699</v>
      </c>
      <c r="V34" s="24">
        <v>442.4850654684127</v>
      </c>
      <c r="W34" s="25">
        <v>441.04117775740343</v>
      </c>
    </row>
    <row r="35" spans="1:23" x14ac:dyDescent="0.3">
      <c r="A35" s="23">
        <v>32</v>
      </c>
      <c r="B35" s="24">
        <v>1191.632659508278</v>
      </c>
      <c r="C35" s="24">
        <v>1188.0957752994441</v>
      </c>
      <c r="D35" s="24">
        <v>1186.9817829093458</v>
      </c>
      <c r="E35" s="24">
        <v>1186.1184528403451</v>
      </c>
      <c r="F35" s="24">
        <v>1184.1997902687399</v>
      </c>
      <c r="G35" s="24">
        <v>1187.5482659153931</v>
      </c>
      <c r="H35" s="24">
        <v>1189.0081906668802</v>
      </c>
      <c r="I35" s="24">
        <v>1185.370825318189</v>
      </c>
      <c r="J35" s="24">
        <v>1182.7268561081071</v>
      </c>
      <c r="K35" s="25">
        <v>1187.288969154263</v>
      </c>
      <c r="L35" s="3"/>
      <c r="M35" s="23">
        <v>32</v>
      </c>
      <c r="N35" s="24">
        <v>444.14874803145403</v>
      </c>
      <c r="O35" s="24">
        <v>443.15367666550105</v>
      </c>
      <c r="P35" s="24">
        <v>438.9984302140856</v>
      </c>
      <c r="Q35" s="24">
        <v>441.50083681055742</v>
      </c>
      <c r="R35" s="24">
        <v>440.58838659656169</v>
      </c>
      <c r="S35" s="24">
        <v>440.17751000674298</v>
      </c>
      <c r="T35" s="24">
        <v>438.91596151441655</v>
      </c>
      <c r="U35" s="24">
        <v>439.869224309983</v>
      </c>
      <c r="V35" s="24">
        <v>441.79708434840381</v>
      </c>
      <c r="W35" s="25">
        <v>441.2164876231223</v>
      </c>
    </row>
    <row r="36" spans="1:23" x14ac:dyDescent="0.3">
      <c r="A36" s="23">
        <v>33</v>
      </c>
      <c r="B36" s="24">
        <v>1187.5487071128289</v>
      </c>
      <c r="C36" s="24">
        <v>1188.3277602664539</v>
      </c>
      <c r="D36" s="24">
        <v>1185.6139347244691</v>
      </c>
      <c r="E36" s="24">
        <v>1185.153319191905</v>
      </c>
      <c r="F36" s="24">
        <v>1189.0130523176749</v>
      </c>
      <c r="G36" s="24">
        <v>1189.075275897866</v>
      </c>
      <c r="H36" s="24">
        <v>1189.5681557961759</v>
      </c>
      <c r="I36" s="24">
        <v>1188.594634808507</v>
      </c>
      <c r="J36" s="24">
        <v>1187.985445525976</v>
      </c>
      <c r="K36" s="25">
        <v>1188.956028808816</v>
      </c>
      <c r="L36" s="3"/>
      <c r="M36" s="23">
        <v>33</v>
      </c>
      <c r="N36" s="24">
        <v>441.30764149814195</v>
      </c>
      <c r="O36" s="24">
        <v>441.14734843575121</v>
      </c>
      <c r="P36" s="24">
        <v>443.14146472520127</v>
      </c>
      <c r="Q36" s="24">
        <v>441.8271333342542</v>
      </c>
      <c r="R36" s="24">
        <v>440.52873129040768</v>
      </c>
      <c r="S36" s="24">
        <v>441.11725189868469</v>
      </c>
      <c r="T36" s="24">
        <v>440.79279114729303</v>
      </c>
      <c r="U36" s="24">
        <v>439.95117980764303</v>
      </c>
      <c r="V36" s="24">
        <v>441.35823978539895</v>
      </c>
      <c r="W36" s="25">
        <v>439.83144406984587</v>
      </c>
    </row>
    <row r="37" spans="1:23" x14ac:dyDescent="0.3">
      <c r="A37" s="23">
        <v>34</v>
      </c>
      <c r="B37" s="24">
        <v>1186.3754969143431</v>
      </c>
      <c r="C37" s="24">
        <v>1186.8536031360579</v>
      </c>
      <c r="D37" s="24">
        <v>1190.449217462216</v>
      </c>
      <c r="E37" s="24">
        <v>1186.7736334254471</v>
      </c>
      <c r="F37" s="24">
        <v>1188.0819017725059</v>
      </c>
      <c r="G37" s="24">
        <v>1189.6328386865471</v>
      </c>
      <c r="H37" s="24">
        <v>1181.8978421866739</v>
      </c>
      <c r="I37" s="24">
        <v>1183.847184034681</v>
      </c>
      <c r="J37" s="24">
        <v>1188.3350651856372</v>
      </c>
      <c r="K37" s="25">
        <v>1187.2776437770881</v>
      </c>
      <c r="L37" s="3"/>
      <c r="M37" s="23">
        <v>34</v>
      </c>
      <c r="N37" s="24">
        <v>438.60057814324716</v>
      </c>
      <c r="O37" s="24">
        <v>439.8648802027966</v>
      </c>
      <c r="P37" s="24">
        <v>442.87929914214408</v>
      </c>
      <c r="Q37" s="24">
        <v>442.62458376323571</v>
      </c>
      <c r="R37" s="24">
        <v>441.56213342831865</v>
      </c>
      <c r="S37" s="24">
        <v>440.56913749373859</v>
      </c>
      <c r="T37" s="24">
        <v>439.42865741357878</v>
      </c>
      <c r="U37" s="24">
        <v>443.49851846489742</v>
      </c>
      <c r="V37" s="24">
        <v>443.29493565630997</v>
      </c>
      <c r="W37" s="25">
        <v>439.26100423905262</v>
      </c>
    </row>
    <row r="38" spans="1:23" x14ac:dyDescent="0.3">
      <c r="A38" s="23">
        <v>35</v>
      </c>
      <c r="B38" s="24">
        <v>1188.309162775151</v>
      </c>
      <c r="C38" s="24">
        <v>1188.035664728681</v>
      </c>
      <c r="D38" s="24">
        <v>1189.6802600597659</v>
      </c>
      <c r="E38" s="24">
        <v>1188.81329275811</v>
      </c>
      <c r="F38" s="24">
        <v>1187.7893937114839</v>
      </c>
      <c r="G38" s="24">
        <v>1187.963773183817</v>
      </c>
      <c r="H38" s="24">
        <v>1189.6743254167479</v>
      </c>
      <c r="I38" s="24">
        <v>1185.399362720806</v>
      </c>
      <c r="J38" s="24">
        <v>1185.5869317636148</v>
      </c>
      <c r="K38" s="25">
        <v>1186.1663019027321</v>
      </c>
      <c r="L38" s="3"/>
      <c r="M38" s="23">
        <v>35</v>
      </c>
      <c r="N38" s="24">
        <v>440.01141597242508</v>
      </c>
      <c r="O38" s="24">
        <v>440.39507056743946</v>
      </c>
      <c r="P38" s="24">
        <v>440.57339161391053</v>
      </c>
      <c r="Q38" s="24">
        <v>442.33782507721901</v>
      </c>
      <c r="R38" s="24">
        <v>441.2867302279152</v>
      </c>
      <c r="S38" s="24">
        <v>441.54772789631477</v>
      </c>
      <c r="T38" s="24">
        <v>439.43933770805234</v>
      </c>
      <c r="U38" s="24">
        <v>442.50244549307541</v>
      </c>
      <c r="V38" s="24">
        <v>440.20955949555383</v>
      </c>
      <c r="W38" s="25">
        <v>441.03470611598942</v>
      </c>
    </row>
    <row r="39" spans="1:23" x14ac:dyDescent="0.3">
      <c r="A39" s="23">
        <v>36</v>
      </c>
      <c r="B39" s="24">
        <v>1184.623291487354</v>
      </c>
      <c r="C39" s="24">
        <v>1188.659647685618</v>
      </c>
      <c r="D39" s="24">
        <v>1187.1962279388219</v>
      </c>
      <c r="E39" s="24">
        <v>1186.7581090381591</v>
      </c>
      <c r="F39" s="24">
        <v>1185.207095078503</v>
      </c>
      <c r="G39" s="24">
        <v>1186.7182105965771</v>
      </c>
      <c r="H39" s="24">
        <v>1184.8338751979668</v>
      </c>
      <c r="I39" s="24">
        <v>1190.1400990669301</v>
      </c>
      <c r="J39" s="24">
        <v>1185.7102862671352</v>
      </c>
      <c r="K39" s="25">
        <v>1184.4000966494709</v>
      </c>
      <c r="L39" s="3"/>
      <c r="M39" s="23">
        <v>36</v>
      </c>
      <c r="N39" s="24">
        <v>441.05951951198654</v>
      </c>
      <c r="O39" s="24">
        <v>441.68270262805623</v>
      </c>
      <c r="P39" s="24">
        <v>441.6614787123994</v>
      </c>
      <c r="Q39" s="24">
        <v>439.44434068776468</v>
      </c>
      <c r="R39" s="24">
        <v>441.2540806418686</v>
      </c>
      <c r="S39" s="24">
        <v>442.013206180537</v>
      </c>
      <c r="T39" s="24">
        <v>438.69998706427009</v>
      </c>
      <c r="U39" s="24">
        <v>440.97474146783259</v>
      </c>
      <c r="V39" s="24">
        <v>442.081111970287</v>
      </c>
      <c r="W39" s="25">
        <v>440.27370506084742</v>
      </c>
    </row>
    <row r="40" spans="1:23" x14ac:dyDescent="0.3">
      <c r="A40" s="23">
        <v>37</v>
      </c>
      <c r="B40" s="24">
        <v>1215.5155520929939</v>
      </c>
      <c r="C40" s="24">
        <v>1216.5238947813159</v>
      </c>
      <c r="D40" s="24">
        <v>1219.1946113538199</v>
      </c>
      <c r="E40" s="24">
        <v>1213.546787857219</v>
      </c>
      <c r="F40" s="24">
        <v>1217.262263669727</v>
      </c>
      <c r="G40" s="24">
        <v>1215.1982717521209</v>
      </c>
      <c r="H40" s="24">
        <v>1215.179233715671</v>
      </c>
      <c r="I40" s="24">
        <v>1214.302568552441</v>
      </c>
      <c r="J40" s="24">
        <v>1212.191064795225</v>
      </c>
      <c r="K40" s="25">
        <v>1215.7042625049839</v>
      </c>
      <c r="L40" s="3"/>
      <c r="M40" s="23">
        <v>37</v>
      </c>
      <c r="N40" s="24">
        <v>896.00874844466591</v>
      </c>
      <c r="O40" s="24">
        <v>894.69146077675737</v>
      </c>
      <c r="P40" s="24">
        <v>896.64894796317606</v>
      </c>
      <c r="Q40" s="24">
        <v>895.52553368126303</v>
      </c>
      <c r="R40" s="24">
        <v>896.15657263063031</v>
      </c>
      <c r="S40" s="24">
        <v>914.44779459400775</v>
      </c>
      <c r="T40" s="24">
        <v>893.44708399463036</v>
      </c>
      <c r="U40" s="24">
        <v>895.17790924050166</v>
      </c>
      <c r="V40" s="24">
        <v>908.50076375180026</v>
      </c>
      <c r="W40" s="25">
        <v>898.17113505368297</v>
      </c>
    </row>
    <row r="41" spans="1:23" x14ac:dyDescent="0.3">
      <c r="A41" s="23">
        <v>38</v>
      </c>
      <c r="B41" s="24">
        <v>1212.7801010486728</v>
      </c>
      <c r="C41" s="24">
        <v>1214.117007481593</v>
      </c>
      <c r="D41" s="24">
        <v>1217.374702369184</v>
      </c>
      <c r="E41" s="24">
        <v>1214.2117735969191</v>
      </c>
      <c r="F41" s="24">
        <v>1215.542294481525</v>
      </c>
      <c r="G41" s="24">
        <v>1214.0088693208729</v>
      </c>
      <c r="H41" s="24">
        <v>1215.3854410901272</v>
      </c>
      <c r="I41" s="24">
        <v>1213.574494454904</v>
      </c>
      <c r="J41" s="24">
        <v>1212.8860660106509</v>
      </c>
      <c r="K41" s="25">
        <v>1216.139079051381</v>
      </c>
      <c r="L41" s="3"/>
      <c r="M41" s="23">
        <v>38</v>
      </c>
      <c r="N41" s="24">
        <v>895.02989642451382</v>
      </c>
      <c r="O41" s="24">
        <v>897.04091866356316</v>
      </c>
      <c r="P41" s="24">
        <v>894.49862929140568</v>
      </c>
      <c r="Q41" s="24">
        <v>891.75389307980709</v>
      </c>
      <c r="R41" s="24">
        <v>892.27975622234271</v>
      </c>
      <c r="S41" s="24">
        <v>890.93554317260123</v>
      </c>
      <c r="T41" s="24">
        <v>893.26443037681895</v>
      </c>
      <c r="U41" s="24">
        <v>892.68093845385249</v>
      </c>
      <c r="V41" s="24">
        <v>913.68870525533248</v>
      </c>
      <c r="W41" s="25">
        <v>912.42787297275913</v>
      </c>
    </row>
    <row r="42" spans="1:23" x14ac:dyDescent="0.3">
      <c r="A42" s="23">
        <v>39</v>
      </c>
      <c r="B42" s="24">
        <v>1212.5563146267821</v>
      </c>
      <c r="C42" s="24">
        <v>1214.5433196003551</v>
      </c>
      <c r="D42" s="24">
        <v>1214.1345622300801</v>
      </c>
      <c r="E42" s="24">
        <v>1213.010689893197</v>
      </c>
      <c r="F42" s="24">
        <v>1213.3934819432779</v>
      </c>
      <c r="G42" s="24">
        <v>1212.9959346981361</v>
      </c>
      <c r="H42" s="24">
        <v>1214.6790871701619</v>
      </c>
      <c r="I42" s="24">
        <v>1216.4245993864679</v>
      </c>
      <c r="J42" s="24">
        <v>1217.2391446661161</v>
      </c>
      <c r="K42" s="25">
        <v>1216.359889744147</v>
      </c>
      <c r="L42" s="3"/>
      <c r="M42" s="23">
        <v>39</v>
      </c>
      <c r="N42" s="24">
        <v>915.91445150699724</v>
      </c>
      <c r="O42" s="24">
        <v>914.00908197666502</v>
      </c>
      <c r="P42" s="24">
        <v>902.510037595992</v>
      </c>
      <c r="Q42" s="24">
        <v>916.26670630234605</v>
      </c>
      <c r="R42" s="24">
        <v>917.13151572854986</v>
      </c>
      <c r="S42" s="24">
        <v>893.69273431901172</v>
      </c>
      <c r="T42" s="24">
        <v>914.23984953892898</v>
      </c>
      <c r="U42" s="24">
        <v>896.02945407812501</v>
      </c>
      <c r="V42" s="24">
        <v>911.30924367869295</v>
      </c>
      <c r="W42" s="25">
        <v>915.13526125720409</v>
      </c>
    </row>
    <row r="43" spans="1:23" x14ac:dyDescent="0.3">
      <c r="A43" s="23">
        <v>40</v>
      </c>
      <c r="B43" s="24">
        <v>1213.7545660477201</v>
      </c>
      <c r="C43" s="24">
        <v>1209.972814200705</v>
      </c>
      <c r="D43" s="24">
        <v>1215.0247785609272</v>
      </c>
      <c r="E43" s="24">
        <v>1215.797472417381</v>
      </c>
      <c r="F43" s="24">
        <v>1215.6120368661409</v>
      </c>
      <c r="G43" s="24">
        <v>1216.1367369747609</v>
      </c>
      <c r="H43" s="24">
        <v>1213.1310927195871</v>
      </c>
      <c r="I43" s="24">
        <v>1215.2378565520901</v>
      </c>
      <c r="J43" s="24">
        <v>1209.949598600914</v>
      </c>
      <c r="K43" s="25">
        <v>1214.8176972533931</v>
      </c>
      <c r="L43" s="3"/>
      <c r="M43" s="23">
        <v>40</v>
      </c>
      <c r="N43" s="24">
        <v>916.4110651238293</v>
      </c>
      <c r="O43" s="24">
        <v>891.72399346355712</v>
      </c>
      <c r="P43" s="24">
        <v>935.91044024075359</v>
      </c>
      <c r="Q43" s="24">
        <v>913.44533012802833</v>
      </c>
      <c r="R43" s="24">
        <v>914.39587621275587</v>
      </c>
      <c r="S43" s="24">
        <v>893.90327697730049</v>
      </c>
      <c r="T43" s="24">
        <v>912.94505786925072</v>
      </c>
      <c r="U43" s="24">
        <v>896.01459893902347</v>
      </c>
      <c r="V43" s="24">
        <v>894.50730855761708</v>
      </c>
      <c r="W43" s="25">
        <v>895.11631887532076</v>
      </c>
    </row>
    <row r="44" spans="1:23" x14ac:dyDescent="0.3">
      <c r="A44" s="23">
        <v>41</v>
      </c>
      <c r="B44" s="24">
        <v>1214.6570688400359</v>
      </c>
      <c r="C44" s="24">
        <v>1220.278519089391</v>
      </c>
      <c r="D44" s="24">
        <v>1215.665534199557</v>
      </c>
      <c r="E44" s="24">
        <v>1217.8335389281951</v>
      </c>
      <c r="F44" s="24">
        <v>1215.89592336858</v>
      </c>
      <c r="G44" s="24">
        <v>1212.0353318967909</v>
      </c>
      <c r="H44" s="24">
        <v>1214.699918437738</v>
      </c>
      <c r="I44" s="24">
        <v>1211.9444057258629</v>
      </c>
      <c r="J44" s="24">
        <v>1212.535909238999</v>
      </c>
      <c r="K44" s="25">
        <v>1215.060522557771</v>
      </c>
      <c r="L44" s="3"/>
      <c r="M44" s="23">
        <v>41</v>
      </c>
      <c r="N44" s="24">
        <v>894.87613104065531</v>
      </c>
      <c r="O44" s="24">
        <v>895.03664488873585</v>
      </c>
      <c r="P44" s="24">
        <v>937.96861618946957</v>
      </c>
      <c r="Q44" s="24">
        <v>915.44354321933406</v>
      </c>
      <c r="R44" s="24">
        <v>889.96625659794506</v>
      </c>
      <c r="S44" s="24">
        <v>912.10048915991626</v>
      </c>
      <c r="T44" s="24">
        <v>915.27462362280471</v>
      </c>
      <c r="U44" s="24">
        <v>895.62259591915461</v>
      </c>
      <c r="V44" s="24">
        <v>914.30586702157484</v>
      </c>
      <c r="W44" s="25">
        <v>914.51665292523046</v>
      </c>
    </row>
    <row r="45" spans="1:23" x14ac:dyDescent="0.3">
      <c r="A45" s="23">
        <v>42</v>
      </c>
      <c r="B45" s="24">
        <v>1213.6518649491738</v>
      </c>
      <c r="C45" s="24">
        <v>1212.037374955496</v>
      </c>
      <c r="D45" s="24">
        <v>1214.1035293998009</v>
      </c>
      <c r="E45" s="24">
        <v>1215.7299566148561</v>
      </c>
      <c r="F45" s="24">
        <v>1214.099725920328</v>
      </c>
      <c r="G45" s="24">
        <v>1216.3177377141769</v>
      </c>
      <c r="H45" s="24">
        <v>1213.6312162753061</v>
      </c>
      <c r="I45" s="24">
        <v>1213.763317929704</v>
      </c>
      <c r="J45" s="24">
        <v>1214.8421896249581</v>
      </c>
      <c r="K45" s="25">
        <v>1215.6728023430628</v>
      </c>
      <c r="L45" s="3"/>
      <c r="M45" s="23">
        <v>42</v>
      </c>
      <c r="N45" s="24">
        <v>892.85905787253034</v>
      </c>
      <c r="O45" s="24">
        <v>912.26728369249156</v>
      </c>
      <c r="P45" s="24">
        <v>912.91719726471695</v>
      </c>
      <c r="Q45" s="24">
        <v>914.60873197680439</v>
      </c>
      <c r="R45" s="24">
        <v>892.52601305735766</v>
      </c>
      <c r="S45" s="24">
        <v>891.42155152637508</v>
      </c>
      <c r="T45" s="24">
        <v>914.79222821727296</v>
      </c>
      <c r="U45" s="24">
        <v>914.71437548485608</v>
      </c>
      <c r="V45" s="24">
        <v>935.2636754251231</v>
      </c>
      <c r="W45" s="25">
        <v>932.24517240590296</v>
      </c>
    </row>
    <row r="46" spans="1:23" x14ac:dyDescent="0.3">
      <c r="A46" s="23">
        <v>43</v>
      </c>
      <c r="B46" s="24">
        <v>1214.7007109861099</v>
      </c>
      <c r="C46" s="24">
        <v>1215.6967014022448</v>
      </c>
      <c r="D46" s="24">
        <v>1214.4438101274668</v>
      </c>
      <c r="E46" s="24">
        <v>1214.781334949829</v>
      </c>
      <c r="F46" s="24">
        <v>1214.2277914300689</v>
      </c>
      <c r="G46" s="24">
        <v>1213.294918411676</v>
      </c>
      <c r="H46" s="24">
        <v>1215.2411026914131</v>
      </c>
      <c r="I46" s="24">
        <v>1213.8897339212049</v>
      </c>
      <c r="J46" s="24">
        <v>1213.3044135420341</v>
      </c>
      <c r="K46" s="25">
        <v>1219.7378424651299</v>
      </c>
      <c r="L46" s="3"/>
      <c r="M46" s="23">
        <v>43</v>
      </c>
      <c r="N46" s="24">
        <v>896.89838118283183</v>
      </c>
      <c r="O46" s="24">
        <v>891.02154063890771</v>
      </c>
      <c r="P46" s="24">
        <v>895.65422253702445</v>
      </c>
      <c r="Q46" s="24">
        <v>894.44076680962132</v>
      </c>
      <c r="R46" s="24">
        <v>892.89942623443881</v>
      </c>
      <c r="S46" s="24">
        <v>895.56652650777482</v>
      </c>
      <c r="T46" s="24">
        <v>916.5691200032951</v>
      </c>
      <c r="U46" s="24">
        <v>916.7160618023471</v>
      </c>
      <c r="V46" s="24">
        <v>911.95525398630241</v>
      </c>
      <c r="W46" s="25">
        <v>894.95238327355662</v>
      </c>
    </row>
    <row r="47" spans="1:23" x14ac:dyDescent="0.3">
      <c r="A47" s="23">
        <v>44</v>
      </c>
      <c r="B47" s="24">
        <v>1212.653422424127</v>
      </c>
      <c r="C47" s="24">
        <v>1212.3017033242709</v>
      </c>
      <c r="D47" s="24">
        <v>1215.7001068408649</v>
      </c>
      <c r="E47" s="24">
        <v>1217.1227898430921</v>
      </c>
      <c r="F47" s="24">
        <v>1214.970636842326</v>
      </c>
      <c r="G47" s="24">
        <v>1218.2146237028451</v>
      </c>
      <c r="H47" s="24">
        <v>1215.812345336778</v>
      </c>
      <c r="I47" s="24">
        <v>1211.9266017988739</v>
      </c>
      <c r="J47" s="24">
        <v>1213.8889980777431</v>
      </c>
      <c r="K47" s="25">
        <v>1218.169631201966</v>
      </c>
      <c r="L47" s="3"/>
      <c r="M47" s="23">
        <v>44</v>
      </c>
      <c r="N47" s="24">
        <v>894.19802418855568</v>
      </c>
      <c r="O47" s="24">
        <v>895.31949450986338</v>
      </c>
      <c r="P47" s="24">
        <v>895.27997550094528</v>
      </c>
      <c r="Q47" s="24">
        <v>891.28912259233402</v>
      </c>
      <c r="R47" s="24">
        <v>894.97526949593987</v>
      </c>
      <c r="S47" s="24">
        <v>894.78305401354805</v>
      </c>
      <c r="T47" s="24">
        <v>916.44328219513898</v>
      </c>
      <c r="U47" s="24">
        <v>914.24129428522872</v>
      </c>
      <c r="V47" s="24">
        <v>894.3990489489488</v>
      </c>
      <c r="W47" s="25">
        <v>915.02657238138875</v>
      </c>
    </row>
    <row r="48" spans="1:23" x14ac:dyDescent="0.3">
      <c r="A48" s="23">
        <v>45</v>
      </c>
      <c r="B48" s="24">
        <v>1211.9465588501621</v>
      </c>
      <c r="C48" s="24">
        <v>1214.770532747038</v>
      </c>
      <c r="D48" s="24">
        <v>1215.9820203454781</v>
      </c>
      <c r="E48" s="24">
        <v>1213.679323698773</v>
      </c>
      <c r="F48" s="24">
        <v>1214.010872847196</v>
      </c>
      <c r="G48" s="24">
        <v>1213.1335421620579</v>
      </c>
      <c r="H48" s="24">
        <v>1214.7533262604861</v>
      </c>
      <c r="I48" s="24">
        <v>1214.8517404794211</v>
      </c>
      <c r="J48" s="24">
        <v>1214.078104617367</v>
      </c>
      <c r="K48" s="25">
        <v>1216.4082078362301</v>
      </c>
      <c r="L48" s="3"/>
      <c r="M48" s="23">
        <v>45</v>
      </c>
      <c r="N48" s="24">
        <v>894.11623697625373</v>
      </c>
      <c r="O48" s="24">
        <v>892.27131891352201</v>
      </c>
      <c r="P48" s="24">
        <v>894.46605762227205</v>
      </c>
      <c r="Q48" s="24">
        <v>895.65680895223124</v>
      </c>
      <c r="R48" s="24">
        <v>914.40231558423693</v>
      </c>
      <c r="S48" s="24">
        <v>895.34552650431124</v>
      </c>
      <c r="T48" s="24">
        <v>895.11656441503828</v>
      </c>
      <c r="U48" s="24">
        <v>895.89699973578399</v>
      </c>
      <c r="V48" s="24">
        <v>892.30502725905455</v>
      </c>
      <c r="W48" s="25">
        <v>916.36764551097815</v>
      </c>
    </row>
    <row r="49" spans="1:23" x14ac:dyDescent="0.3">
      <c r="A49" s="23">
        <v>46</v>
      </c>
      <c r="B49" s="24">
        <v>1214.20844350946</v>
      </c>
      <c r="C49" s="24">
        <v>1207.9368197757681</v>
      </c>
      <c r="D49" s="24">
        <v>1212.989004459778</v>
      </c>
      <c r="E49" s="24">
        <v>1215.4018415127171</v>
      </c>
      <c r="F49" s="24">
        <v>1214.2100694470839</v>
      </c>
      <c r="G49" s="24">
        <v>1213.4104825744441</v>
      </c>
      <c r="H49" s="24">
        <v>1208.1059889696699</v>
      </c>
      <c r="I49" s="24">
        <v>1215.316851093268</v>
      </c>
      <c r="J49" s="24">
        <v>1209.993753992735</v>
      </c>
      <c r="K49" s="25">
        <v>1211.6607777750312</v>
      </c>
      <c r="L49" s="3"/>
      <c r="M49" s="23">
        <v>46</v>
      </c>
      <c r="N49" s="24">
        <v>1456.1836498249686</v>
      </c>
      <c r="O49" s="24">
        <v>1460.7581991938878</v>
      </c>
      <c r="P49" s="24">
        <v>1456.3233775043502</v>
      </c>
      <c r="Q49" s="24">
        <v>1456.737760478672</v>
      </c>
      <c r="R49" s="24">
        <v>1458.9331737272632</v>
      </c>
      <c r="S49" s="24">
        <v>1461.010796613202</v>
      </c>
      <c r="T49" s="24">
        <v>1462.9824600371442</v>
      </c>
      <c r="U49" s="24">
        <v>1462.6598945315452</v>
      </c>
      <c r="V49" s="24">
        <v>1455.503998656048</v>
      </c>
      <c r="W49" s="25">
        <v>1457.9641926110239</v>
      </c>
    </row>
    <row r="50" spans="1:23" x14ac:dyDescent="0.3">
      <c r="A50" s="23">
        <v>47</v>
      </c>
      <c r="B50" s="24">
        <v>1211.442027083488</v>
      </c>
      <c r="C50" s="24">
        <v>1212.8321405540319</v>
      </c>
      <c r="D50" s="24">
        <v>1213.239011587855</v>
      </c>
      <c r="E50" s="24">
        <v>1209.906621714757</v>
      </c>
      <c r="F50" s="24">
        <v>1210.4202104102228</v>
      </c>
      <c r="G50" s="24">
        <v>1210.0066500467751</v>
      </c>
      <c r="H50" s="24">
        <v>1213.6918679025539</v>
      </c>
      <c r="I50" s="24">
        <v>1212.0927197811588</v>
      </c>
      <c r="J50" s="24">
        <v>1211.2932840846831</v>
      </c>
      <c r="K50" s="25">
        <v>1212.3300333339598</v>
      </c>
      <c r="L50" s="3"/>
      <c r="M50" s="23">
        <v>47</v>
      </c>
      <c r="N50" s="24">
        <v>1457.0883602655158</v>
      </c>
      <c r="O50" s="24">
        <v>1459.9875915948251</v>
      </c>
      <c r="P50" s="24">
        <v>1460.3355317571409</v>
      </c>
      <c r="Q50" s="24">
        <v>1458.4908069781341</v>
      </c>
      <c r="R50" s="24">
        <v>1459.1284181893191</v>
      </c>
      <c r="S50" s="24">
        <v>1459.8242071049719</v>
      </c>
      <c r="T50" s="24">
        <v>1467.0645188111841</v>
      </c>
      <c r="U50" s="24">
        <v>1455.1798976703776</v>
      </c>
      <c r="V50" s="24">
        <v>1462.07938723948</v>
      </c>
      <c r="W50" s="25">
        <v>1459.1764568871631</v>
      </c>
    </row>
    <row r="51" spans="1:23" x14ac:dyDescent="0.3">
      <c r="A51" s="23">
        <v>48</v>
      </c>
      <c r="B51" s="24">
        <v>1213.8814515411782</v>
      </c>
      <c r="C51" s="24">
        <v>1206.68109304482</v>
      </c>
      <c r="D51" s="24">
        <v>1211.2776063980609</v>
      </c>
      <c r="E51" s="24">
        <v>1215.0397255778871</v>
      </c>
      <c r="F51" s="24">
        <v>1211.8102201506299</v>
      </c>
      <c r="G51" s="24">
        <v>1210.3299801173071</v>
      </c>
      <c r="H51" s="24">
        <v>1215.013953132162</v>
      </c>
      <c r="I51" s="24">
        <v>1209.977579054218</v>
      </c>
      <c r="J51" s="24">
        <v>1209.7997251268889</v>
      </c>
      <c r="K51" s="25">
        <v>1212.8462067139651</v>
      </c>
      <c r="L51" s="3"/>
      <c r="M51" s="23">
        <v>48</v>
      </c>
      <c r="N51" s="24">
        <v>1460.7008725184062</v>
      </c>
      <c r="O51" s="24">
        <v>1456.9413040927252</v>
      </c>
      <c r="P51" s="24">
        <v>1461.604381948895</v>
      </c>
      <c r="Q51" s="24">
        <v>1457.0273140430879</v>
      </c>
      <c r="R51" s="24">
        <v>1457.0954255582128</v>
      </c>
      <c r="S51" s="24">
        <v>1461.8655799299102</v>
      </c>
      <c r="T51" s="24">
        <v>1461.5546875870789</v>
      </c>
      <c r="U51" s="24">
        <v>1458.598556168454</v>
      </c>
      <c r="V51" s="24">
        <v>1455.7081255957009</v>
      </c>
      <c r="W51" s="25">
        <v>1457.1740828464979</v>
      </c>
    </row>
    <row r="52" spans="1:23" x14ac:dyDescent="0.3">
      <c r="A52" s="23">
        <v>49</v>
      </c>
      <c r="B52" s="24">
        <v>1208.8679803227528</v>
      </c>
      <c r="C52" s="24">
        <v>1210.42219653149</v>
      </c>
      <c r="D52" s="24">
        <v>1211.185866793644</v>
      </c>
      <c r="E52" s="24">
        <v>1209.8275745871942</v>
      </c>
      <c r="F52" s="24">
        <v>1212.4162414645521</v>
      </c>
      <c r="G52" s="24">
        <v>1212.998194501243</v>
      </c>
      <c r="H52" s="24">
        <v>1208.7171992005131</v>
      </c>
      <c r="I52" s="24">
        <v>1209.0090233969149</v>
      </c>
      <c r="J52" s="24">
        <v>1211.0140948126082</v>
      </c>
      <c r="K52" s="25">
        <v>1213.649543745717</v>
      </c>
      <c r="L52" s="3"/>
      <c r="M52" s="23">
        <v>49</v>
      </c>
      <c r="N52" s="24">
        <v>1455.9940324386382</v>
      </c>
      <c r="O52" s="24">
        <v>1463.7378691729482</v>
      </c>
      <c r="P52" s="24">
        <v>1459.6084693125867</v>
      </c>
      <c r="Q52" s="24">
        <v>1455.8867283658881</v>
      </c>
      <c r="R52" s="24">
        <v>1458.92323415026</v>
      </c>
      <c r="S52" s="24">
        <v>1457.1249892697708</v>
      </c>
      <c r="T52" s="24">
        <v>1455.9202786223605</v>
      </c>
      <c r="U52" s="24">
        <v>1457.0342571973461</v>
      </c>
      <c r="V52" s="24">
        <v>1456.8292074052281</v>
      </c>
      <c r="W52" s="25">
        <v>1455.3131320080479</v>
      </c>
    </row>
    <row r="53" spans="1:23" x14ac:dyDescent="0.3">
      <c r="A53" s="23">
        <v>50</v>
      </c>
      <c r="B53" s="24">
        <v>1214.809910834703</v>
      </c>
      <c r="C53" s="24">
        <v>1209.9551614958848</v>
      </c>
      <c r="D53" s="24">
        <v>1213.445682957318</v>
      </c>
      <c r="E53" s="24">
        <v>1209.9369103552879</v>
      </c>
      <c r="F53" s="24">
        <v>1210.9343409221131</v>
      </c>
      <c r="G53" s="24">
        <v>1212.4426896005439</v>
      </c>
      <c r="H53" s="24">
        <v>1210.6280079719568</v>
      </c>
      <c r="I53" s="24">
        <v>1212.45601341877</v>
      </c>
      <c r="J53" s="24">
        <v>1210.7740470307622</v>
      </c>
      <c r="K53" s="25">
        <v>1208.8562928025469</v>
      </c>
      <c r="L53" s="3"/>
      <c r="M53" s="23">
        <v>50</v>
      </c>
      <c r="N53" s="24">
        <v>1457.4443018106529</v>
      </c>
      <c r="O53" s="24">
        <v>1460.6020775683521</v>
      </c>
      <c r="P53" s="24">
        <v>1458.2449849939619</v>
      </c>
      <c r="Q53" s="24">
        <v>1458.6034899033764</v>
      </c>
      <c r="R53" s="24">
        <v>1459.9729706681051</v>
      </c>
      <c r="S53" s="24">
        <v>1458.2294270705161</v>
      </c>
      <c r="T53" s="24">
        <v>1454.3232730518666</v>
      </c>
      <c r="U53" s="24">
        <v>1457.6498654999341</v>
      </c>
      <c r="V53" s="24">
        <v>1453.238293615422</v>
      </c>
      <c r="W53" s="25">
        <v>1466.1002975684178</v>
      </c>
    </row>
    <row r="54" spans="1:23" x14ac:dyDescent="0.3">
      <c r="A54" s="23">
        <v>51</v>
      </c>
      <c r="B54" s="24">
        <v>1214.1150381937771</v>
      </c>
      <c r="C54" s="24">
        <v>1210.010091260152</v>
      </c>
      <c r="D54" s="24">
        <v>1211.7834707856671</v>
      </c>
      <c r="E54" s="24">
        <v>1212.522909649196</v>
      </c>
      <c r="F54" s="24">
        <v>1210.5261142718559</v>
      </c>
      <c r="G54" s="24">
        <v>1213.9002035033989</v>
      </c>
      <c r="H54" s="24">
        <v>1212.4931734866821</v>
      </c>
      <c r="I54" s="24">
        <v>1212.501871825177</v>
      </c>
      <c r="J54" s="24">
        <v>1209.4758862381748</v>
      </c>
      <c r="K54" s="25">
        <v>1210.1134026736693</v>
      </c>
      <c r="L54" s="3"/>
      <c r="M54" s="23">
        <v>51</v>
      </c>
      <c r="N54" s="24">
        <v>1464.1161606831811</v>
      </c>
      <c r="O54" s="24">
        <v>1461.6636003217732</v>
      </c>
      <c r="P54" s="24">
        <v>1457.4093206221262</v>
      </c>
      <c r="Q54" s="24">
        <v>1454.2902902631008</v>
      </c>
      <c r="R54" s="24">
        <v>1452.7128783374501</v>
      </c>
      <c r="S54" s="24">
        <v>1460.701739924519</v>
      </c>
      <c r="T54" s="24">
        <v>1454.4840626028738</v>
      </c>
      <c r="U54" s="24">
        <v>1460.1402748665939</v>
      </c>
      <c r="V54" s="24">
        <v>1457.6442401141251</v>
      </c>
      <c r="W54" s="25">
        <v>1457.442643028083</v>
      </c>
    </row>
    <row r="55" spans="1:23" x14ac:dyDescent="0.3">
      <c r="A55" s="23">
        <v>52</v>
      </c>
      <c r="B55" s="24">
        <v>1212.7358785370693</v>
      </c>
      <c r="C55" s="24">
        <v>1213.1752498433452</v>
      </c>
      <c r="D55" s="24">
        <v>1212.3937093933582</v>
      </c>
      <c r="E55" s="24">
        <v>1212.2757838675129</v>
      </c>
      <c r="F55" s="24">
        <v>1208.8802137875291</v>
      </c>
      <c r="G55" s="24">
        <v>1210.4134549060882</v>
      </c>
      <c r="H55" s="24">
        <v>1211.3294006561232</v>
      </c>
      <c r="I55" s="24">
        <v>1210.5975419688298</v>
      </c>
      <c r="J55" s="24">
        <v>1209.3393890364221</v>
      </c>
      <c r="K55" s="25">
        <v>1209.4674215402658</v>
      </c>
      <c r="L55" s="3"/>
      <c r="M55" s="23">
        <v>52</v>
      </c>
      <c r="N55" s="24">
        <v>1464.1489012484051</v>
      </c>
      <c r="O55" s="24">
        <v>1454.6696127507971</v>
      </c>
      <c r="P55" s="24">
        <v>1456.7494377784942</v>
      </c>
      <c r="Q55" s="24">
        <v>1459.479163166277</v>
      </c>
      <c r="R55" s="24">
        <v>1457.937346628134</v>
      </c>
      <c r="S55" s="24">
        <v>1459.6853228967511</v>
      </c>
      <c r="T55" s="24">
        <v>1459.3755888307978</v>
      </c>
      <c r="U55" s="24">
        <v>1458.7913619452609</v>
      </c>
      <c r="V55" s="24">
        <v>1461.2900397947769</v>
      </c>
      <c r="W55" s="25">
        <v>1459.272436993213</v>
      </c>
    </row>
    <row r="56" spans="1:23" x14ac:dyDescent="0.3">
      <c r="A56" s="23">
        <v>53</v>
      </c>
      <c r="B56" s="24">
        <v>1212.375904131643</v>
      </c>
      <c r="C56" s="24">
        <v>1207.8558248318209</v>
      </c>
      <c r="D56" s="24">
        <v>1214.699264117723</v>
      </c>
      <c r="E56" s="24">
        <v>1212.5593538124169</v>
      </c>
      <c r="F56" s="24">
        <v>1210.866886978989</v>
      </c>
      <c r="G56" s="24">
        <v>1214.3543881764651</v>
      </c>
      <c r="H56" s="24">
        <v>1211.15438482271</v>
      </c>
      <c r="I56" s="24">
        <v>1209.9385384363118</v>
      </c>
      <c r="J56" s="24">
        <v>1215.0252308960889</v>
      </c>
      <c r="K56" s="25">
        <v>1211.2971876529641</v>
      </c>
      <c r="L56" s="3"/>
      <c r="M56" s="23">
        <v>53</v>
      </c>
      <c r="N56" s="24">
        <v>1464.1456599982109</v>
      </c>
      <c r="O56" s="24">
        <v>1461.6175722217272</v>
      </c>
      <c r="P56" s="24">
        <v>1457.0659185922127</v>
      </c>
      <c r="Q56" s="24">
        <v>1459.5476992867971</v>
      </c>
      <c r="R56" s="24">
        <v>1459.3249895994541</v>
      </c>
      <c r="S56" s="24">
        <v>1461.2820938245409</v>
      </c>
      <c r="T56" s="24">
        <v>1463.837087033326</v>
      </c>
      <c r="U56" s="24">
        <v>1462.6727447946453</v>
      </c>
      <c r="V56" s="24">
        <v>1459.3905199962439</v>
      </c>
      <c r="W56" s="25">
        <v>1452.499236741106</v>
      </c>
    </row>
    <row r="57" spans="1:23" x14ac:dyDescent="0.3">
      <c r="A57" s="23">
        <v>54</v>
      </c>
      <c r="B57" s="24">
        <v>1210.4260876484229</v>
      </c>
      <c r="C57" s="24">
        <v>1212.5194260643821</v>
      </c>
      <c r="D57" s="24">
        <v>1211.498582489513</v>
      </c>
      <c r="E57" s="24">
        <v>1210.5940016371601</v>
      </c>
      <c r="F57" s="24">
        <v>1210.78336083678</v>
      </c>
      <c r="G57" s="24">
        <v>1210.2403200544732</v>
      </c>
      <c r="H57" s="24">
        <v>1212.904090824705</v>
      </c>
      <c r="I57" s="24">
        <v>1211.790040656015</v>
      </c>
      <c r="J57" s="24">
        <v>1212.6171250497121</v>
      </c>
      <c r="K57" s="25">
        <v>1208.6429868786431</v>
      </c>
      <c r="L57" s="3"/>
      <c r="M57" s="23">
        <v>54</v>
      </c>
      <c r="N57" s="24">
        <v>1457.3922537767289</v>
      </c>
      <c r="O57" s="24">
        <v>1455.4274514626281</v>
      </c>
      <c r="P57" s="24">
        <v>1464.5651756215329</v>
      </c>
      <c r="Q57" s="24">
        <v>1457.1047856351088</v>
      </c>
      <c r="R57" s="24">
        <v>1458.0312814015469</v>
      </c>
      <c r="S57" s="24">
        <v>1459.5035936087329</v>
      </c>
      <c r="T57" s="24">
        <v>1459.0415013477498</v>
      </c>
      <c r="U57" s="24">
        <v>1455.3868722519651</v>
      </c>
      <c r="V57" s="24">
        <v>1461.6178780474058</v>
      </c>
      <c r="W57" s="25">
        <v>1452.0629691076911</v>
      </c>
    </row>
    <row r="58" spans="1:23" x14ac:dyDescent="0.3">
      <c r="A58" s="23">
        <v>55</v>
      </c>
      <c r="B58" s="24">
        <v>1189.689268994515</v>
      </c>
      <c r="C58" s="24">
        <v>1183.825571823051</v>
      </c>
      <c r="D58" s="24">
        <v>1185.848268335669</v>
      </c>
      <c r="E58" s="24">
        <v>1193.84539833445</v>
      </c>
      <c r="F58" s="24">
        <v>1189.1240229061341</v>
      </c>
      <c r="G58" s="24">
        <v>1185.04415420225</v>
      </c>
      <c r="H58" s="24">
        <v>1187.229791440446</v>
      </c>
      <c r="I58" s="24">
        <v>1191.7276380540038</v>
      </c>
      <c r="J58" s="24">
        <v>1188.124680982985</v>
      </c>
      <c r="K58" s="25">
        <v>1188.3940268669921</v>
      </c>
      <c r="L58" s="3"/>
      <c r="M58" s="23">
        <v>55</v>
      </c>
      <c r="N58" s="24">
        <v>493.26498353484897</v>
      </c>
      <c r="O58" s="24">
        <v>493.24095654358797</v>
      </c>
      <c r="P58" s="24">
        <v>468.39929320428701</v>
      </c>
      <c r="Q58" s="24">
        <v>459.93545551333705</v>
      </c>
      <c r="R58" s="24">
        <v>526.95559858705406</v>
      </c>
      <c r="S58" s="24">
        <v>500.35859434855297</v>
      </c>
      <c r="T58" s="24">
        <v>510.88504817382199</v>
      </c>
      <c r="U58" s="24">
        <v>496.28395095824504</v>
      </c>
      <c r="V58" s="24">
        <v>493.70464375182502</v>
      </c>
      <c r="W58" s="25">
        <v>488.43221335205396</v>
      </c>
    </row>
    <row r="59" spans="1:23" x14ac:dyDescent="0.3">
      <c r="A59" s="23">
        <v>56</v>
      </c>
      <c r="B59" s="24">
        <v>1188.4316377158882</v>
      </c>
      <c r="C59" s="24">
        <v>1187.017679780507</v>
      </c>
      <c r="D59" s="24">
        <v>1185.2340810177311</v>
      </c>
      <c r="E59" s="24">
        <v>1184.5623836980558</v>
      </c>
      <c r="F59" s="24">
        <v>1184.5023346695179</v>
      </c>
      <c r="G59" s="24">
        <v>1187.7569520204299</v>
      </c>
      <c r="H59" s="24">
        <v>1184.647891730737</v>
      </c>
      <c r="I59" s="24">
        <v>1189.1341866130219</v>
      </c>
      <c r="J59" s="24">
        <v>1188.1738869667879</v>
      </c>
      <c r="K59" s="25">
        <v>1185.1330512084439</v>
      </c>
      <c r="L59" s="3"/>
      <c r="M59" s="23">
        <v>56</v>
      </c>
      <c r="N59" s="24">
        <v>460.407219598094</v>
      </c>
      <c r="O59" s="24">
        <v>454.57417892535597</v>
      </c>
      <c r="P59" s="24">
        <v>491.11901035513904</v>
      </c>
      <c r="Q59" s="24">
        <v>455.45410616916308</v>
      </c>
      <c r="R59" s="24">
        <v>488.19867074236299</v>
      </c>
      <c r="S59" s="24">
        <v>491.31145906988797</v>
      </c>
      <c r="T59" s="24">
        <v>497.35924743452301</v>
      </c>
      <c r="U59" s="24">
        <v>460.04852699613707</v>
      </c>
      <c r="V59" s="24">
        <v>497.05298418216501</v>
      </c>
      <c r="W59" s="25">
        <v>440.52345737469358</v>
      </c>
    </row>
    <row r="60" spans="1:23" x14ac:dyDescent="0.3">
      <c r="A60" s="23">
        <v>57</v>
      </c>
      <c r="B60" s="24">
        <v>1185.698202051326</v>
      </c>
      <c r="C60" s="24">
        <v>1188.5424941937999</v>
      </c>
      <c r="D60" s="24">
        <v>1190.1577443599899</v>
      </c>
      <c r="E60" s="24">
        <v>1182.68226759507</v>
      </c>
      <c r="F60" s="24">
        <v>1186.5547507250158</v>
      </c>
      <c r="G60" s="24">
        <v>1191.3346045232499</v>
      </c>
      <c r="H60" s="24">
        <v>1191.657019705101</v>
      </c>
      <c r="I60" s="24">
        <v>1185.1809647949549</v>
      </c>
      <c r="J60" s="24">
        <v>1188.0519236433961</v>
      </c>
      <c r="K60" s="25">
        <v>1188.1766273074679</v>
      </c>
      <c r="L60" s="3"/>
      <c r="M60" s="23">
        <v>57</v>
      </c>
      <c r="N60" s="24">
        <v>511.77569633289602</v>
      </c>
      <c r="O60" s="24">
        <v>440.1950912253422</v>
      </c>
      <c r="P60" s="24">
        <v>443.20157676316239</v>
      </c>
      <c r="Q60" s="24">
        <v>488.25379995887101</v>
      </c>
      <c r="R60" s="24">
        <v>495.23317135622108</v>
      </c>
      <c r="S60" s="24">
        <v>494.745963131851</v>
      </c>
      <c r="T60" s="24">
        <v>479.71403577236401</v>
      </c>
      <c r="U60" s="24">
        <v>493.88921544443997</v>
      </c>
      <c r="V60" s="24">
        <v>491.56640334000701</v>
      </c>
      <c r="W60" s="25">
        <v>493.88525398558102</v>
      </c>
    </row>
    <row r="61" spans="1:23" x14ac:dyDescent="0.3">
      <c r="A61" s="23">
        <v>58</v>
      </c>
      <c r="B61" s="24">
        <v>1186.4842559200979</v>
      </c>
      <c r="C61" s="24">
        <v>1190.0072708189271</v>
      </c>
      <c r="D61" s="24">
        <v>1189.8428322426539</v>
      </c>
      <c r="E61" s="24">
        <v>1190.459707655081</v>
      </c>
      <c r="F61" s="24">
        <v>1187.274835219034</v>
      </c>
      <c r="G61" s="24">
        <v>1185.023181087698</v>
      </c>
      <c r="H61" s="24">
        <v>1186.789687106163</v>
      </c>
      <c r="I61" s="24">
        <v>1188.1063832794439</v>
      </c>
      <c r="J61" s="24">
        <v>1185.754647741647</v>
      </c>
      <c r="K61" s="25">
        <v>1191.5271036440272</v>
      </c>
      <c r="L61" s="3"/>
      <c r="M61" s="23">
        <v>58</v>
      </c>
      <c r="N61" s="24">
        <v>459.71114756574684</v>
      </c>
      <c r="O61" s="24">
        <v>466.79758818591802</v>
      </c>
      <c r="P61" s="24">
        <v>496.67274538526902</v>
      </c>
      <c r="Q61" s="24">
        <v>491.99798885919097</v>
      </c>
      <c r="R61" s="24">
        <v>486.987368074355</v>
      </c>
      <c r="S61" s="24">
        <v>488.82973116165897</v>
      </c>
      <c r="T61" s="24">
        <v>470.71492904544107</v>
      </c>
      <c r="U61" s="24">
        <v>445.34798505936698</v>
      </c>
      <c r="V61" s="24">
        <v>485.33364864209102</v>
      </c>
      <c r="W61" s="25">
        <v>441.54874717608539</v>
      </c>
    </row>
    <row r="62" spans="1:23" x14ac:dyDescent="0.3">
      <c r="A62" s="23">
        <v>59</v>
      </c>
      <c r="B62" s="24">
        <v>1186.815807184096</v>
      </c>
      <c r="C62" s="24">
        <v>1188.5598510014961</v>
      </c>
      <c r="D62" s="24">
        <v>1192.189585717731</v>
      </c>
      <c r="E62" s="24">
        <v>1191.0786045551201</v>
      </c>
      <c r="F62" s="24">
        <v>1187.834691534968</v>
      </c>
      <c r="G62" s="24">
        <v>1185.13033168672</v>
      </c>
      <c r="H62" s="24">
        <v>1183.05416339936</v>
      </c>
      <c r="I62" s="24">
        <v>1188.1692825364</v>
      </c>
      <c r="J62" s="24">
        <v>1187.71635405438</v>
      </c>
      <c r="K62" s="25">
        <v>1191.0032207354579</v>
      </c>
      <c r="L62" s="3"/>
      <c r="M62" s="23">
        <v>59</v>
      </c>
      <c r="N62" s="24">
        <v>488.38467000299408</v>
      </c>
      <c r="O62" s="24">
        <v>494.10582878792002</v>
      </c>
      <c r="P62" s="24">
        <v>486.25962627373002</v>
      </c>
      <c r="Q62" s="24">
        <v>492.230253862506</v>
      </c>
      <c r="R62" s="24">
        <v>496.09131791982099</v>
      </c>
      <c r="S62" s="24">
        <v>521.93074594176096</v>
      </c>
      <c r="T62" s="24">
        <v>465.86380450885201</v>
      </c>
      <c r="U62" s="24">
        <v>488.93027169708898</v>
      </c>
      <c r="V62" s="24">
        <v>456.75662379858102</v>
      </c>
      <c r="W62" s="25">
        <v>493.71673507204503</v>
      </c>
    </row>
    <row r="63" spans="1:23" x14ac:dyDescent="0.3">
      <c r="A63" s="23">
        <v>60</v>
      </c>
      <c r="B63" s="24">
        <v>1186.488728388377</v>
      </c>
      <c r="C63" s="24">
        <v>1187.1459558146901</v>
      </c>
      <c r="D63" s="24">
        <v>1187.4025418490992</v>
      </c>
      <c r="E63" s="24">
        <v>1189.3479140774989</v>
      </c>
      <c r="F63" s="24">
        <v>1187.3964035398469</v>
      </c>
      <c r="G63" s="24">
        <v>1188.868856273104</v>
      </c>
      <c r="H63" s="24">
        <v>1190.8409986232821</v>
      </c>
      <c r="I63" s="24">
        <v>1184.0160171340731</v>
      </c>
      <c r="J63" s="24">
        <v>1188.9323902105771</v>
      </c>
      <c r="K63" s="25">
        <v>1186.6971327282349</v>
      </c>
      <c r="L63" s="3"/>
      <c r="M63" s="23">
        <v>60</v>
      </c>
      <c r="N63" s="24">
        <v>496.64736998329101</v>
      </c>
      <c r="O63" s="24">
        <v>496.97350780744802</v>
      </c>
      <c r="P63" s="24">
        <v>523.74015105436399</v>
      </c>
      <c r="Q63" s="24">
        <v>493.94138588199803</v>
      </c>
      <c r="R63" s="24">
        <v>459.547027407445</v>
      </c>
      <c r="S63" s="24">
        <v>494.23263487654799</v>
      </c>
      <c r="T63" s="24">
        <v>497.57684196068601</v>
      </c>
      <c r="U63" s="24">
        <v>465.88542470216998</v>
      </c>
      <c r="V63" s="24">
        <v>465.22512180410899</v>
      </c>
      <c r="W63" s="25">
        <v>494.45594957871003</v>
      </c>
    </row>
    <row r="64" spans="1:23" x14ac:dyDescent="0.3">
      <c r="A64" s="23">
        <v>61</v>
      </c>
      <c r="B64" s="24">
        <v>1185.304679953867</v>
      </c>
      <c r="C64" s="24">
        <v>1189.975422562919</v>
      </c>
      <c r="D64" s="24">
        <v>1185.0254393605819</v>
      </c>
      <c r="E64" s="24">
        <v>1187.4558779549129</v>
      </c>
      <c r="F64" s="24">
        <v>1190.465270185646</v>
      </c>
      <c r="G64" s="24">
        <v>1185.793244667932</v>
      </c>
      <c r="H64" s="24">
        <v>1187.9289254060129</v>
      </c>
      <c r="I64" s="24">
        <v>1189.3042911429739</v>
      </c>
      <c r="J64" s="24">
        <v>1189.1914752082068</v>
      </c>
      <c r="K64" s="25">
        <v>1186.2459100020981</v>
      </c>
      <c r="L64" s="3"/>
      <c r="M64" s="23">
        <v>61</v>
      </c>
      <c r="N64" s="24">
        <v>496.91500852698005</v>
      </c>
      <c r="O64" s="24">
        <v>443.04825851817475</v>
      </c>
      <c r="P64" s="24">
        <v>495.41978220596297</v>
      </c>
      <c r="Q64" s="24">
        <v>496.29505578359795</v>
      </c>
      <c r="R64" s="24">
        <v>509.79323797953498</v>
      </c>
      <c r="S64" s="24">
        <v>476.53827006202999</v>
      </c>
      <c r="T64" s="24">
        <v>486.52289144790001</v>
      </c>
      <c r="U64" s="24">
        <v>457.22354988177403</v>
      </c>
      <c r="V64" s="24">
        <v>493.21576627525292</v>
      </c>
      <c r="W64" s="25">
        <v>451.09971444093384</v>
      </c>
    </row>
    <row r="65" spans="1:23" x14ac:dyDescent="0.3">
      <c r="A65" s="23">
        <v>62</v>
      </c>
      <c r="B65" s="24">
        <v>1184.8983616277169</v>
      </c>
      <c r="C65" s="24">
        <v>1185.6237417130731</v>
      </c>
      <c r="D65" s="24">
        <v>1186.9420513045081</v>
      </c>
      <c r="E65" s="24">
        <v>1186.079380530251</v>
      </c>
      <c r="F65" s="24">
        <v>1185.4679563529969</v>
      </c>
      <c r="G65" s="24">
        <v>1186.9161659203291</v>
      </c>
      <c r="H65" s="24">
        <v>1183.682833250858</v>
      </c>
      <c r="I65" s="24">
        <v>1185.0776674810629</v>
      </c>
      <c r="J65" s="24">
        <v>1185.2338745888969</v>
      </c>
      <c r="K65" s="25">
        <v>1188.900574857128</v>
      </c>
      <c r="L65" s="3"/>
      <c r="M65" s="23">
        <v>62</v>
      </c>
      <c r="N65" s="24">
        <v>494.16579417772203</v>
      </c>
      <c r="O65" s="24">
        <v>444.40067567892424</v>
      </c>
      <c r="P65" s="24">
        <v>489.74069386249499</v>
      </c>
      <c r="Q65" s="24">
        <v>478.98137326797394</v>
      </c>
      <c r="R65" s="24">
        <v>488.83991340428497</v>
      </c>
      <c r="S65" s="24">
        <v>493.89805473579497</v>
      </c>
      <c r="T65" s="24">
        <v>457.304245712914</v>
      </c>
      <c r="U65" s="24">
        <v>460.507694175989</v>
      </c>
      <c r="V65" s="24">
        <v>492.086564340275</v>
      </c>
      <c r="W65" s="25">
        <v>441.64664882711168</v>
      </c>
    </row>
    <row r="66" spans="1:23" x14ac:dyDescent="0.3">
      <c r="A66" s="23">
        <v>63</v>
      </c>
      <c r="B66" s="24">
        <v>1188.532077139939</v>
      </c>
      <c r="C66" s="24">
        <v>1186.292430363113</v>
      </c>
      <c r="D66" s="24">
        <v>1186.3444612690769</v>
      </c>
      <c r="E66" s="24">
        <v>1187.9915170569241</v>
      </c>
      <c r="F66" s="24">
        <v>1187.8580609252169</v>
      </c>
      <c r="G66" s="24">
        <v>1187.287473848595</v>
      </c>
      <c r="H66" s="24">
        <v>1185.5256282409318</v>
      </c>
      <c r="I66" s="24">
        <v>1189.123250574854</v>
      </c>
      <c r="J66" s="24">
        <v>1189.144242118439</v>
      </c>
      <c r="K66" s="25">
        <v>1191.598550868626</v>
      </c>
      <c r="L66" s="3"/>
      <c r="M66" s="23">
        <v>63</v>
      </c>
      <c r="N66" s="24">
        <v>457.26277204003503</v>
      </c>
      <c r="O66" s="24">
        <v>440.84572716078776</v>
      </c>
      <c r="P66" s="24">
        <v>489.99159540829896</v>
      </c>
      <c r="Q66" s="24">
        <v>496.64201097494197</v>
      </c>
      <c r="R66" s="24">
        <v>493.98310256918899</v>
      </c>
      <c r="S66" s="24">
        <v>495.81122825945693</v>
      </c>
      <c r="T66" s="24">
        <v>481.20497096364403</v>
      </c>
      <c r="U66" s="24">
        <v>514.63849592567601</v>
      </c>
      <c r="V66" s="24">
        <v>470.90189984004201</v>
      </c>
      <c r="W66" s="25">
        <v>498.62118578250499</v>
      </c>
    </row>
    <row r="67" spans="1:23" x14ac:dyDescent="0.3">
      <c r="A67" s="23">
        <v>64</v>
      </c>
      <c r="B67" s="24">
        <v>1214.9025439387951</v>
      </c>
      <c r="C67" s="24">
        <v>1214.0775267319739</v>
      </c>
      <c r="D67" s="24">
        <v>1211.979400431868</v>
      </c>
      <c r="E67" s="24">
        <v>1213.6454087866259</v>
      </c>
      <c r="F67" s="24">
        <v>1216.271333304622</v>
      </c>
      <c r="G67" s="24">
        <v>1215.6351620393</v>
      </c>
      <c r="H67" s="24">
        <v>1217.3079170906381</v>
      </c>
      <c r="I67" s="24">
        <v>1216.2276535136621</v>
      </c>
      <c r="J67" s="24">
        <v>1215.1571198254501</v>
      </c>
      <c r="K67" s="25">
        <v>1214.8087837681189</v>
      </c>
      <c r="L67" s="3"/>
      <c r="M67" s="23">
        <v>64</v>
      </c>
      <c r="N67" s="24">
        <v>1087.3840118580999</v>
      </c>
      <c r="O67" s="24">
        <v>1058.983948924109</v>
      </c>
      <c r="P67" s="24">
        <v>1026.479680349694</v>
      </c>
      <c r="Q67" s="24">
        <v>1039.5216557264009</v>
      </c>
      <c r="R67" s="24">
        <v>1022.2287984962061</v>
      </c>
      <c r="S67" s="24">
        <v>988.52535481696498</v>
      </c>
      <c r="T67" s="24">
        <v>1028.2856020180584</v>
      </c>
      <c r="U67" s="24">
        <v>1025.2635243888758</v>
      </c>
      <c r="V67" s="24">
        <v>1112.7513090742809</v>
      </c>
      <c r="W67" s="25">
        <v>1039.841802783747</v>
      </c>
    </row>
    <row r="68" spans="1:23" x14ac:dyDescent="0.3">
      <c r="A68" s="23">
        <v>65</v>
      </c>
      <c r="B68" s="24">
        <v>1218.311238100189</v>
      </c>
      <c r="C68" s="24">
        <v>1216.542275766715</v>
      </c>
      <c r="D68" s="24">
        <v>1213.6451518695872</v>
      </c>
      <c r="E68" s="24">
        <v>1215.1033148063862</v>
      </c>
      <c r="F68" s="24">
        <v>1212.4175938838389</v>
      </c>
      <c r="G68" s="24">
        <v>1217.2342773641089</v>
      </c>
      <c r="H68" s="24">
        <v>1213.2699898635819</v>
      </c>
      <c r="I68" s="24">
        <v>1214.8312622245971</v>
      </c>
      <c r="J68" s="24">
        <v>1213.928507654668</v>
      </c>
      <c r="K68" s="25">
        <v>1211.3851857702889</v>
      </c>
      <c r="L68" s="3"/>
      <c r="M68" s="23">
        <v>65</v>
      </c>
      <c r="N68" s="24">
        <v>1050.2843500109429</v>
      </c>
      <c r="O68" s="24">
        <v>1063.942550830988</v>
      </c>
      <c r="P68" s="24">
        <v>1009.4200802482651</v>
      </c>
      <c r="Q68" s="24">
        <v>1023.2552428328861</v>
      </c>
      <c r="R68" s="24">
        <v>1001.2766913232266</v>
      </c>
      <c r="S68" s="24">
        <v>1032.898428728372</v>
      </c>
      <c r="T68" s="24">
        <v>1037.8883298278661</v>
      </c>
      <c r="U68" s="24">
        <v>1024.9259961636919</v>
      </c>
      <c r="V68" s="24">
        <v>1085.3524026237671</v>
      </c>
      <c r="W68" s="25">
        <v>1050.865128774017</v>
      </c>
    </row>
    <row r="69" spans="1:23" x14ac:dyDescent="0.3">
      <c r="A69" s="23">
        <v>66</v>
      </c>
      <c r="B69" s="24">
        <v>1212.8298648230159</v>
      </c>
      <c r="C69" s="24">
        <v>1216.2024312114499</v>
      </c>
      <c r="D69" s="24">
        <v>1212.966048105925</v>
      </c>
      <c r="E69" s="24">
        <v>1215.086901348714</v>
      </c>
      <c r="F69" s="24">
        <v>1215.8585908131929</v>
      </c>
      <c r="G69" s="24">
        <v>1219.5057590163069</v>
      </c>
      <c r="H69" s="24">
        <v>1215.5710556519132</v>
      </c>
      <c r="I69" s="24">
        <v>1213.443391955745</v>
      </c>
      <c r="J69" s="24">
        <v>1211.5954102451619</v>
      </c>
      <c r="K69" s="25">
        <v>1215.0828952117599</v>
      </c>
      <c r="L69" s="3"/>
      <c r="M69" s="23">
        <v>66</v>
      </c>
      <c r="N69" s="24">
        <v>1001.7716734736823</v>
      </c>
      <c r="O69" s="24">
        <v>1003.7750464813282</v>
      </c>
      <c r="P69" s="24">
        <v>1036.488187277276</v>
      </c>
      <c r="Q69" s="24">
        <v>1026.0402256867499</v>
      </c>
      <c r="R69" s="24">
        <v>1027.1681888150711</v>
      </c>
      <c r="S69" s="24">
        <v>1040.5165747701153</v>
      </c>
      <c r="T69" s="24">
        <v>1022.963709677953</v>
      </c>
      <c r="U69" s="24">
        <v>1049.427049380469</v>
      </c>
      <c r="V69" s="24">
        <v>1085.66123290224</v>
      </c>
      <c r="W69" s="25">
        <v>1026.6183962053099</v>
      </c>
    </row>
    <row r="70" spans="1:23" x14ac:dyDescent="0.3">
      <c r="A70" s="23">
        <v>67</v>
      </c>
      <c r="B70" s="24">
        <v>1215.2304519492279</v>
      </c>
      <c r="C70" s="24">
        <v>1216.984141644715</v>
      </c>
      <c r="D70" s="24">
        <v>1217.0773293709772</v>
      </c>
      <c r="E70" s="24">
        <v>1214.755844886904</v>
      </c>
      <c r="F70" s="24">
        <v>1215.817707227953</v>
      </c>
      <c r="G70" s="24">
        <v>1214.9718086579551</v>
      </c>
      <c r="H70" s="24">
        <v>1210.628463999511</v>
      </c>
      <c r="I70" s="24">
        <v>1213.461258155505</v>
      </c>
      <c r="J70" s="24">
        <v>1213.6316569817179</v>
      </c>
      <c r="K70" s="25">
        <v>1216.2060685388581</v>
      </c>
      <c r="L70" s="3"/>
      <c r="M70" s="23">
        <v>67</v>
      </c>
      <c r="N70" s="24">
        <v>1023.7222614079139</v>
      </c>
      <c r="O70" s="24">
        <v>1050.0818770175511</v>
      </c>
      <c r="P70" s="24">
        <v>1024.9764298295831</v>
      </c>
      <c r="Q70" s="24">
        <v>1023.2127369913751</v>
      </c>
      <c r="R70" s="24">
        <v>1027.591827396657</v>
      </c>
      <c r="S70" s="24">
        <v>984.93661361354509</v>
      </c>
      <c r="T70" s="24">
        <v>1035.053046731377</v>
      </c>
      <c r="U70" s="24">
        <v>1020.483991288321</v>
      </c>
      <c r="V70" s="24">
        <v>1050.226014068159</v>
      </c>
      <c r="W70" s="25">
        <v>1025.5602783544741</v>
      </c>
    </row>
    <row r="71" spans="1:23" x14ac:dyDescent="0.3">
      <c r="A71" s="23">
        <v>68</v>
      </c>
      <c r="B71" s="24">
        <v>1213.4680996362008</v>
      </c>
      <c r="C71" s="24">
        <v>1214.816000145365</v>
      </c>
      <c r="D71" s="24">
        <v>1213.577537289415</v>
      </c>
      <c r="E71" s="24">
        <v>1214.6595371247558</v>
      </c>
      <c r="F71" s="24">
        <v>1212.6891630905729</v>
      </c>
      <c r="G71" s="24">
        <v>1216.3991280631531</v>
      </c>
      <c r="H71" s="24">
        <v>1212.513312995407</v>
      </c>
      <c r="I71" s="24">
        <v>1215.9703468553921</v>
      </c>
      <c r="J71" s="24">
        <v>1212.734775890603</v>
      </c>
      <c r="K71" s="25">
        <v>1213.2998133303099</v>
      </c>
      <c r="L71" s="3"/>
      <c r="M71" s="23">
        <v>68</v>
      </c>
      <c r="N71" s="24">
        <v>1009.3352457614001</v>
      </c>
      <c r="O71" s="24">
        <v>1048.673600465007</v>
      </c>
      <c r="P71" s="24">
        <v>1105.7840494153261</v>
      </c>
      <c r="Q71" s="24">
        <v>1033.1591389078208</v>
      </c>
      <c r="R71" s="24">
        <v>1017.9514002192409</v>
      </c>
      <c r="S71" s="24">
        <v>1021.477780273312</v>
      </c>
      <c r="T71" s="24">
        <v>1026.0377830296138</v>
      </c>
      <c r="U71" s="24">
        <v>1025.044961464286</v>
      </c>
      <c r="V71" s="24">
        <v>1023.025923406497</v>
      </c>
      <c r="W71" s="25">
        <v>1028.5269045035409</v>
      </c>
    </row>
    <row r="72" spans="1:23" x14ac:dyDescent="0.3">
      <c r="A72" s="23">
        <v>69</v>
      </c>
      <c r="B72" s="24">
        <v>1214.49706277016</v>
      </c>
      <c r="C72" s="24">
        <v>1211.8210021846828</v>
      </c>
      <c r="D72" s="24">
        <v>1211.9545577749491</v>
      </c>
      <c r="E72" s="24">
        <v>1219.534430457345</v>
      </c>
      <c r="F72" s="24">
        <v>1218.599868548785</v>
      </c>
      <c r="G72" s="24">
        <v>1214.617737332921</v>
      </c>
      <c r="H72" s="24">
        <v>1215.333708359427</v>
      </c>
      <c r="I72" s="24">
        <v>1215.846901409061</v>
      </c>
      <c r="J72" s="24">
        <v>1216.562936756952</v>
      </c>
      <c r="K72" s="25">
        <v>1216.8224167197579</v>
      </c>
      <c r="L72" s="3"/>
      <c r="M72" s="23">
        <v>69</v>
      </c>
      <c r="N72" s="24">
        <v>1036.3830420429149</v>
      </c>
      <c r="O72" s="24">
        <v>1047.019708572536</v>
      </c>
      <c r="P72" s="24">
        <v>1022.2074467380501</v>
      </c>
      <c r="Q72" s="24">
        <v>1023.844770315851</v>
      </c>
      <c r="R72" s="24">
        <v>1035.3113158043329</v>
      </c>
      <c r="S72" s="24">
        <v>1017.2399267097237</v>
      </c>
      <c r="T72" s="24">
        <v>1027.168510192573</v>
      </c>
      <c r="U72" s="24">
        <v>1052.1389998934681</v>
      </c>
      <c r="V72" s="24">
        <v>1027.6606586013722</v>
      </c>
      <c r="W72" s="25">
        <v>1007.5638263346621</v>
      </c>
    </row>
    <row r="73" spans="1:23" x14ac:dyDescent="0.3">
      <c r="A73" s="23">
        <v>70</v>
      </c>
      <c r="B73" s="24">
        <v>1216.7190349747871</v>
      </c>
      <c r="C73" s="24">
        <v>1217.3057735919829</v>
      </c>
      <c r="D73" s="24">
        <v>1213.4767462023831</v>
      </c>
      <c r="E73" s="24">
        <v>1213.367111649025</v>
      </c>
      <c r="F73" s="24">
        <v>1220.1797640671389</v>
      </c>
      <c r="G73" s="24">
        <v>1215.3259709669471</v>
      </c>
      <c r="H73" s="24">
        <v>1213.5290416144669</v>
      </c>
      <c r="I73" s="24">
        <v>1212.8258661755269</v>
      </c>
      <c r="J73" s="24">
        <v>1213.251114435014</v>
      </c>
      <c r="K73" s="25">
        <v>1216.8540647778589</v>
      </c>
      <c r="L73" s="3"/>
      <c r="M73" s="23">
        <v>70</v>
      </c>
      <c r="N73" s="24">
        <v>1100.5384792779948</v>
      </c>
      <c r="O73" s="24">
        <v>1049.0919627388971</v>
      </c>
      <c r="P73" s="24">
        <v>1004.3498255530731</v>
      </c>
      <c r="Q73" s="24">
        <v>1047.280403166892</v>
      </c>
      <c r="R73" s="24">
        <v>1024.1799943829201</v>
      </c>
      <c r="S73" s="24">
        <v>1085.4115334522958</v>
      </c>
      <c r="T73" s="24">
        <v>1113.5493533821432</v>
      </c>
      <c r="U73" s="24">
        <v>1033.193730829686</v>
      </c>
      <c r="V73" s="24">
        <v>1027.451823439485</v>
      </c>
      <c r="W73" s="25">
        <v>1033.500765562814</v>
      </c>
    </row>
    <row r="74" spans="1:23" x14ac:dyDescent="0.3">
      <c r="A74" s="23">
        <v>71</v>
      </c>
      <c r="B74" s="24">
        <v>1216.1419567415671</v>
      </c>
      <c r="C74" s="24">
        <v>1214.8184531521761</v>
      </c>
      <c r="D74" s="24">
        <v>1212.619104812595</v>
      </c>
      <c r="E74" s="24">
        <v>1216.5779071406671</v>
      </c>
      <c r="F74" s="24">
        <v>1212.429620400826</v>
      </c>
      <c r="G74" s="24">
        <v>1215.595758933443</v>
      </c>
      <c r="H74" s="24">
        <v>1215.183747927837</v>
      </c>
      <c r="I74" s="24">
        <v>1212.671878927355</v>
      </c>
      <c r="J74" s="24">
        <v>1214.6652776016272</v>
      </c>
      <c r="K74" s="25">
        <v>1216.328068747013</v>
      </c>
      <c r="L74" s="3"/>
      <c r="M74" s="23">
        <v>71</v>
      </c>
      <c r="N74" s="24">
        <v>1025.782760799633</v>
      </c>
      <c r="O74" s="24">
        <v>1062.730471784394</v>
      </c>
      <c r="P74" s="24">
        <v>1112.3425421747429</v>
      </c>
      <c r="Q74" s="24">
        <v>1024.0549384938149</v>
      </c>
      <c r="R74" s="24">
        <v>1023.518482921012</v>
      </c>
      <c r="S74" s="24">
        <v>1006.4939987988131</v>
      </c>
      <c r="T74" s="24">
        <v>1033.556170585385</v>
      </c>
      <c r="U74" s="24">
        <v>1022.2576162829459</v>
      </c>
      <c r="V74" s="24">
        <v>1072.9573606581921</v>
      </c>
      <c r="W74" s="25">
        <v>1027.4462723348274</v>
      </c>
    </row>
    <row r="75" spans="1:23" x14ac:dyDescent="0.3">
      <c r="A75" s="23">
        <v>72</v>
      </c>
      <c r="B75" s="24">
        <v>1218.108382337608</v>
      </c>
      <c r="C75" s="24">
        <v>1216.219700626074</v>
      </c>
      <c r="D75" s="24">
        <v>1213.6056667137771</v>
      </c>
      <c r="E75" s="24">
        <v>1214.3843744037179</v>
      </c>
      <c r="F75" s="24">
        <v>1214.01152965813</v>
      </c>
      <c r="G75" s="24">
        <v>1217.1599554892821</v>
      </c>
      <c r="H75" s="24">
        <v>1216.6002634826391</v>
      </c>
      <c r="I75" s="24">
        <v>1214.2761912175251</v>
      </c>
      <c r="J75" s="24">
        <v>1211.6584437792949</v>
      </c>
      <c r="K75" s="25">
        <v>1216.833238454208</v>
      </c>
      <c r="L75" s="3"/>
      <c r="M75" s="23">
        <v>72</v>
      </c>
      <c r="N75" s="24">
        <v>1029.0862141982682</v>
      </c>
      <c r="O75" s="24">
        <v>1087.4976192858169</v>
      </c>
      <c r="P75" s="24">
        <v>1051.3417539319221</v>
      </c>
      <c r="Q75" s="24">
        <v>1073.222470666949</v>
      </c>
      <c r="R75" s="24">
        <v>1048.854161211781</v>
      </c>
      <c r="S75" s="24">
        <v>1089.256908808577</v>
      </c>
      <c r="T75" s="24">
        <v>1024.830417486864</v>
      </c>
      <c r="U75" s="24">
        <v>993.78678019109714</v>
      </c>
      <c r="V75" s="24">
        <v>1058.434703979603</v>
      </c>
      <c r="W75" s="25">
        <v>1048.667749123892</v>
      </c>
    </row>
    <row r="76" spans="1:23" x14ac:dyDescent="0.3">
      <c r="A76" s="23">
        <v>73</v>
      </c>
      <c r="B76" s="24">
        <v>1210.159565881411</v>
      </c>
      <c r="C76" s="24">
        <v>1213.3957219931269</v>
      </c>
      <c r="D76" s="24">
        <v>1216.0599118375999</v>
      </c>
      <c r="E76" s="24">
        <v>1211.5999473186621</v>
      </c>
      <c r="F76" s="24">
        <v>1209.5960726730871</v>
      </c>
      <c r="G76" s="24">
        <v>1210.672041742866</v>
      </c>
      <c r="H76" s="24">
        <v>1211.9992059574001</v>
      </c>
      <c r="I76" s="24">
        <v>1211.360968717908</v>
      </c>
      <c r="J76" s="24">
        <v>1209.375482713205</v>
      </c>
      <c r="K76" s="25">
        <v>1211.5670578245799</v>
      </c>
      <c r="L76" s="3"/>
      <c r="M76" s="23">
        <v>73</v>
      </c>
      <c r="N76" s="24">
        <v>1455.9672431143163</v>
      </c>
      <c r="O76" s="24">
        <v>1468.070751753849</v>
      </c>
      <c r="P76" s="24">
        <v>1444.5760955140797</v>
      </c>
      <c r="Q76" s="24">
        <v>1434.3665701120497</v>
      </c>
      <c r="R76" s="24">
        <v>1465.5684806778081</v>
      </c>
      <c r="S76" s="24">
        <v>1468.63851326647</v>
      </c>
      <c r="T76" s="24">
        <v>1461.1099035164827</v>
      </c>
      <c r="U76" s="24">
        <v>1453.816951840822</v>
      </c>
      <c r="V76" s="24">
        <v>1477.7546423670342</v>
      </c>
      <c r="W76" s="25">
        <v>1456.5913881377701</v>
      </c>
    </row>
    <row r="77" spans="1:23" x14ac:dyDescent="0.3">
      <c r="A77" s="23">
        <v>74</v>
      </c>
      <c r="B77" s="24">
        <v>1211.861711824507</v>
      </c>
      <c r="C77" s="24">
        <v>1215.2563081393569</v>
      </c>
      <c r="D77" s="24">
        <v>1210.9945244139249</v>
      </c>
      <c r="E77" s="24">
        <v>1210.5444094700761</v>
      </c>
      <c r="F77" s="24">
        <v>1212.43189329043</v>
      </c>
      <c r="G77" s="24">
        <v>1211.3182552739158</v>
      </c>
      <c r="H77" s="24">
        <v>1209.2226802947621</v>
      </c>
      <c r="I77" s="24">
        <v>1213.4591167696849</v>
      </c>
      <c r="J77" s="24">
        <v>1212.4368907287669</v>
      </c>
      <c r="K77" s="25">
        <v>1210.9716865227801</v>
      </c>
      <c r="L77" s="3"/>
      <c r="M77" s="23">
        <v>74</v>
      </c>
      <c r="N77" s="24">
        <v>1458.2277615641281</v>
      </c>
      <c r="O77" s="24">
        <v>1459.9164152741662</v>
      </c>
      <c r="P77" s="24">
        <v>1454.7853835134797</v>
      </c>
      <c r="Q77" s="24">
        <v>1446.0034048672289</v>
      </c>
      <c r="R77" s="24">
        <v>1475.276375981068</v>
      </c>
      <c r="S77" s="24">
        <v>1457.3296273299218</v>
      </c>
      <c r="T77" s="24">
        <v>1448.8588392812371</v>
      </c>
      <c r="U77" s="24">
        <v>1465.3626460815738</v>
      </c>
      <c r="V77" s="24">
        <v>1457.1752276905372</v>
      </c>
      <c r="W77" s="25">
        <v>1456.0412785864969</v>
      </c>
    </row>
    <row r="78" spans="1:23" x14ac:dyDescent="0.3">
      <c r="A78" s="23">
        <v>75</v>
      </c>
      <c r="B78" s="24">
        <v>1213.8764619264391</v>
      </c>
      <c r="C78" s="24">
        <v>1212.8933612172441</v>
      </c>
      <c r="D78" s="24">
        <v>1209.4106973430271</v>
      </c>
      <c r="E78" s="24">
        <v>1209.550368943482</v>
      </c>
      <c r="F78" s="24">
        <v>1214.5350321352871</v>
      </c>
      <c r="G78" s="24">
        <v>1210.8787957784689</v>
      </c>
      <c r="H78" s="24">
        <v>1209.6048350588039</v>
      </c>
      <c r="I78" s="24">
        <v>1211.4692448980329</v>
      </c>
      <c r="J78" s="24">
        <v>1210.740419895935</v>
      </c>
      <c r="K78" s="25">
        <v>1210.328174075587</v>
      </c>
      <c r="L78" s="3"/>
      <c r="M78" s="23">
        <v>75</v>
      </c>
      <c r="N78" s="24">
        <v>1463.2919627909462</v>
      </c>
      <c r="O78" s="24">
        <v>1455.720472047306</v>
      </c>
      <c r="P78" s="24">
        <v>1466.931677285859</v>
      </c>
      <c r="Q78" s="24">
        <v>1469.2246080895623</v>
      </c>
      <c r="R78" s="24">
        <v>1452.0874312344999</v>
      </c>
      <c r="S78" s="24">
        <v>1457.4153320959372</v>
      </c>
      <c r="T78" s="24">
        <v>1447.6799569205898</v>
      </c>
      <c r="U78" s="24">
        <v>1464.744845437508</v>
      </c>
      <c r="V78" s="24">
        <v>1455.7173850183531</v>
      </c>
      <c r="W78" s="25">
        <v>1449.0230981689811</v>
      </c>
    </row>
    <row r="79" spans="1:23" x14ac:dyDescent="0.3">
      <c r="A79" s="23">
        <v>76</v>
      </c>
      <c r="B79" s="24">
        <v>1212.10126473783</v>
      </c>
      <c r="C79" s="24">
        <v>1210.8442272809739</v>
      </c>
      <c r="D79" s="24">
        <v>1213.1657558635811</v>
      </c>
      <c r="E79" s="24">
        <v>1210.54336556615</v>
      </c>
      <c r="F79" s="24">
        <v>1211.6271987188441</v>
      </c>
      <c r="G79" s="24">
        <v>1210.6053319976379</v>
      </c>
      <c r="H79" s="24">
        <v>1212.5286479528822</v>
      </c>
      <c r="I79" s="24">
        <v>1213.001885154908</v>
      </c>
      <c r="J79" s="24">
        <v>1214.4271765757981</v>
      </c>
      <c r="K79" s="25">
        <v>1212.2707153406141</v>
      </c>
      <c r="L79" s="3"/>
      <c r="M79" s="23">
        <v>76</v>
      </c>
      <c r="N79" s="24">
        <v>1467.313720476021</v>
      </c>
      <c r="O79" s="24">
        <v>1455.1832486094397</v>
      </c>
      <c r="P79" s="24">
        <v>1470.1953946731078</v>
      </c>
      <c r="Q79" s="24">
        <v>1469.007100000189</v>
      </c>
      <c r="R79" s="24">
        <v>1454.4858634847242</v>
      </c>
      <c r="S79" s="24">
        <v>1456.972971588541</v>
      </c>
      <c r="T79" s="24">
        <v>1469.8673586308448</v>
      </c>
      <c r="U79" s="24">
        <v>1452.674924768203</v>
      </c>
      <c r="V79" s="24">
        <v>1475.0070470012499</v>
      </c>
      <c r="W79" s="25">
        <v>1456.2923728569672</v>
      </c>
    </row>
    <row r="80" spans="1:23" x14ac:dyDescent="0.3">
      <c r="A80" s="23">
        <v>77</v>
      </c>
      <c r="B80" s="24">
        <v>1210.2481755097861</v>
      </c>
      <c r="C80" s="24">
        <v>1215.1393502901151</v>
      </c>
      <c r="D80" s="24">
        <v>1208.8723663433029</v>
      </c>
      <c r="E80" s="24">
        <v>1210.6052551786611</v>
      </c>
      <c r="F80" s="24">
        <v>1214.059944336035</v>
      </c>
      <c r="G80" s="24">
        <v>1207.5717914747449</v>
      </c>
      <c r="H80" s="24">
        <v>1210.2450165746729</v>
      </c>
      <c r="I80" s="24">
        <v>1207.0213083719341</v>
      </c>
      <c r="J80" s="24">
        <v>1211.770785019201</v>
      </c>
      <c r="K80" s="25">
        <v>1210.5758669842069</v>
      </c>
      <c r="L80" s="3"/>
      <c r="M80" s="23">
        <v>77</v>
      </c>
      <c r="N80" s="24">
        <v>1459.135701321102</v>
      </c>
      <c r="O80" s="24">
        <v>1453.253889673545</v>
      </c>
      <c r="P80" s="24">
        <v>1460.901241210672</v>
      </c>
      <c r="Q80" s="24">
        <v>1444.9288886844911</v>
      </c>
      <c r="R80" s="24">
        <v>1465.5743831407678</v>
      </c>
      <c r="S80" s="24">
        <v>1456.590220698863</v>
      </c>
      <c r="T80" s="24">
        <v>1471.068493133356</v>
      </c>
      <c r="U80" s="24">
        <v>1471.1648499027463</v>
      </c>
      <c r="V80" s="24">
        <v>1465.7224250793711</v>
      </c>
      <c r="W80" s="25">
        <v>1458.4758782480251</v>
      </c>
    </row>
    <row r="81" spans="1:23" x14ac:dyDescent="0.3">
      <c r="A81" s="23">
        <v>78</v>
      </c>
      <c r="B81" s="24">
        <v>1210.5596244114329</v>
      </c>
      <c r="C81" s="24">
        <v>1212.1458264758141</v>
      </c>
      <c r="D81" s="24">
        <v>1212.6388082883532</v>
      </c>
      <c r="E81" s="24">
        <v>1212.3739699468968</v>
      </c>
      <c r="F81" s="24">
        <v>1209.88243970961</v>
      </c>
      <c r="G81" s="24">
        <v>1211.5568881404961</v>
      </c>
      <c r="H81" s="24">
        <v>1214.2613900443989</v>
      </c>
      <c r="I81" s="24">
        <v>1212.90051342275</v>
      </c>
      <c r="J81" s="24">
        <v>1211.186534123397</v>
      </c>
      <c r="K81" s="25">
        <v>1210.9152746040279</v>
      </c>
      <c r="L81" s="3"/>
      <c r="M81" s="23">
        <v>78</v>
      </c>
      <c r="N81" s="24">
        <v>1468.573842308492</v>
      </c>
      <c r="O81" s="24">
        <v>1455.4063430547681</v>
      </c>
      <c r="P81" s="24">
        <v>1445.0408326150248</v>
      </c>
      <c r="Q81" s="24">
        <v>1473.476560618454</v>
      </c>
      <c r="R81" s="24">
        <v>1479.5764764375408</v>
      </c>
      <c r="S81" s="24">
        <v>1468.2886472554321</v>
      </c>
      <c r="T81" s="24">
        <v>1469.8525005249112</v>
      </c>
      <c r="U81" s="24">
        <v>1453.2401049570792</v>
      </c>
      <c r="V81" s="24">
        <v>1472.2344694474968</v>
      </c>
      <c r="W81" s="25">
        <v>1471.3638662857861</v>
      </c>
    </row>
    <row r="82" spans="1:23" x14ac:dyDescent="0.3">
      <c r="A82" s="23">
        <v>79</v>
      </c>
      <c r="B82" s="24">
        <v>1209.4760965568457</v>
      </c>
      <c r="C82" s="24">
        <v>1210.305448497993</v>
      </c>
      <c r="D82" s="24">
        <v>1209.114655662939</v>
      </c>
      <c r="E82" s="24">
        <v>1215.528794843003</v>
      </c>
      <c r="F82" s="24">
        <v>1213.178500345974</v>
      </c>
      <c r="G82" s="24">
        <v>1212.389167918313</v>
      </c>
      <c r="H82" s="24">
        <v>1208.8342337357381</v>
      </c>
      <c r="I82" s="24">
        <v>1211.966982433004</v>
      </c>
      <c r="J82" s="24">
        <v>1213.0865146558961</v>
      </c>
      <c r="K82" s="25">
        <v>1210.4173528428159</v>
      </c>
      <c r="L82" s="3"/>
      <c r="M82" s="23">
        <v>79</v>
      </c>
      <c r="N82" s="24">
        <v>1433.7283148684301</v>
      </c>
      <c r="O82" s="24">
        <v>1467.9639934297511</v>
      </c>
      <c r="P82" s="24">
        <v>1458.0643154485431</v>
      </c>
      <c r="Q82" s="24">
        <v>1470.126294599969</v>
      </c>
      <c r="R82" s="24">
        <v>1493.8001941128271</v>
      </c>
      <c r="S82" s="24">
        <v>1467.7984227093839</v>
      </c>
      <c r="T82" s="24">
        <v>1472.1449680365472</v>
      </c>
      <c r="U82" s="24">
        <v>1468.736595415073</v>
      </c>
      <c r="V82" s="24">
        <v>1458.0039482797961</v>
      </c>
      <c r="W82" s="25">
        <v>1460.7561135025462</v>
      </c>
    </row>
    <row r="83" spans="1:23" x14ac:dyDescent="0.3">
      <c r="A83" s="23">
        <v>80</v>
      </c>
      <c r="B83" s="24">
        <v>1210.810661442245</v>
      </c>
      <c r="C83" s="24">
        <v>1214.3409443792291</v>
      </c>
      <c r="D83" s="24">
        <v>1212.1332548964231</v>
      </c>
      <c r="E83" s="24">
        <v>1210.1437739315879</v>
      </c>
      <c r="F83" s="24">
        <v>1211.1292206944991</v>
      </c>
      <c r="G83" s="24">
        <v>1212.2923846448969</v>
      </c>
      <c r="H83" s="24">
        <v>1213.188633317671</v>
      </c>
      <c r="I83" s="24">
        <v>1217.095102061751</v>
      </c>
      <c r="J83" s="24">
        <v>1209.8895176152539</v>
      </c>
      <c r="K83" s="25">
        <v>1210.7210598589531</v>
      </c>
      <c r="L83" s="3"/>
      <c r="M83" s="23">
        <v>80</v>
      </c>
      <c r="N83" s="24">
        <v>1449.1333822738529</v>
      </c>
      <c r="O83" s="24">
        <v>1447.2069013464534</v>
      </c>
      <c r="P83" s="24">
        <v>1450.4213688710822</v>
      </c>
      <c r="Q83" s="24">
        <v>1478.855418669971</v>
      </c>
      <c r="R83" s="24">
        <v>1457.910019868993</v>
      </c>
      <c r="S83" s="24">
        <v>1453.1351013817748</v>
      </c>
      <c r="T83" s="24">
        <v>1447.7887233246213</v>
      </c>
      <c r="U83" s="24">
        <v>1467.0173920962784</v>
      </c>
      <c r="V83" s="24">
        <v>1458.4429476575581</v>
      </c>
      <c r="W83" s="25">
        <v>1467.3562692731668</v>
      </c>
    </row>
    <row r="84" spans="1:23" x14ac:dyDescent="0.3">
      <c r="A84" s="26">
        <v>81</v>
      </c>
      <c r="B84" s="27">
        <v>1213.1022806428048</v>
      </c>
      <c r="C84" s="27">
        <v>1212.5213991869789</v>
      </c>
      <c r="D84" s="27">
        <v>1214.8204884292081</v>
      </c>
      <c r="E84" s="27">
        <v>1210.3922672258152</v>
      </c>
      <c r="F84" s="27">
        <v>1214.2037488532449</v>
      </c>
      <c r="G84" s="27">
        <v>1210.455271232993</v>
      </c>
      <c r="H84" s="27">
        <v>1213.2227199444801</v>
      </c>
      <c r="I84" s="27">
        <v>1213.6219954870669</v>
      </c>
      <c r="J84" s="27">
        <v>1209.4934988797029</v>
      </c>
      <c r="K84" s="28">
        <v>1211.7875156632831</v>
      </c>
      <c r="L84" s="3"/>
      <c r="M84" s="26">
        <v>81</v>
      </c>
      <c r="N84" s="27">
        <v>1458.108394274989</v>
      </c>
      <c r="O84" s="27">
        <v>1477.9004006580731</v>
      </c>
      <c r="P84" s="27">
        <v>1492.5742220112882</v>
      </c>
      <c r="Q84" s="27">
        <v>1474.2074449936172</v>
      </c>
      <c r="R84" s="27">
        <v>1473.5132008557159</v>
      </c>
      <c r="S84" s="27">
        <v>1478.3330771137789</v>
      </c>
      <c r="T84" s="27">
        <v>1467.2508691258979</v>
      </c>
      <c r="U84" s="27">
        <v>1455.8167326015944</v>
      </c>
      <c r="V84" s="27">
        <v>1458.1975298547109</v>
      </c>
      <c r="W84" s="28">
        <v>1447.5719990215962</v>
      </c>
    </row>
  </sheetData>
  <mergeCells count="2">
    <mergeCell ref="B2:K2"/>
    <mergeCell ref="N2: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D849-333A-4ACA-A1AE-6C4DBEDC0251}">
  <dimension ref="A1:AN84"/>
  <sheetViews>
    <sheetView workbookViewId="0">
      <selection activeCell="Q17" sqref="Q17"/>
    </sheetView>
  </sheetViews>
  <sheetFormatPr defaultRowHeight="14.4" x14ac:dyDescent="0.3"/>
  <cols>
    <col min="12" max="12" width="3.33203125" customWidth="1"/>
    <col min="26" max="26" width="11.109375" bestFit="1" customWidth="1"/>
  </cols>
  <sheetData>
    <row r="1" spans="1:40" x14ac:dyDescent="0.3">
      <c r="A1" s="15" t="s">
        <v>1</v>
      </c>
      <c r="B1" s="16"/>
      <c r="C1" s="16"/>
      <c r="D1" s="16"/>
      <c r="E1" s="16"/>
      <c r="F1" s="16"/>
      <c r="G1" s="16"/>
      <c r="H1" s="16"/>
      <c r="I1" s="16"/>
      <c r="J1" s="16"/>
      <c r="K1" s="17"/>
      <c r="L1" s="16"/>
      <c r="M1" s="15" t="s">
        <v>2</v>
      </c>
      <c r="N1" s="16"/>
      <c r="O1" s="16"/>
      <c r="P1" s="16"/>
      <c r="Q1" s="16"/>
      <c r="R1" s="16"/>
      <c r="S1" s="16"/>
      <c r="T1" s="16"/>
      <c r="U1" s="16"/>
      <c r="V1" s="16"/>
      <c r="W1" s="17"/>
    </row>
    <row r="2" spans="1:40" x14ac:dyDescent="0.3">
      <c r="A2" s="18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20"/>
      <c r="L2" s="29"/>
      <c r="M2" s="18"/>
      <c r="N2" s="19" t="s">
        <v>0</v>
      </c>
      <c r="O2" s="19"/>
      <c r="P2" s="19"/>
      <c r="Q2" s="19"/>
      <c r="R2" s="19"/>
      <c r="S2" s="19"/>
      <c r="T2" s="19"/>
      <c r="U2" s="19"/>
      <c r="V2" s="19"/>
      <c r="W2" s="20"/>
    </row>
    <row r="3" spans="1:40" x14ac:dyDescent="0.3">
      <c r="A3" s="21" t="s">
        <v>19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22">
        <v>10</v>
      </c>
      <c r="L3" s="13"/>
      <c r="M3" s="21" t="s">
        <v>19</v>
      </c>
      <c r="N3" s="13">
        <v>1</v>
      </c>
      <c r="O3" s="13">
        <v>2</v>
      </c>
      <c r="P3" s="13">
        <v>3</v>
      </c>
      <c r="Q3" s="13">
        <v>4</v>
      </c>
      <c r="R3" s="13">
        <v>5</v>
      </c>
      <c r="S3" s="13">
        <v>6</v>
      </c>
      <c r="T3" s="13">
        <v>7</v>
      </c>
      <c r="U3" s="13">
        <v>8</v>
      </c>
      <c r="V3" s="13">
        <v>9</v>
      </c>
      <c r="W3" s="22">
        <v>10</v>
      </c>
      <c r="Y3" s="7" t="s">
        <v>3</v>
      </c>
      <c r="Z3" s="7" t="s">
        <v>4</v>
      </c>
      <c r="AA3" s="7" t="s">
        <v>5</v>
      </c>
      <c r="AB3" s="7" t="s">
        <v>6</v>
      </c>
      <c r="AC3" s="7" t="s">
        <v>7</v>
      </c>
    </row>
    <row r="4" spans="1:40" x14ac:dyDescent="0.3">
      <c r="A4" s="23">
        <v>1</v>
      </c>
      <c r="B4" s="34">
        <v>629.04450587438691</v>
      </c>
      <c r="C4" s="34">
        <v>634.97887589576499</v>
      </c>
      <c r="D4" s="34">
        <v>632.82694905462006</v>
      </c>
      <c r="E4" s="34">
        <v>631.03028785297795</v>
      </c>
      <c r="F4" s="34">
        <v>630.83509382054012</v>
      </c>
      <c r="G4" s="34">
        <v>633.05560264778001</v>
      </c>
      <c r="H4" s="34">
        <v>630.32892840676686</v>
      </c>
      <c r="I4" s="34">
        <v>630.05525816213299</v>
      </c>
      <c r="J4" s="34">
        <v>628.76488315927998</v>
      </c>
      <c r="K4" s="35">
        <v>630.25162197899397</v>
      </c>
      <c r="L4" s="2"/>
      <c r="M4" s="23">
        <v>1</v>
      </c>
      <c r="N4" s="24">
        <v>80.413502431199106</v>
      </c>
      <c r="O4" s="24">
        <v>80.633899370350804</v>
      </c>
      <c r="P4" s="24">
        <v>80.056072761528</v>
      </c>
      <c r="Q4" s="24">
        <v>79.929051864877707</v>
      </c>
      <c r="R4" s="24">
        <v>80.245084931249409</v>
      </c>
      <c r="S4" s="24">
        <v>80.40722978626431</v>
      </c>
      <c r="T4" s="24">
        <v>80.432961291623599</v>
      </c>
      <c r="U4" s="24">
        <v>80.542857606030708</v>
      </c>
      <c r="V4" s="24">
        <v>80.476557003211795</v>
      </c>
      <c r="W4" s="25">
        <v>79.783961694537297</v>
      </c>
      <c r="Y4" s="8">
        <f t="array" ref="Y4">AVERAGE(B4:K4/TotalWasteDisposed!B4:K4-TravelTime!N4:W4/TotalWasteDisposed!N4:W4)</f>
        <v>0.31773275538666074</v>
      </c>
      <c r="Z4" s="8">
        <f t="array" ref="Z4">_xlfn.STDEV.S(B4:K4/TotalWasteDisposed!B4:K4-TravelTime!N4:W4/TotalWasteDisposed!N4:W4)</f>
        <v>1.7776086805231081E-3</v>
      </c>
      <c r="AA4" s="8">
        <f>2.262*Z4/SQRT(10)</f>
        <v>1.2715362999241408E-3</v>
      </c>
      <c r="AB4" s="8">
        <f>Y4-AA4</f>
        <v>0.31646121908673658</v>
      </c>
      <c r="AC4" s="8">
        <f>Y4+AA4</f>
        <v>0.3190042916865849</v>
      </c>
      <c r="AE4" s="8">
        <f t="array" ref="AE4:AN6">(B4:K4/TotalWasteDisposed!B4:K4-TravelTime!N4:W4/TotalWasteDisposed!N4:W4)</f>
        <v>0.31622283266069151</v>
      </c>
      <c r="AF4" s="8">
        <v>0.31925889928838203</v>
      </c>
      <c r="AG4" s="8">
        <v>0.3194810584373976</v>
      </c>
      <c r="AH4" s="8">
        <v>0.31745849269501619</v>
      </c>
      <c r="AI4" s="8">
        <v>0.31899108484545213</v>
      </c>
      <c r="AJ4" s="8">
        <v>0.31895760308902293</v>
      </c>
      <c r="AK4" s="8">
        <v>0.31631786655695832</v>
      </c>
      <c r="AL4" s="8">
        <v>0.31548370193606301</v>
      </c>
      <c r="AM4" s="8">
        <v>0.31528600179043831</v>
      </c>
      <c r="AN4" s="8">
        <v>0.31987001256718506</v>
      </c>
    </row>
    <row r="5" spans="1:40" x14ac:dyDescent="0.3">
      <c r="A5" s="23">
        <v>2</v>
      </c>
      <c r="B5" s="34">
        <v>635.289358116416</v>
      </c>
      <c r="C5" s="34">
        <v>632.79592469970396</v>
      </c>
      <c r="D5" s="34">
        <v>632.04343633230792</v>
      </c>
      <c r="E5" s="34">
        <v>627.46523771794102</v>
      </c>
      <c r="F5" s="34">
        <v>628.52607600687099</v>
      </c>
      <c r="G5" s="34">
        <v>634.84473196784904</v>
      </c>
      <c r="H5" s="34">
        <v>626.81154092761699</v>
      </c>
      <c r="I5" s="34">
        <v>630.12722769189497</v>
      </c>
      <c r="J5" s="34">
        <v>629.97344110781194</v>
      </c>
      <c r="K5" s="35">
        <v>629.58768735188596</v>
      </c>
      <c r="L5" s="2"/>
      <c r="M5" s="23">
        <v>2</v>
      </c>
      <c r="N5" s="24">
        <v>80.202954217616593</v>
      </c>
      <c r="O5" s="24">
        <v>80.139516535537808</v>
      </c>
      <c r="P5" s="24">
        <v>79.665329895272791</v>
      </c>
      <c r="Q5" s="24">
        <v>80.464775589351703</v>
      </c>
      <c r="R5" s="24">
        <v>80.329528995532002</v>
      </c>
      <c r="S5" s="24">
        <v>80.6037814438304</v>
      </c>
      <c r="T5" s="24">
        <v>79.989762329752295</v>
      </c>
      <c r="U5" s="24">
        <v>80.176945242371005</v>
      </c>
      <c r="V5" s="24">
        <v>80.542680344147698</v>
      </c>
      <c r="W5" s="25">
        <v>79.731070411405199</v>
      </c>
      <c r="Y5" s="8">
        <f t="array" ref="Y5">AVERAGE(B5:K5/TotalWasteDisposed!B5:K5-TravelTime!N5:W5/TotalWasteDisposed!N5:W5)</f>
        <v>0.31759560332893844</v>
      </c>
      <c r="Z5" s="8">
        <f t="array" ref="Z5">_xlfn.STDEV.S(B5:K5/TotalWasteDisposed!B5:K5-TravelTime!N5:W5/TotalWasteDisposed!N5:W5)</f>
        <v>2.6722272858451853E-3</v>
      </c>
      <c r="AA5" s="8">
        <f t="shared" ref="AA5:AA68" si="0">2.262*Z5/SQRT(10)</f>
        <v>1.9114634355858423E-3</v>
      </c>
      <c r="AB5" s="8">
        <f t="shared" ref="AB5:AB68" si="1">Y5-AA5</f>
        <v>0.31568413989335259</v>
      </c>
      <c r="AC5" s="8">
        <f t="shared" ref="AC5:AC68" si="2">Y5+AA5</f>
        <v>0.31950706676452428</v>
      </c>
      <c r="AE5" s="8">
        <v>0.31622283266069151</v>
      </c>
      <c r="AF5" s="8">
        <v>0.31925889928838203</v>
      </c>
      <c r="AG5" s="8">
        <v>0.3194810584373976</v>
      </c>
      <c r="AH5" s="8">
        <v>0.31745849269501619</v>
      </c>
      <c r="AI5" s="8">
        <v>0.31899108484545213</v>
      </c>
      <c r="AJ5" s="8">
        <v>0.31895760308902293</v>
      </c>
      <c r="AK5" s="8">
        <v>0.31631786655695832</v>
      </c>
      <c r="AL5" s="8">
        <v>0.31548370193606301</v>
      </c>
      <c r="AM5" s="8">
        <v>0.31528600179043831</v>
      </c>
      <c r="AN5" s="8">
        <v>0.31987001256718506</v>
      </c>
    </row>
    <row r="6" spans="1:40" x14ac:dyDescent="0.3">
      <c r="A6" s="23">
        <v>3</v>
      </c>
      <c r="B6" s="34">
        <v>631.81803095610496</v>
      </c>
      <c r="C6" s="34">
        <v>632.79430298249201</v>
      </c>
      <c r="D6" s="34">
        <v>631.399104562101</v>
      </c>
      <c r="E6" s="34">
        <v>627.28907137131705</v>
      </c>
      <c r="F6" s="34">
        <v>631.974853116453</v>
      </c>
      <c r="G6" s="34">
        <v>631.23195708538196</v>
      </c>
      <c r="H6" s="34">
        <v>632.39064243851794</v>
      </c>
      <c r="I6" s="34">
        <v>630.46407029906095</v>
      </c>
      <c r="J6" s="34">
        <v>630.13626514427892</v>
      </c>
      <c r="K6" s="35">
        <v>629.5582404248139</v>
      </c>
      <c r="L6" s="2"/>
      <c r="M6" s="23">
        <v>3</v>
      </c>
      <c r="N6" s="24">
        <v>80.031857032823609</v>
      </c>
      <c r="O6" s="24">
        <v>80.151446944494694</v>
      </c>
      <c r="P6" s="24">
        <v>76.716799085359412</v>
      </c>
      <c r="Q6" s="24">
        <v>80.052291018753991</v>
      </c>
      <c r="R6" s="24">
        <v>80.244001104802209</v>
      </c>
      <c r="S6" s="24">
        <v>80.5506074356326</v>
      </c>
      <c r="T6" s="24">
        <v>80.427767774393601</v>
      </c>
      <c r="U6" s="24">
        <v>80.052781729463803</v>
      </c>
      <c r="V6" s="24">
        <v>80.365712033346298</v>
      </c>
      <c r="W6" s="25">
        <v>79.878286518528199</v>
      </c>
      <c r="Y6" s="8">
        <f t="array" ref="Y6">AVERAGE(B6:K6/TotalWasteDisposed!B6:K6-TravelTime!N6:W6/TotalWasteDisposed!N6:W6)</f>
        <v>0.31768009507650574</v>
      </c>
      <c r="Z6" s="8">
        <f t="array" ref="Z6">_xlfn.STDEV.S(B6:K6/TotalWasteDisposed!B6:K6-TravelTime!N6:W6/TotalWasteDisposed!N6:W6)</f>
        <v>1.9147056003759315E-3</v>
      </c>
      <c r="AA6" s="8">
        <f t="shared" si="0"/>
        <v>1.3696027147153623E-3</v>
      </c>
      <c r="AB6" s="8">
        <f t="shared" si="1"/>
        <v>0.31631049236179037</v>
      </c>
      <c r="AC6" s="8">
        <f t="shared" si="2"/>
        <v>0.31904969779122111</v>
      </c>
      <c r="AE6" s="8">
        <v>0.31622283266069151</v>
      </c>
      <c r="AF6" s="8">
        <v>0.31925889928838203</v>
      </c>
      <c r="AG6" s="8">
        <v>0.3194810584373976</v>
      </c>
      <c r="AH6" s="8">
        <v>0.31745849269501619</v>
      </c>
      <c r="AI6" s="8">
        <v>0.31899108484545213</v>
      </c>
      <c r="AJ6" s="8">
        <v>0.31895760308902293</v>
      </c>
      <c r="AK6" s="8">
        <v>0.31631786655695832</v>
      </c>
      <c r="AL6" s="8">
        <v>0.31548370193606301</v>
      </c>
      <c r="AM6" s="8">
        <v>0.31528600179043831</v>
      </c>
      <c r="AN6" s="8">
        <v>0.31987001256718506</v>
      </c>
    </row>
    <row r="7" spans="1:40" x14ac:dyDescent="0.3">
      <c r="A7" s="23">
        <v>4</v>
      </c>
      <c r="B7" s="34">
        <v>631.59777774000497</v>
      </c>
      <c r="C7" s="34">
        <v>630.44754769551002</v>
      </c>
      <c r="D7" s="34">
        <v>634.626496391768</v>
      </c>
      <c r="E7" s="34">
        <v>629.38561409534498</v>
      </c>
      <c r="F7" s="34">
        <v>629.41178841662111</v>
      </c>
      <c r="G7" s="34">
        <v>633.46787980256602</v>
      </c>
      <c r="H7" s="34">
        <v>633.39610556411094</v>
      </c>
      <c r="I7" s="34">
        <v>632.46179713020797</v>
      </c>
      <c r="J7" s="34">
        <v>626.74864906899893</v>
      </c>
      <c r="K7" s="35">
        <v>627.58477830389791</v>
      </c>
      <c r="L7" s="2"/>
      <c r="M7" s="23">
        <v>4</v>
      </c>
      <c r="N7" s="24">
        <v>80.242589708660205</v>
      </c>
      <c r="O7" s="24">
        <v>80.667332194246086</v>
      </c>
      <c r="P7" s="24">
        <v>80.072260372172693</v>
      </c>
      <c r="Q7" s="24">
        <v>80.4219483857905</v>
      </c>
      <c r="R7" s="24">
        <v>80.218430179181198</v>
      </c>
      <c r="S7" s="24">
        <v>80.464678255436809</v>
      </c>
      <c r="T7" s="24">
        <v>80.230876922924793</v>
      </c>
      <c r="U7" s="24">
        <v>76.361465114704401</v>
      </c>
      <c r="V7" s="24">
        <v>77.237149754080903</v>
      </c>
      <c r="W7" s="25">
        <v>80.741023660796401</v>
      </c>
      <c r="Y7" s="8">
        <f t="array" ref="Y7">AVERAGE(B7:K7/TotalWasteDisposed!B7:K7-TravelTime!N7:W7/TotalWasteDisposed!N7:W7)</f>
        <v>0.31772812170419928</v>
      </c>
      <c r="Z7" s="8">
        <f t="array" ref="Z7">_xlfn.STDEV.S(B7:K7/TotalWasteDisposed!B7:K7-TravelTime!N7:W7/TotalWasteDisposed!N7:W7)</f>
        <v>3.8125305768426229E-3</v>
      </c>
      <c r="AA7" s="8">
        <f t="shared" si="0"/>
        <v>2.7271305974943452E-3</v>
      </c>
      <c r="AB7" s="8">
        <f t="shared" si="1"/>
        <v>0.31500099110670493</v>
      </c>
      <c r="AC7" s="8">
        <f t="shared" si="2"/>
        <v>0.32045525230169364</v>
      </c>
    </row>
    <row r="8" spans="1:40" x14ac:dyDescent="0.3">
      <c r="A8" s="23">
        <v>5</v>
      </c>
      <c r="B8" s="34">
        <v>631.08456899755402</v>
      </c>
      <c r="C8" s="34">
        <v>630.52700283139905</v>
      </c>
      <c r="D8" s="34">
        <v>629.669223390252</v>
      </c>
      <c r="E8" s="34">
        <v>631.42207949793601</v>
      </c>
      <c r="F8" s="34">
        <v>630.30857289695291</v>
      </c>
      <c r="G8" s="34">
        <v>630.91049477217098</v>
      </c>
      <c r="H8" s="34">
        <v>631.43022278159788</v>
      </c>
      <c r="I8" s="34">
        <v>638.18315883959701</v>
      </c>
      <c r="J8" s="34">
        <v>632.53632666988392</v>
      </c>
      <c r="K8" s="35">
        <v>626.96465288174397</v>
      </c>
      <c r="L8" s="2"/>
      <c r="M8" s="23">
        <v>5</v>
      </c>
      <c r="N8" s="24">
        <v>80.434784305288304</v>
      </c>
      <c r="O8" s="24">
        <v>79.909508550791202</v>
      </c>
      <c r="P8" s="24">
        <v>80.083611944214795</v>
      </c>
      <c r="Q8" s="24">
        <v>80.366003842026799</v>
      </c>
      <c r="R8" s="24">
        <v>79.844266658664594</v>
      </c>
      <c r="S8" s="24">
        <v>80.143092300322706</v>
      </c>
      <c r="T8" s="24">
        <v>80.208135947597896</v>
      </c>
      <c r="U8" s="24">
        <v>80.033035481581109</v>
      </c>
      <c r="V8" s="24">
        <v>80.173503236461201</v>
      </c>
      <c r="W8" s="25">
        <v>80.760510624419709</v>
      </c>
      <c r="X8" s="3"/>
      <c r="Y8" s="8">
        <f t="array" ref="Y8">AVERAGE(B8:K8/TotalWasteDisposed!B8:K8-TravelTime!N8:W8/TotalWasteDisposed!N8:W8)</f>
        <v>0.31831462954413681</v>
      </c>
      <c r="Z8" s="8">
        <f t="array" ref="Z8">_xlfn.STDEV.S(B8:K8/TotalWasteDisposed!B8:K8-TravelTime!N8:W8/TotalWasteDisposed!N8:W8)</f>
        <v>2.4615097087023166E-3</v>
      </c>
      <c r="AA8" s="8">
        <f t="shared" si="0"/>
        <v>1.7607356340708451E-3</v>
      </c>
      <c r="AB8" s="8">
        <f t="shared" si="1"/>
        <v>0.31655389391006594</v>
      </c>
      <c r="AC8" s="8">
        <f t="shared" si="2"/>
        <v>0.32007536517820767</v>
      </c>
    </row>
    <row r="9" spans="1:40" x14ac:dyDescent="0.3">
      <c r="A9" s="23">
        <v>6</v>
      </c>
      <c r="B9" s="34">
        <v>630.16509260688099</v>
      </c>
      <c r="C9" s="34">
        <v>630.30058836125511</v>
      </c>
      <c r="D9" s="34">
        <v>630.56467256069504</v>
      </c>
      <c r="E9" s="34">
        <v>626.02899977024003</v>
      </c>
      <c r="F9" s="34">
        <v>631.31062426610004</v>
      </c>
      <c r="G9" s="34">
        <v>635.33181767523797</v>
      </c>
      <c r="H9" s="34">
        <v>628.46306484690297</v>
      </c>
      <c r="I9" s="34">
        <v>630.601905782671</v>
      </c>
      <c r="J9" s="34">
        <v>628.68203882032992</v>
      </c>
      <c r="K9" s="35">
        <v>633.89220738319</v>
      </c>
      <c r="L9" s="2"/>
      <c r="M9" s="23">
        <v>6</v>
      </c>
      <c r="N9" s="24">
        <v>80.237114444662396</v>
      </c>
      <c r="O9" s="24">
        <v>80.532132248573504</v>
      </c>
      <c r="P9" s="24">
        <v>79.809625004108298</v>
      </c>
      <c r="Q9" s="24">
        <v>80.522936354164102</v>
      </c>
      <c r="R9" s="24">
        <v>80.922834772059801</v>
      </c>
      <c r="S9" s="24">
        <v>79.780994904940599</v>
      </c>
      <c r="T9" s="24">
        <v>80.620579258079403</v>
      </c>
      <c r="U9" s="24">
        <v>80.2274529482454</v>
      </c>
      <c r="V9" s="24">
        <v>80.373058939158511</v>
      </c>
      <c r="W9" s="25">
        <v>80.125187339451401</v>
      </c>
      <c r="X9" s="3"/>
      <c r="Y9" s="8">
        <f t="array" ref="Y9">AVERAGE(B9:K9/TotalWasteDisposed!B9:K9-TravelTime!N9:W9/TotalWasteDisposed!N9:W9)</f>
        <v>0.31762776545350402</v>
      </c>
      <c r="Z9" s="8">
        <f t="array" ref="Z9">_xlfn.STDEV.S(B9:K9/TotalWasteDisposed!B9:K9-TravelTime!N9:W9/TotalWasteDisposed!N9:W9)</f>
        <v>3.4271514921544832E-3</v>
      </c>
      <c r="AA9" s="8">
        <f t="shared" si="0"/>
        <v>2.4514661608938744E-3</v>
      </c>
      <c r="AB9" s="8">
        <f t="shared" si="1"/>
        <v>0.31517629929261015</v>
      </c>
      <c r="AC9" s="8">
        <f t="shared" si="2"/>
        <v>0.32007923161439789</v>
      </c>
    </row>
    <row r="10" spans="1:40" x14ac:dyDescent="0.3">
      <c r="A10" s="23">
        <v>7</v>
      </c>
      <c r="B10" s="34">
        <v>631.05731844737397</v>
      </c>
      <c r="C10" s="34">
        <v>630.44871881844495</v>
      </c>
      <c r="D10" s="34">
        <v>632.87557992888503</v>
      </c>
      <c r="E10" s="34">
        <v>630.48486011444902</v>
      </c>
      <c r="F10" s="34">
        <v>628.04652628337499</v>
      </c>
      <c r="G10" s="34">
        <v>630.87975609357306</v>
      </c>
      <c r="H10" s="34">
        <v>630.41263016169796</v>
      </c>
      <c r="I10" s="34">
        <v>629.93058993287195</v>
      </c>
      <c r="J10" s="34">
        <v>630.70310453423394</v>
      </c>
      <c r="K10" s="35">
        <v>626.64878135286006</v>
      </c>
      <c r="L10" s="2"/>
      <c r="M10" s="23">
        <v>7</v>
      </c>
      <c r="N10" s="24">
        <v>79.968761971434802</v>
      </c>
      <c r="O10" s="24">
        <v>80.962155937350104</v>
      </c>
      <c r="P10" s="24">
        <v>79.951881374664794</v>
      </c>
      <c r="Q10" s="24">
        <v>80.224000996542898</v>
      </c>
      <c r="R10" s="24">
        <v>77.053809671941195</v>
      </c>
      <c r="S10" s="24">
        <v>81.100503383716301</v>
      </c>
      <c r="T10" s="24">
        <v>79.965722778328185</v>
      </c>
      <c r="U10" s="24">
        <v>80.419087887113207</v>
      </c>
      <c r="V10" s="24">
        <v>80.531311348237011</v>
      </c>
      <c r="W10" s="25">
        <v>80.279854912516797</v>
      </c>
      <c r="X10" s="3"/>
      <c r="Y10" s="8">
        <f t="array" ref="Y10">AVERAGE(B10:K10/TotalWasteDisposed!B10:K10-TravelTime!N10:W10/TotalWasteDisposed!N10:W10)</f>
        <v>0.31648005032733711</v>
      </c>
      <c r="Z10" s="8">
        <f t="array" ref="Z10">_xlfn.STDEV.S(B10:K10/TotalWasteDisposed!B10:K10-TravelTime!N10:W10/TotalWasteDisposed!N10:W10)</f>
        <v>1.7467138591573945E-3</v>
      </c>
      <c r="AA10" s="8">
        <f t="shared" si="0"/>
        <v>1.249437011550607E-3</v>
      </c>
      <c r="AB10" s="8">
        <f t="shared" si="1"/>
        <v>0.3152306133157865</v>
      </c>
      <c r="AC10" s="8">
        <f t="shared" si="2"/>
        <v>0.31772948733888773</v>
      </c>
      <c r="AD10" s="3"/>
      <c r="AE10" s="3"/>
    </row>
    <row r="11" spans="1:40" x14ac:dyDescent="0.3">
      <c r="A11" s="23">
        <v>8</v>
      </c>
      <c r="B11" s="34">
        <v>631.72265015581002</v>
      </c>
      <c r="C11" s="34">
        <v>631.62773982734404</v>
      </c>
      <c r="D11" s="34">
        <v>632.58916759651004</v>
      </c>
      <c r="E11" s="34">
        <v>632.99832826935801</v>
      </c>
      <c r="F11" s="34">
        <v>630.51362425441994</v>
      </c>
      <c r="G11" s="34">
        <v>628.26633699053002</v>
      </c>
      <c r="H11" s="34">
        <v>632.90483514986897</v>
      </c>
      <c r="I11" s="34">
        <v>631.01427155432089</v>
      </c>
      <c r="J11" s="34">
        <v>631.38621009172698</v>
      </c>
      <c r="K11" s="35">
        <v>631.92699481323507</v>
      </c>
      <c r="L11" s="2"/>
      <c r="M11" s="23">
        <v>8</v>
      </c>
      <c r="N11" s="24">
        <v>79.990013061136494</v>
      </c>
      <c r="O11" s="24">
        <v>79.905425327057699</v>
      </c>
      <c r="P11" s="24">
        <v>76.911536657335304</v>
      </c>
      <c r="Q11" s="24">
        <v>81.035000724684792</v>
      </c>
      <c r="R11" s="24">
        <v>80.364433161925007</v>
      </c>
      <c r="S11" s="24">
        <v>76.607635439230705</v>
      </c>
      <c r="T11" s="24">
        <v>80.7734754646672</v>
      </c>
      <c r="U11" s="24">
        <v>80.258171603230096</v>
      </c>
      <c r="V11" s="24">
        <v>80.193787313232505</v>
      </c>
      <c r="W11" s="25">
        <v>80.032038064623592</v>
      </c>
      <c r="Y11" s="8">
        <f t="array" ref="Y11">AVERAGE(B11:K11/TotalWasteDisposed!B11:K11-TravelTime!N11:W11/TotalWasteDisposed!N11:W11)</f>
        <v>0.31862943501198637</v>
      </c>
      <c r="Z11" s="8">
        <f t="array" ref="Z11">_xlfn.STDEV.S(B11:K11/TotalWasteDisposed!B11:K11-TravelTime!N11:W11/TotalWasteDisposed!N11:W11)</f>
        <v>1.1371389027774186E-3</v>
      </c>
      <c r="AA11" s="8">
        <f t="shared" si="0"/>
        <v>8.1340365220983169E-4</v>
      </c>
      <c r="AB11" s="8">
        <f t="shared" si="1"/>
        <v>0.31781603135977654</v>
      </c>
      <c r="AC11" s="8">
        <f t="shared" si="2"/>
        <v>0.3194428386641962</v>
      </c>
    </row>
    <row r="12" spans="1:40" x14ac:dyDescent="0.3">
      <c r="A12" s="23">
        <v>9</v>
      </c>
      <c r="B12" s="34">
        <v>630.48246003180509</v>
      </c>
      <c r="C12" s="34">
        <v>635.22379678543803</v>
      </c>
      <c r="D12" s="34">
        <v>628.16824207281297</v>
      </c>
      <c r="E12" s="34">
        <v>631.43425461064703</v>
      </c>
      <c r="F12" s="34">
        <v>629.81591200928995</v>
      </c>
      <c r="G12" s="34">
        <v>632.43185743225899</v>
      </c>
      <c r="H12" s="34">
        <v>635.18732785915699</v>
      </c>
      <c r="I12" s="34">
        <v>632.53814128715896</v>
      </c>
      <c r="J12" s="34">
        <v>628.24428879384004</v>
      </c>
      <c r="K12" s="35">
        <v>628.247997256095</v>
      </c>
      <c r="L12" s="2"/>
      <c r="M12" s="23">
        <v>9</v>
      </c>
      <c r="N12" s="24">
        <v>80.08303255217831</v>
      </c>
      <c r="O12" s="24">
        <v>80.087334333189901</v>
      </c>
      <c r="P12" s="24">
        <v>80.558907546012506</v>
      </c>
      <c r="Q12" s="24">
        <v>80.283189932029103</v>
      </c>
      <c r="R12" s="24">
        <v>80.438914390356004</v>
      </c>
      <c r="S12" s="24">
        <v>79.555701810736295</v>
      </c>
      <c r="T12" s="24">
        <v>80.250690227353601</v>
      </c>
      <c r="U12" s="24">
        <v>76.996303126024102</v>
      </c>
      <c r="V12" s="24">
        <v>80.310327658382192</v>
      </c>
      <c r="W12" s="25">
        <v>80.305580384984296</v>
      </c>
      <c r="Y12" s="8">
        <f t="array" ref="Y12">AVERAGE(B12:K12/TotalWasteDisposed!B12:K12-TravelTime!N12:W12/TotalWasteDisposed!N12:W12)</f>
        <v>0.31806465882094204</v>
      </c>
      <c r="Z12" s="8">
        <f t="array" ref="Z12">_xlfn.STDEV.S(B12:K12/TotalWasteDisposed!B12:K12-TravelTime!N12:W12/TotalWasteDisposed!N12:W12)</f>
        <v>3.1417872398841972E-3</v>
      </c>
      <c r="AA12" s="8">
        <f t="shared" si="0"/>
        <v>2.2473430547017962E-3</v>
      </c>
      <c r="AB12" s="8">
        <f t="shared" si="1"/>
        <v>0.31581731576624023</v>
      </c>
      <c r="AC12" s="8">
        <f t="shared" si="2"/>
        <v>0.32031200187564385</v>
      </c>
    </row>
    <row r="13" spans="1:40" x14ac:dyDescent="0.3">
      <c r="A13" s="23">
        <v>10</v>
      </c>
      <c r="B13" s="34">
        <v>479.5467205304156</v>
      </c>
      <c r="C13" s="34">
        <v>479.88213740651543</v>
      </c>
      <c r="D13" s="34">
        <v>477.8373235174729</v>
      </c>
      <c r="E13" s="34">
        <v>479.03048052898242</v>
      </c>
      <c r="F13" s="34">
        <v>479.89577445879797</v>
      </c>
      <c r="G13" s="34">
        <v>479.23929273897215</v>
      </c>
      <c r="H13" s="34">
        <v>480.04215598600445</v>
      </c>
      <c r="I13" s="34">
        <v>481.4524651649794</v>
      </c>
      <c r="J13" s="34">
        <v>479.13221827342727</v>
      </c>
      <c r="K13" s="35">
        <v>480.25904094452505</v>
      </c>
      <c r="L13" s="2"/>
      <c r="M13" s="23">
        <v>10</v>
      </c>
      <c r="N13" s="24">
        <v>156.18282124463411</v>
      </c>
      <c r="O13" s="24">
        <v>151.5487153113616</v>
      </c>
      <c r="P13" s="24">
        <v>156.22278547070766</v>
      </c>
      <c r="Q13" s="24">
        <v>156.0023744115625</v>
      </c>
      <c r="R13" s="24">
        <v>155.14695532678618</v>
      </c>
      <c r="S13" s="24">
        <v>155.54759551796201</v>
      </c>
      <c r="T13" s="24">
        <v>155.765864703267</v>
      </c>
      <c r="U13" s="24">
        <v>155.54874443852299</v>
      </c>
      <c r="V13" s="24">
        <v>155.21200584885301</v>
      </c>
      <c r="W13" s="25">
        <v>155.45102465661589</v>
      </c>
      <c r="Y13" s="8">
        <f t="array" ref="Y13">AVERAGE(B13:K13/TotalWasteDisposed!B13:K13-TravelTime!N13:W13/TotalWasteDisposed!N13:W13)</f>
        <v>0.18990719839381157</v>
      </c>
      <c r="Z13" s="8">
        <f t="array" ref="Z13">_xlfn.STDEV.S(B13:K13/TotalWasteDisposed!B13:K13-TravelTime!N13:W13/TotalWasteDisposed!N13:W13)</f>
        <v>1.8048919139422492E-3</v>
      </c>
      <c r="AA13" s="8">
        <f t="shared" si="0"/>
        <v>1.2910521934117515E-3</v>
      </c>
      <c r="AB13" s="8">
        <f t="shared" si="1"/>
        <v>0.18861614620039982</v>
      </c>
      <c r="AC13" s="8">
        <f t="shared" si="2"/>
        <v>0.19119825058722331</v>
      </c>
    </row>
    <row r="14" spans="1:40" x14ac:dyDescent="0.3">
      <c r="A14" s="23">
        <v>11</v>
      </c>
      <c r="B14" s="34">
        <v>481.89303464048254</v>
      </c>
      <c r="C14" s="34">
        <v>479.63164327650037</v>
      </c>
      <c r="D14" s="34">
        <v>478.78835256942881</v>
      </c>
      <c r="E14" s="34">
        <v>480.14826712941726</v>
      </c>
      <c r="F14" s="34">
        <v>477.910434529969</v>
      </c>
      <c r="G14" s="34">
        <v>479.27160291701023</v>
      </c>
      <c r="H14" s="34">
        <v>479.65925416488665</v>
      </c>
      <c r="I14" s="34">
        <v>479.58119111992806</v>
      </c>
      <c r="J14" s="34">
        <v>478.65318182820937</v>
      </c>
      <c r="K14" s="35">
        <v>479.01349661070992</v>
      </c>
      <c r="L14" s="2"/>
      <c r="M14" s="23">
        <v>11</v>
      </c>
      <c r="N14" s="24">
        <v>155.3143236958081</v>
      </c>
      <c r="O14" s="24">
        <v>155.22382916240059</v>
      </c>
      <c r="P14" s="24">
        <v>155.5079373330735</v>
      </c>
      <c r="Q14" s="24">
        <v>154.8374513154879</v>
      </c>
      <c r="R14" s="24">
        <v>155.09017650376171</v>
      </c>
      <c r="S14" s="24">
        <v>155.06789443441559</v>
      </c>
      <c r="T14" s="24">
        <v>156.25864312027642</v>
      </c>
      <c r="U14" s="24">
        <v>155.09215706624201</v>
      </c>
      <c r="V14" s="24">
        <v>153.50794382468271</v>
      </c>
      <c r="W14" s="25">
        <v>154.80809465818331</v>
      </c>
      <c r="Y14" s="8">
        <f t="array" ref="Y14">AVERAGE(B14:K14/TotalWasteDisposed!B14:K14-TravelTime!N14:W14/TotalWasteDisposed!N14:W14)</f>
        <v>0.19037667367194039</v>
      </c>
      <c r="Z14" s="8">
        <f t="array" ref="Z14">_xlfn.STDEV.S(B14:K14/TotalWasteDisposed!B14:K14-TravelTime!N14:W14/TotalWasteDisposed!N14:W14)</f>
        <v>1.5417808210863987E-3</v>
      </c>
      <c r="AA14" s="8">
        <f t="shared" si="0"/>
        <v>1.1028469325213325E-3</v>
      </c>
      <c r="AB14" s="8">
        <f t="shared" si="1"/>
        <v>0.18927382673941906</v>
      </c>
      <c r="AC14" s="8">
        <f t="shared" si="2"/>
        <v>0.19147952060446172</v>
      </c>
    </row>
    <row r="15" spans="1:40" x14ac:dyDescent="0.3">
      <c r="A15" s="23">
        <v>12</v>
      </c>
      <c r="B15" s="34">
        <v>478.81444013919497</v>
      </c>
      <c r="C15" s="34">
        <v>478.49182760924566</v>
      </c>
      <c r="D15" s="34">
        <v>478.84017551438745</v>
      </c>
      <c r="E15" s="34">
        <v>478.77718068132782</v>
      </c>
      <c r="F15" s="34">
        <v>478.31916999499208</v>
      </c>
      <c r="G15" s="34">
        <v>480.14639713740593</v>
      </c>
      <c r="H15" s="34">
        <v>478.95796867918926</v>
      </c>
      <c r="I15" s="34">
        <v>480.887674510549</v>
      </c>
      <c r="J15" s="34">
        <v>479.22363688421825</v>
      </c>
      <c r="K15" s="35">
        <v>479.67658985909668</v>
      </c>
      <c r="L15" s="2"/>
      <c r="M15" s="23">
        <v>12</v>
      </c>
      <c r="N15" s="24">
        <v>154.51330752436186</v>
      </c>
      <c r="O15" s="24">
        <v>155.86571614282849</v>
      </c>
      <c r="P15" s="24">
        <v>155.09870523356659</v>
      </c>
      <c r="Q15" s="24">
        <v>154.9199872963722</v>
      </c>
      <c r="R15" s="24">
        <v>151.9287574783632</v>
      </c>
      <c r="S15" s="24">
        <v>154.59463937266412</v>
      </c>
      <c r="T15" s="24">
        <v>156.33332368117831</v>
      </c>
      <c r="U15" s="24">
        <v>155.1536157716946</v>
      </c>
      <c r="V15" s="24">
        <v>154.92504297774633</v>
      </c>
      <c r="W15" s="25">
        <v>154.87343234406109</v>
      </c>
      <c r="Y15" s="8">
        <f t="array" ref="Y15">AVERAGE(B15:K15/TotalWasteDisposed!B15:K15-TravelTime!N15:W15/TotalWasteDisposed!N15:W15)</f>
        <v>0.18969508267523388</v>
      </c>
      <c r="Z15" s="8">
        <f t="array" ref="Z15">_xlfn.STDEV.S(B15:K15/TotalWasteDisposed!B15:K15-TravelTime!N15:W15/TotalWasteDisposed!N15:W15)</f>
        <v>2.7052450169867482E-3</v>
      </c>
      <c r="AA15" s="8">
        <f t="shared" si="0"/>
        <v>1.9350812566212787E-3</v>
      </c>
      <c r="AB15" s="8">
        <f t="shared" si="1"/>
        <v>0.1877600014186126</v>
      </c>
      <c r="AC15" s="8">
        <f t="shared" si="2"/>
        <v>0.19163016393185517</v>
      </c>
    </row>
    <row r="16" spans="1:40" x14ac:dyDescent="0.3">
      <c r="A16" s="23">
        <v>13</v>
      </c>
      <c r="B16" s="34">
        <v>478.51133256386129</v>
      </c>
      <c r="C16" s="34">
        <v>478.89347286106727</v>
      </c>
      <c r="D16" s="34">
        <v>480.6301482199907</v>
      </c>
      <c r="E16" s="34">
        <v>479.65038839941576</v>
      </c>
      <c r="F16" s="34">
        <v>480.90379512845385</v>
      </c>
      <c r="G16" s="34">
        <v>479.14755014228189</v>
      </c>
      <c r="H16" s="34">
        <v>480.50115148539572</v>
      </c>
      <c r="I16" s="34">
        <v>478.38463597909737</v>
      </c>
      <c r="J16" s="34">
        <v>481.71400339814397</v>
      </c>
      <c r="K16" s="35">
        <v>479.06496346647191</v>
      </c>
      <c r="L16" s="2"/>
      <c r="M16" s="23">
        <v>13</v>
      </c>
      <c r="N16" s="24">
        <v>153.7414658411779</v>
      </c>
      <c r="O16" s="24">
        <v>155.72410131654118</v>
      </c>
      <c r="P16" s="24">
        <v>155.7839389529812</v>
      </c>
      <c r="Q16" s="24">
        <v>155.48712188852579</v>
      </c>
      <c r="R16" s="24">
        <v>155.8021092903065</v>
      </c>
      <c r="S16" s="24">
        <v>155.01645413573692</v>
      </c>
      <c r="T16" s="24">
        <v>156.32791340355308</v>
      </c>
      <c r="U16" s="24">
        <v>155.42721381653291</v>
      </c>
      <c r="V16" s="24">
        <v>152.62197449704169</v>
      </c>
      <c r="W16" s="25">
        <v>155.0611856991421</v>
      </c>
      <c r="Y16" s="8">
        <f t="array" ref="Y16">AVERAGE(B16:K16/TotalWasteDisposed!B16:K16-TravelTime!N16:W16/TotalWasteDisposed!N16:W16)</f>
        <v>0.19065477350693527</v>
      </c>
      <c r="Z16" s="8">
        <f t="array" ref="Z16">_xlfn.STDEV.S(B16:K16/TotalWasteDisposed!B16:K16-TravelTime!N16:W16/TotalWasteDisposed!N16:W16)</f>
        <v>6.3691085909633972E-4</v>
      </c>
      <c r="AA16" s="8">
        <f t="shared" si="0"/>
        <v>4.5558692755626304E-4</v>
      </c>
      <c r="AB16" s="8">
        <f t="shared" si="1"/>
        <v>0.19019918657937901</v>
      </c>
      <c r="AC16" s="8">
        <f t="shared" si="2"/>
        <v>0.19111036043449153</v>
      </c>
    </row>
    <row r="17" spans="1:29" x14ac:dyDescent="0.3">
      <c r="A17" s="23">
        <v>14</v>
      </c>
      <c r="B17" s="34">
        <v>478.73723212184382</v>
      </c>
      <c r="C17" s="34">
        <v>480.62557367491638</v>
      </c>
      <c r="D17" s="34">
        <v>481.02103113541091</v>
      </c>
      <c r="E17" s="34">
        <v>477.89004472012994</v>
      </c>
      <c r="F17" s="34">
        <v>478.92869573722561</v>
      </c>
      <c r="G17" s="34">
        <v>481.19736560496261</v>
      </c>
      <c r="H17" s="34">
        <v>479.29663476224516</v>
      </c>
      <c r="I17" s="34">
        <v>481.45315877514679</v>
      </c>
      <c r="J17" s="34">
        <v>479.4632349689922</v>
      </c>
      <c r="K17" s="35">
        <v>479.41212888538149</v>
      </c>
      <c r="L17" s="2"/>
      <c r="M17" s="23">
        <v>14</v>
      </c>
      <c r="N17" s="24">
        <v>155.98605770941151</v>
      </c>
      <c r="O17" s="24">
        <v>154.77447677985842</v>
      </c>
      <c r="P17" s="24">
        <v>153.3709695905834</v>
      </c>
      <c r="Q17" s="24">
        <v>154.56498404519519</v>
      </c>
      <c r="R17" s="24">
        <v>154.69739840800111</v>
      </c>
      <c r="S17" s="24">
        <v>151.8825158894158</v>
      </c>
      <c r="T17" s="24">
        <v>154.25591005415799</v>
      </c>
      <c r="U17" s="24">
        <v>155.8166205256851</v>
      </c>
      <c r="V17" s="24">
        <v>154.07540198451997</v>
      </c>
      <c r="W17" s="25">
        <v>156.24862446585371</v>
      </c>
      <c r="Y17" s="8">
        <f t="array" ref="Y17">AVERAGE(B17:K17/TotalWasteDisposed!B17:K17-TravelTime!N17:W17/TotalWasteDisposed!N17:W17)</f>
        <v>0.19028599077407818</v>
      </c>
      <c r="Z17" s="8">
        <f t="array" ref="Z17">_xlfn.STDEV.S(B17:K17/TotalWasteDisposed!B17:K17-TravelTime!N17:W17/TotalWasteDisposed!N17:W17)</f>
        <v>2.0793057572587544E-3</v>
      </c>
      <c r="AA17" s="8">
        <f t="shared" si="0"/>
        <v>1.4873423931625487E-3</v>
      </c>
      <c r="AB17" s="8">
        <f t="shared" si="1"/>
        <v>0.18879864838091562</v>
      </c>
      <c r="AC17" s="8">
        <f t="shared" si="2"/>
        <v>0.19177333316724074</v>
      </c>
    </row>
    <row r="18" spans="1:29" x14ac:dyDescent="0.3">
      <c r="A18" s="23">
        <v>15</v>
      </c>
      <c r="B18" s="34">
        <v>480.98098135929877</v>
      </c>
      <c r="C18" s="34">
        <v>478.57288332992403</v>
      </c>
      <c r="D18" s="34">
        <v>479.65170958226525</v>
      </c>
      <c r="E18" s="34">
        <v>481.09833838361629</v>
      </c>
      <c r="F18" s="34">
        <v>481.87841138171814</v>
      </c>
      <c r="G18" s="34">
        <v>479.46607063854742</v>
      </c>
      <c r="H18" s="34">
        <v>479.07747964055545</v>
      </c>
      <c r="I18" s="34">
        <v>479.37468898497991</v>
      </c>
      <c r="J18" s="34">
        <v>479.4809716244547</v>
      </c>
      <c r="K18" s="35">
        <v>480.21526112370981</v>
      </c>
      <c r="L18" s="2"/>
      <c r="M18" s="23">
        <v>15</v>
      </c>
      <c r="N18" s="24">
        <v>154.56276501620817</v>
      </c>
      <c r="O18" s="24">
        <v>155.14708927023392</v>
      </c>
      <c r="P18" s="24">
        <v>155.9691637219164</v>
      </c>
      <c r="Q18" s="24">
        <v>154.4643047931217</v>
      </c>
      <c r="R18" s="24">
        <v>154.1378272423722</v>
      </c>
      <c r="S18" s="24">
        <v>154.86566926082511</v>
      </c>
      <c r="T18" s="24">
        <v>154.429193754914</v>
      </c>
      <c r="U18" s="24">
        <v>155.75270503078741</v>
      </c>
      <c r="V18" s="24">
        <v>154.7506227213249</v>
      </c>
      <c r="W18" s="25">
        <v>154.02427246989498</v>
      </c>
      <c r="Y18" s="8">
        <f t="array" ref="Y18">AVERAGE(B18:K18/TotalWasteDisposed!B18:K18-TravelTime!N18:W18/TotalWasteDisposed!N18:W18)</f>
        <v>0.1895688344499466</v>
      </c>
      <c r="Z18" s="8">
        <f t="array" ref="Z18">_xlfn.STDEV.S(B18:K18/TotalWasteDisposed!B18:K18-TravelTime!N18:W18/TotalWasteDisposed!N18:W18)</f>
        <v>1.41270100278075E-3</v>
      </c>
      <c r="AA18" s="8">
        <f t="shared" si="0"/>
        <v>1.0105152082438916E-3</v>
      </c>
      <c r="AB18" s="8">
        <f t="shared" si="1"/>
        <v>0.18855831924170272</v>
      </c>
      <c r="AC18" s="8">
        <f t="shared" si="2"/>
        <v>0.19057934965819048</v>
      </c>
    </row>
    <row r="19" spans="1:29" x14ac:dyDescent="0.3">
      <c r="A19" s="23">
        <v>16</v>
      </c>
      <c r="B19" s="34">
        <v>480.51945632599944</v>
      </c>
      <c r="C19" s="34">
        <v>479.01962225223207</v>
      </c>
      <c r="D19" s="34">
        <v>479.11091100375313</v>
      </c>
      <c r="E19" s="34">
        <v>481.77881415839011</v>
      </c>
      <c r="F19" s="34">
        <v>478.74729879821291</v>
      </c>
      <c r="G19" s="34">
        <v>479.101144579113</v>
      </c>
      <c r="H19" s="34">
        <v>482.5128441129421</v>
      </c>
      <c r="I19" s="34">
        <v>479.7211862176618</v>
      </c>
      <c r="J19" s="34">
        <v>480.47957519328497</v>
      </c>
      <c r="K19" s="35">
        <v>478.25199652651668</v>
      </c>
      <c r="L19" s="2"/>
      <c r="M19" s="23">
        <v>16</v>
      </c>
      <c r="N19" s="24">
        <v>153.69688086675151</v>
      </c>
      <c r="O19" s="24">
        <v>153.5588543129663</v>
      </c>
      <c r="P19" s="24">
        <v>155.95510335047493</v>
      </c>
      <c r="Q19" s="24">
        <v>155.31797150275679</v>
      </c>
      <c r="R19" s="24">
        <v>155.33782783288319</v>
      </c>
      <c r="S19" s="24">
        <v>153.9148266130353</v>
      </c>
      <c r="T19" s="24">
        <v>153.65588422459751</v>
      </c>
      <c r="U19" s="24">
        <v>155.93002503138038</v>
      </c>
      <c r="V19" s="24">
        <v>155.2256293026397</v>
      </c>
      <c r="W19" s="25">
        <v>154.93334945926151</v>
      </c>
      <c r="Y19" s="8">
        <f t="array" ref="Y19">AVERAGE(B19:K19/TotalWasteDisposed!B19:K19-TravelTime!N19:W19/TotalWasteDisposed!N19:W19)</f>
        <v>0.19085744930412668</v>
      </c>
      <c r="Z19" s="8">
        <f t="array" ref="Z19">_xlfn.STDEV.S(B19:K19/TotalWasteDisposed!B19:K19-TravelTime!N19:W19/TotalWasteDisposed!N19:W19)</f>
        <v>2.1957778594451625E-3</v>
      </c>
      <c r="AA19" s="8">
        <f t="shared" si="0"/>
        <v>1.5706557272394896E-3</v>
      </c>
      <c r="AB19" s="8">
        <f t="shared" si="1"/>
        <v>0.18928679357688719</v>
      </c>
      <c r="AC19" s="8">
        <f t="shared" si="2"/>
        <v>0.19242810503136618</v>
      </c>
    </row>
    <row r="20" spans="1:29" x14ac:dyDescent="0.3">
      <c r="A20" s="23">
        <v>17</v>
      </c>
      <c r="B20" s="34">
        <v>481.25583054565209</v>
      </c>
      <c r="C20" s="34">
        <v>480.34338645037724</v>
      </c>
      <c r="D20" s="34">
        <v>479.88664354951555</v>
      </c>
      <c r="E20" s="34">
        <v>478.23801678831518</v>
      </c>
      <c r="F20" s="34">
        <v>478.8933188374848</v>
      </c>
      <c r="G20" s="34">
        <v>478.99891790110422</v>
      </c>
      <c r="H20" s="34">
        <v>479.35251359872109</v>
      </c>
      <c r="I20" s="34">
        <v>481.32985965399513</v>
      </c>
      <c r="J20" s="34">
        <v>479.35648853443013</v>
      </c>
      <c r="K20" s="35">
        <v>484.566935896259</v>
      </c>
      <c r="L20" s="2"/>
      <c r="M20" s="23">
        <v>17</v>
      </c>
      <c r="N20" s="24">
        <v>153.92734044483009</v>
      </c>
      <c r="O20" s="24">
        <v>154.29761634048131</v>
      </c>
      <c r="P20" s="24">
        <v>155.51834548340148</v>
      </c>
      <c r="Q20" s="24">
        <v>154.79073213928791</v>
      </c>
      <c r="R20" s="24">
        <v>154.80596816208489</v>
      </c>
      <c r="S20" s="24">
        <v>153.61425524173552</v>
      </c>
      <c r="T20" s="24">
        <v>155.18835315326041</v>
      </c>
      <c r="U20" s="24">
        <v>155.51394942461042</v>
      </c>
      <c r="V20" s="24">
        <v>156.00737300986512</v>
      </c>
      <c r="W20" s="25">
        <v>156.42873005703291</v>
      </c>
      <c r="Y20" s="8">
        <f t="array" ref="Y20">AVERAGE(B20:K20/TotalWasteDisposed!B20:K20-TravelTime!N20:W20/TotalWasteDisposed!N20:W20)</f>
        <v>0.19111897067218808</v>
      </c>
      <c r="Z20" s="8">
        <f t="array" ref="Z20">_xlfn.STDEV.S(B20:K20/TotalWasteDisposed!B20:K20-TravelTime!N20:W20/TotalWasteDisposed!N20:W20)</f>
        <v>2.0317462682743893E-3</v>
      </c>
      <c r="AA20" s="8">
        <f t="shared" si="0"/>
        <v>1.4533227479436321E-3</v>
      </c>
      <c r="AB20" s="8">
        <f t="shared" si="1"/>
        <v>0.18966564792424445</v>
      </c>
      <c r="AC20" s="8">
        <f t="shared" si="2"/>
        <v>0.19257229342013171</v>
      </c>
    </row>
    <row r="21" spans="1:29" x14ac:dyDescent="0.3">
      <c r="A21" s="23">
        <v>18</v>
      </c>
      <c r="B21" s="34">
        <v>480.52790302965661</v>
      </c>
      <c r="C21" s="34">
        <v>481.61037678145249</v>
      </c>
      <c r="D21" s="34">
        <v>481.78324278635876</v>
      </c>
      <c r="E21" s="34">
        <v>479.68420218394226</v>
      </c>
      <c r="F21" s="34">
        <v>480.94668602982699</v>
      </c>
      <c r="G21" s="34">
        <v>480.70699932662495</v>
      </c>
      <c r="H21" s="34">
        <v>479.01485789549866</v>
      </c>
      <c r="I21" s="34">
        <v>480.60328305772362</v>
      </c>
      <c r="J21" s="34">
        <v>480.32410530769397</v>
      </c>
      <c r="K21" s="35">
        <v>478.45947867936798</v>
      </c>
      <c r="L21" s="2"/>
      <c r="M21" s="23">
        <v>18</v>
      </c>
      <c r="N21" s="24">
        <v>152.32298306962522</v>
      </c>
      <c r="O21" s="24">
        <v>154.568920117061</v>
      </c>
      <c r="P21" s="24">
        <v>154.97601299406199</v>
      </c>
      <c r="Q21" s="24">
        <v>156.34917864354949</v>
      </c>
      <c r="R21" s="24">
        <v>154.09058844330772</v>
      </c>
      <c r="S21" s="24">
        <v>155.20208633154058</v>
      </c>
      <c r="T21" s="24">
        <v>156.0153675443122</v>
      </c>
      <c r="U21" s="24">
        <v>154.26454741205129</v>
      </c>
      <c r="V21" s="24">
        <v>155.08482462628319</v>
      </c>
      <c r="W21" s="25">
        <v>154.62004627885179</v>
      </c>
      <c r="Y21" s="8">
        <f t="array" ref="Y21">AVERAGE(B21:K21/TotalWasteDisposed!B21:K21-TravelTime!N21:W21/TotalWasteDisposed!N21:W21)</f>
        <v>0.1898581147422064</v>
      </c>
      <c r="Z21" s="8">
        <f t="array" ref="Z21">_xlfn.STDEV.S(B21:K21/TotalWasteDisposed!B21:K21-TravelTime!N21:W21/TotalWasteDisposed!N21:W21)</f>
        <v>1.2777198066802917E-3</v>
      </c>
      <c r="AA21" s="8">
        <f t="shared" si="0"/>
        <v>9.1396218590018656E-4</v>
      </c>
      <c r="AB21" s="8">
        <f t="shared" si="1"/>
        <v>0.18894415255630623</v>
      </c>
      <c r="AC21" s="8">
        <f t="shared" si="2"/>
        <v>0.19077207692810658</v>
      </c>
    </row>
    <row r="22" spans="1:29" x14ac:dyDescent="0.3">
      <c r="A22" s="23">
        <v>19</v>
      </c>
      <c r="B22" s="34">
        <v>514.88049827176314</v>
      </c>
      <c r="C22" s="34">
        <v>513.99484616110362</v>
      </c>
      <c r="D22" s="34">
        <v>513.19405785489846</v>
      </c>
      <c r="E22" s="34">
        <v>513.719008590361</v>
      </c>
      <c r="F22" s="34">
        <v>515.99193283473494</v>
      </c>
      <c r="G22" s="34">
        <v>514.0501592895381</v>
      </c>
      <c r="H22" s="34">
        <v>514.19798802596347</v>
      </c>
      <c r="I22" s="34">
        <v>513.19005680603163</v>
      </c>
      <c r="J22" s="34">
        <v>515.50904469869658</v>
      </c>
      <c r="K22" s="35">
        <v>514.84462154343794</v>
      </c>
      <c r="L22" s="2"/>
      <c r="M22" s="23">
        <v>19</v>
      </c>
      <c r="N22" s="24">
        <v>222.31978914627513</v>
      </c>
      <c r="O22" s="24">
        <v>225.03111735737053</v>
      </c>
      <c r="P22" s="24">
        <v>224.5240622156546</v>
      </c>
      <c r="Q22" s="24">
        <v>224.95390386872478</v>
      </c>
      <c r="R22" s="24">
        <v>224.802041703263</v>
      </c>
      <c r="S22" s="24">
        <v>225.28720667538445</v>
      </c>
      <c r="T22" s="24">
        <v>223.15279926300428</v>
      </c>
      <c r="U22" s="24">
        <v>225.9671201148893</v>
      </c>
      <c r="V22" s="24">
        <v>224.7592420708753</v>
      </c>
      <c r="W22" s="25">
        <v>224.93736187538474</v>
      </c>
      <c r="Y22" s="8">
        <f t="array" ref="Y22">AVERAGE(B22:K22/TotalWasteDisposed!B22:K22-TravelTime!N22:W22/TotalWasteDisposed!N22:W22)</f>
        <v>0.23079427639224295</v>
      </c>
      <c r="Z22" s="8">
        <f t="array" ref="Z22">_xlfn.STDEV.S(B22:K22/TotalWasteDisposed!B22:K22-TravelTime!N22:W22/TotalWasteDisposed!N22:W22)</f>
        <v>1.4981639898330676E-3</v>
      </c>
      <c r="AA22" s="8">
        <f t="shared" si="0"/>
        <v>1.0716474987910946E-3</v>
      </c>
      <c r="AB22" s="8">
        <f t="shared" si="1"/>
        <v>0.22972262889345185</v>
      </c>
      <c r="AC22" s="8">
        <f t="shared" si="2"/>
        <v>0.23186592389103405</v>
      </c>
    </row>
    <row r="23" spans="1:29" x14ac:dyDescent="0.3">
      <c r="A23" s="23">
        <v>20</v>
      </c>
      <c r="B23" s="34">
        <v>515.197274958653</v>
      </c>
      <c r="C23" s="34">
        <v>514.83460864547089</v>
      </c>
      <c r="D23" s="34">
        <v>513.94167498041986</v>
      </c>
      <c r="E23" s="34">
        <v>514.51311456864869</v>
      </c>
      <c r="F23" s="34">
        <v>514.77826623531473</v>
      </c>
      <c r="G23" s="34">
        <v>514.00628765011572</v>
      </c>
      <c r="H23" s="34">
        <v>515.72350487457777</v>
      </c>
      <c r="I23" s="34">
        <v>513.16965627084778</v>
      </c>
      <c r="J23" s="34">
        <v>514.62812979827027</v>
      </c>
      <c r="K23" s="35">
        <v>514.10974944433326</v>
      </c>
      <c r="L23" s="2"/>
      <c r="M23" s="23">
        <v>20</v>
      </c>
      <c r="N23" s="24">
        <v>224.67032730222601</v>
      </c>
      <c r="O23" s="24">
        <v>221.2754514510205</v>
      </c>
      <c r="P23" s="24">
        <v>222.5698430530156</v>
      </c>
      <c r="Q23" s="24">
        <v>222.08806685561501</v>
      </c>
      <c r="R23" s="24">
        <v>222.45628314040468</v>
      </c>
      <c r="S23" s="24">
        <v>222.89259368698623</v>
      </c>
      <c r="T23" s="24">
        <v>222.20556799134241</v>
      </c>
      <c r="U23" s="24">
        <v>223.99909884299186</v>
      </c>
      <c r="V23" s="24">
        <v>222.40775790468626</v>
      </c>
      <c r="W23" s="25">
        <v>222.42908579452711</v>
      </c>
      <c r="Y23" s="8">
        <f t="array" ref="Y23">AVERAGE(B23:K23/TotalWasteDisposed!B23:K23-TravelTime!N23:W23/TotalWasteDisposed!N23:W23)</f>
        <v>0.230433128949046</v>
      </c>
      <c r="Z23" s="8">
        <f t="array" ref="Z23">_xlfn.STDEV.S(B23:K23/TotalWasteDisposed!B23:K23-TravelTime!N23:W23/TotalWasteDisposed!N23:W23)</f>
        <v>1.1324694142064316E-3</v>
      </c>
      <c r="AA23" s="8">
        <f t="shared" si="0"/>
        <v>8.1006353338326093E-4</v>
      </c>
      <c r="AB23" s="8">
        <f t="shared" si="1"/>
        <v>0.22962306541566274</v>
      </c>
      <c r="AC23" s="8">
        <f t="shared" si="2"/>
        <v>0.23124319248242925</v>
      </c>
    </row>
    <row r="24" spans="1:29" x14ac:dyDescent="0.3">
      <c r="A24" s="23">
        <v>21</v>
      </c>
      <c r="B24" s="34">
        <v>515.34352640295492</v>
      </c>
      <c r="C24" s="34">
        <v>514.91510728017749</v>
      </c>
      <c r="D24" s="34">
        <v>514.24323488122923</v>
      </c>
      <c r="E24" s="34">
        <v>513.31093722373828</v>
      </c>
      <c r="F24" s="34">
        <v>514.88068587628584</v>
      </c>
      <c r="G24" s="34">
        <v>514.92218586980448</v>
      </c>
      <c r="H24" s="34">
        <v>514.11518618660352</v>
      </c>
      <c r="I24" s="34">
        <v>514.7513633122478</v>
      </c>
      <c r="J24" s="34">
        <v>515.13653617914201</v>
      </c>
      <c r="K24" s="35">
        <v>515.49778102870221</v>
      </c>
      <c r="L24" s="2"/>
      <c r="M24" s="23">
        <v>21</v>
      </c>
      <c r="N24" s="24">
        <v>223.30751155531678</v>
      </c>
      <c r="O24" s="24">
        <v>224.98392641164895</v>
      </c>
      <c r="P24" s="24">
        <v>222.06824273773077</v>
      </c>
      <c r="Q24" s="24">
        <v>223.71537804489029</v>
      </c>
      <c r="R24" s="24">
        <v>222.13478400967179</v>
      </c>
      <c r="S24" s="24">
        <v>222.42270313907548</v>
      </c>
      <c r="T24" s="24">
        <v>224.5668268669952</v>
      </c>
      <c r="U24" s="24">
        <v>223.31719933472118</v>
      </c>
      <c r="V24" s="24">
        <v>224.06469693384818</v>
      </c>
      <c r="W24" s="25">
        <v>222.82512497936969</v>
      </c>
      <c r="Y24" s="8">
        <f t="array" ref="Y24">AVERAGE(B24:K24/TotalWasteDisposed!B24:K24-TravelTime!N24:W24/TotalWasteDisposed!N24:W24)</f>
        <v>0.23106628611159441</v>
      </c>
      <c r="Z24" s="8">
        <f t="array" ref="Z24">_xlfn.STDEV.S(B24:K24/TotalWasteDisposed!B24:K24-TravelTime!N24:W24/TotalWasteDisposed!N24:W24)</f>
        <v>1.6593277841472523E-3</v>
      </c>
      <c r="AA24" s="8">
        <f t="shared" si="0"/>
        <v>1.1869291223279965E-3</v>
      </c>
      <c r="AB24" s="8">
        <f t="shared" si="1"/>
        <v>0.22987935698926643</v>
      </c>
      <c r="AC24" s="8">
        <f t="shared" si="2"/>
        <v>0.23225321523392239</v>
      </c>
    </row>
    <row r="25" spans="1:29" x14ac:dyDescent="0.3">
      <c r="A25" s="23">
        <v>22</v>
      </c>
      <c r="B25" s="34">
        <v>515.80215513315466</v>
      </c>
      <c r="C25" s="34">
        <v>515.13799875330801</v>
      </c>
      <c r="D25" s="34">
        <v>514.03050502620204</v>
      </c>
      <c r="E25" s="34">
        <v>513.91810960017995</v>
      </c>
      <c r="F25" s="34">
        <v>513.2806100825826</v>
      </c>
      <c r="G25" s="34">
        <v>513.52479739404203</v>
      </c>
      <c r="H25" s="34">
        <v>513.18650684939519</v>
      </c>
      <c r="I25" s="34">
        <v>514.27107103681783</v>
      </c>
      <c r="J25" s="34">
        <v>515.60819279644181</v>
      </c>
      <c r="K25" s="35">
        <v>514.55067124883976</v>
      </c>
      <c r="L25" s="2"/>
      <c r="M25" s="23">
        <v>22</v>
      </c>
      <c r="N25" s="24">
        <v>225.25820645613874</v>
      </c>
      <c r="O25" s="24">
        <v>225.13054164846923</v>
      </c>
      <c r="P25" s="24">
        <v>223.46150040838961</v>
      </c>
      <c r="Q25" s="24">
        <v>225.21383715313971</v>
      </c>
      <c r="R25" s="24">
        <v>221.69133464360436</v>
      </c>
      <c r="S25" s="24">
        <v>224.57936365143331</v>
      </c>
      <c r="T25" s="24">
        <v>222.15685525298528</v>
      </c>
      <c r="U25" s="24">
        <v>225.70068808635693</v>
      </c>
      <c r="V25" s="24">
        <v>224.15525112040561</v>
      </c>
      <c r="W25" s="25">
        <v>223.1151688577271</v>
      </c>
      <c r="Y25" s="8">
        <f t="array" ref="Y25">AVERAGE(B25:K25/TotalWasteDisposed!B25:K25-TravelTime!N25:W25/TotalWasteDisposed!N25:W25)</f>
        <v>0.23101520855934643</v>
      </c>
      <c r="Z25" s="8">
        <f t="array" ref="Z25">_xlfn.STDEV.S(B25:K25/TotalWasteDisposed!B25:K25-TravelTime!N25:W25/TotalWasteDisposed!N25:W25)</f>
        <v>1.3802276424336338E-3</v>
      </c>
      <c r="AA25" s="8">
        <f t="shared" si="0"/>
        <v>9.8728677956085639E-4</v>
      </c>
      <c r="AB25" s="8">
        <f t="shared" si="1"/>
        <v>0.23002792177978557</v>
      </c>
      <c r="AC25" s="8">
        <f t="shared" si="2"/>
        <v>0.23200249533890729</v>
      </c>
    </row>
    <row r="26" spans="1:29" x14ac:dyDescent="0.3">
      <c r="A26" s="23">
        <v>23</v>
      </c>
      <c r="B26" s="34">
        <v>515.75123051160881</v>
      </c>
      <c r="C26" s="34">
        <v>514.28925590838082</v>
      </c>
      <c r="D26" s="34">
        <v>513.72597088278235</v>
      </c>
      <c r="E26" s="34">
        <v>513.27405534275761</v>
      </c>
      <c r="F26" s="34">
        <v>515.55311306250951</v>
      </c>
      <c r="G26" s="34">
        <v>514.40939233277368</v>
      </c>
      <c r="H26" s="34">
        <v>514.00467631609956</v>
      </c>
      <c r="I26" s="34">
        <v>517.04266354698461</v>
      </c>
      <c r="J26" s="34">
        <v>515.86590379385484</v>
      </c>
      <c r="K26" s="35">
        <v>514.38799151080025</v>
      </c>
      <c r="L26" s="2"/>
      <c r="M26" s="23">
        <v>23</v>
      </c>
      <c r="N26" s="24">
        <v>221.82116133954531</v>
      </c>
      <c r="O26" s="24">
        <v>225.2725518944315</v>
      </c>
      <c r="P26" s="24">
        <v>223.09648386844319</v>
      </c>
      <c r="Q26" s="24">
        <v>222.57377353785557</v>
      </c>
      <c r="R26" s="24">
        <v>224.87081978046211</v>
      </c>
      <c r="S26" s="24">
        <v>225.22195510305761</v>
      </c>
      <c r="T26" s="24">
        <v>225.2184138988099</v>
      </c>
      <c r="U26" s="24">
        <v>223.2188266551637</v>
      </c>
      <c r="V26" s="24">
        <v>226.82727456272238</v>
      </c>
      <c r="W26" s="25">
        <v>222.3175190974448</v>
      </c>
      <c r="Y26" s="8">
        <f t="array" ref="Y26">AVERAGE(B26:K26/TotalWasteDisposed!B26:K26-TravelTime!N26:W26/TotalWasteDisposed!N26:W26)</f>
        <v>0.23129560936066257</v>
      </c>
      <c r="Z26" s="8">
        <f t="array" ref="Z26">_xlfn.STDEV.S(B26:K26/TotalWasteDisposed!B26:K26-TravelTime!N26:W26/TotalWasteDisposed!N26:W26)</f>
        <v>1.7166317483988164E-3</v>
      </c>
      <c r="AA26" s="8">
        <f t="shared" si="0"/>
        <v>1.2279190609313434E-3</v>
      </c>
      <c r="AB26" s="8">
        <f t="shared" si="1"/>
        <v>0.23006769029973123</v>
      </c>
      <c r="AC26" s="8">
        <f t="shared" si="2"/>
        <v>0.23252352842159391</v>
      </c>
    </row>
    <row r="27" spans="1:29" x14ac:dyDescent="0.3">
      <c r="A27" s="23">
        <v>24</v>
      </c>
      <c r="B27" s="34">
        <v>514.27621038701398</v>
      </c>
      <c r="C27" s="34">
        <v>513.12695496904473</v>
      </c>
      <c r="D27" s="34">
        <v>515.71624027516339</v>
      </c>
      <c r="E27" s="34">
        <v>513.67711155665359</v>
      </c>
      <c r="F27" s="34">
        <v>514.67048581031713</v>
      </c>
      <c r="G27" s="34">
        <v>514.65151995632698</v>
      </c>
      <c r="H27" s="34">
        <v>514.06536649279542</v>
      </c>
      <c r="I27" s="34">
        <v>513.58653315509378</v>
      </c>
      <c r="J27" s="34">
        <v>515.50399307783096</v>
      </c>
      <c r="K27" s="35">
        <v>514.70966679974845</v>
      </c>
      <c r="L27" s="2"/>
      <c r="M27" s="23">
        <v>24</v>
      </c>
      <c r="N27" s="24">
        <v>220.79788607967072</v>
      </c>
      <c r="O27" s="24">
        <v>225.19092925580412</v>
      </c>
      <c r="P27" s="24">
        <v>225.26536304673252</v>
      </c>
      <c r="Q27" s="24">
        <v>224.47679597528057</v>
      </c>
      <c r="R27" s="24">
        <v>225.10891668938123</v>
      </c>
      <c r="S27" s="24">
        <v>222.25340553692871</v>
      </c>
      <c r="T27" s="24">
        <v>225.37820685571089</v>
      </c>
      <c r="U27" s="24">
        <v>226.38155973155148</v>
      </c>
      <c r="V27" s="24">
        <v>222.74224606335099</v>
      </c>
      <c r="W27" s="25">
        <v>224.25965793408599</v>
      </c>
      <c r="Y27" s="8">
        <f t="array" ref="Y27">AVERAGE(B27:K27/TotalWasteDisposed!B27:K27-TravelTime!N27:W27/TotalWasteDisposed!N27:W27)</f>
        <v>0.23029069245028042</v>
      </c>
      <c r="Z27" s="8">
        <f t="array" ref="Z27">_xlfn.STDEV.S(B27:K27/TotalWasteDisposed!B27:K27-TravelTime!N27:W27/TotalWasteDisposed!N27:W27)</f>
        <v>7.5978972362794996E-4</v>
      </c>
      <c r="AA27" s="8">
        <f t="shared" si="0"/>
        <v>5.4348306491053397E-4</v>
      </c>
      <c r="AB27" s="8">
        <f t="shared" si="1"/>
        <v>0.22974720938536988</v>
      </c>
      <c r="AC27" s="8">
        <f t="shared" si="2"/>
        <v>0.23083417551519095</v>
      </c>
    </row>
    <row r="28" spans="1:29" x14ac:dyDescent="0.3">
      <c r="A28" s="23">
        <v>25</v>
      </c>
      <c r="B28" s="34">
        <v>513.14329587553129</v>
      </c>
      <c r="C28" s="34">
        <v>516.05237369860322</v>
      </c>
      <c r="D28" s="34">
        <v>515.06061033306389</v>
      </c>
      <c r="E28" s="34">
        <v>513.80082929455466</v>
      </c>
      <c r="F28" s="34">
        <v>515.25301116618812</v>
      </c>
      <c r="G28" s="34">
        <v>513.99587323124615</v>
      </c>
      <c r="H28" s="34">
        <v>514.44278040123254</v>
      </c>
      <c r="I28" s="34">
        <v>513.01583387725123</v>
      </c>
      <c r="J28" s="34">
        <v>512.96793810462395</v>
      </c>
      <c r="K28" s="35">
        <v>514.14040136736844</v>
      </c>
      <c r="L28" s="2"/>
      <c r="M28" s="23">
        <v>25</v>
      </c>
      <c r="N28" s="24">
        <v>223.0851265204146</v>
      </c>
      <c r="O28" s="24">
        <v>221.87126526050781</v>
      </c>
      <c r="P28" s="24">
        <v>222.60986493318603</v>
      </c>
      <c r="Q28" s="24">
        <v>225.02211301507791</v>
      </c>
      <c r="R28" s="24">
        <v>222.9446457641302</v>
      </c>
      <c r="S28" s="24">
        <v>223.32637223448648</v>
      </c>
      <c r="T28" s="24">
        <v>221.74186109940879</v>
      </c>
      <c r="U28" s="24">
        <v>221.5036329990125</v>
      </c>
      <c r="V28" s="24">
        <v>225.6645022493999</v>
      </c>
      <c r="W28" s="25">
        <v>222.59440996128248</v>
      </c>
      <c r="Y28" s="8">
        <f t="array" ref="Y28">AVERAGE(B28:K28/TotalWasteDisposed!B28:K28-TravelTime!N28:W28/TotalWasteDisposed!N28:W28)</f>
        <v>0.23023869878016984</v>
      </c>
      <c r="Z28" s="8">
        <f t="array" ref="Z28">_xlfn.STDEV.S(B28:K28/TotalWasteDisposed!B28:K28-TravelTime!N28:W28/TotalWasteDisposed!N28:W28)</f>
        <v>1.3633163206556147E-3</v>
      </c>
      <c r="AA28" s="8">
        <f t="shared" si="0"/>
        <v>9.7518998921770786E-4</v>
      </c>
      <c r="AB28" s="8">
        <f t="shared" si="1"/>
        <v>0.22926350879095214</v>
      </c>
      <c r="AC28" s="8">
        <f t="shared" si="2"/>
        <v>0.23121388876938753</v>
      </c>
    </row>
    <row r="29" spans="1:29" x14ac:dyDescent="0.3">
      <c r="A29" s="23">
        <v>26</v>
      </c>
      <c r="B29" s="34">
        <v>514.84835843604105</v>
      </c>
      <c r="C29" s="34">
        <v>514.43006557885474</v>
      </c>
      <c r="D29" s="34">
        <v>514.8283773031809</v>
      </c>
      <c r="E29" s="34">
        <v>514.89010932949145</v>
      </c>
      <c r="F29" s="34">
        <v>514.94906629121999</v>
      </c>
      <c r="G29" s="34">
        <v>514.54501907770759</v>
      </c>
      <c r="H29" s="34">
        <v>514.45668629438228</v>
      </c>
      <c r="I29" s="34">
        <v>514.29923094227979</v>
      </c>
      <c r="J29" s="34">
        <v>513.7298708798445</v>
      </c>
      <c r="K29" s="35">
        <v>514.56431894109517</v>
      </c>
      <c r="L29" s="2"/>
      <c r="M29" s="23">
        <v>26</v>
      </c>
      <c r="N29" s="24">
        <v>223.0951608154881</v>
      </c>
      <c r="O29" s="24">
        <v>224.89039423882639</v>
      </c>
      <c r="P29" s="24">
        <v>224.62096619911188</v>
      </c>
      <c r="Q29" s="24">
        <v>221.18702654454984</v>
      </c>
      <c r="R29" s="24">
        <v>223.55843897517198</v>
      </c>
      <c r="S29" s="24">
        <v>224.33198262648901</v>
      </c>
      <c r="T29" s="24">
        <v>221.35005080825772</v>
      </c>
      <c r="U29" s="24">
        <v>223.51513183390702</v>
      </c>
      <c r="V29" s="24">
        <v>225.0165679468501</v>
      </c>
      <c r="W29" s="25">
        <v>222.06215133850677</v>
      </c>
      <c r="Y29" s="8">
        <f t="array" ref="Y29">AVERAGE(B29:K29/TotalWasteDisposed!B29:K29-TravelTime!N29:W29/TotalWasteDisposed!N29:W29)</f>
        <v>0.23000103900449048</v>
      </c>
      <c r="Z29" s="8">
        <f t="array" ref="Z29">_xlfn.STDEV.S(B29:K29/TotalWasteDisposed!B29:K29-TravelTime!N29:W29/TotalWasteDisposed!N29:W29)</f>
        <v>1.5351251196225788E-3</v>
      </c>
      <c r="AA29" s="8">
        <f t="shared" si="0"/>
        <v>1.098086061298418E-3</v>
      </c>
      <c r="AB29" s="8">
        <f t="shared" si="1"/>
        <v>0.22890295294319207</v>
      </c>
      <c r="AC29" s="8">
        <f t="shared" si="2"/>
        <v>0.23109912506578889</v>
      </c>
    </row>
    <row r="30" spans="1:29" x14ac:dyDescent="0.3">
      <c r="A30" s="23">
        <v>27</v>
      </c>
      <c r="B30" s="34">
        <v>514.83494650945329</v>
      </c>
      <c r="C30" s="34">
        <v>514.84313487904853</v>
      </c>
      <c r="D30" s="34">
        <v>514.68282733943852</v>
      </c>
      <c r="E30" s="34">
        <v>514.378670727388</v>
      </c>
      <c r="F30" s="34">
        <v>513.60803696281016</v>
      </c>
      <c r="G30" s="34">
        <v>514.15575589935884</v>
      </c>
      <c r="H30" s="34">
        <v>514.77909839125698</v>
      </c>
      <c r="I30" s="34">
        <v>514.41200160088295</v>
      </c>
      <c r="J30" s="34">
        <v>514.82271359499373</v>
      </c>
      <c r="K30" s="35">
        <v>514.24616319481572</v>
      </c>
      <c r="L30" s="2"/>
      <c r="M30" s="23">
        <v>27</v>
      </c>
      <c r="N30" s="24">
        <v>225.0223341871887</v>
      </c>
      <c r="O30" s="24">
        <v>222.49695204488501</v>
      </c>
      <c r="P30" s="24">
        <v>223.09959726943038</v>
      </c>
      <c r="Q30" s="24">
        <v>225.14386608510182</v>
      </c>
      <c r="R30" s="24">
        <v>225.1339797605693</v>
      </c>
      <c r="S30" s="24">
        <v>222.21864664662542</v>
      </c>
      <c r="T30" s="24">
        <v>224.62789496369459</v>
      </c>
      <c r="U30" s="24">
        <v>222.34765495051028</v>
      </c>
      <c r="V30" s="24">
        <v>225.61878869411555</v>
      </c>
      <c r="W30" s="25">
        <v>222.76960935985952</v>
      </c>
      <c r="Y30" s="8">
        <f t="array" ref="Y30">AVERAGE(B30:K30/TotalWasteDisposed!B30:K30-TravelTime!N30:W30/TotalWasteDisposed!N30:W30)</f>
        <v>0.23030978113168049</v>
      </c>
      <c r="Z30" s="8">
        <f t="array" ref="Z30">_xlfn.STDEV.S(B30:K30/TotalWasteDisposed!B30:K30-TravelTime!N30:W30/TotalWasteDisposed!N30:W30)</f>
        <v>1.7399113199735728E-3</v>
      </c>
      <c r="AA30" s="8">
        <f t="shared" si="0"/>
        <v>1.2445711062483557E-3</v>
      </c>
      <c r="AB30" s="8">
        <f t="shared" si="1"/>
        <v>0.22906521002543215</v>
      </c>
      <c r="AC30" s="8">
        <f t="shared" si="2"/>
        <v>0.23155435223792883</v>
      </c>
    </row>
    <row r="31" spans="1:29" x14ac:dyDescent="0.3">
      <c r="A31" s="23">
        <v>28</v>
      </c>
      <c r="B31" s="34">
        <v>617.53829691278395</v>
      </c>
      <c r="C31" s="34">
        <v>617.55637894812003</v>
      </c>
      <c r="D31" s="34">
        <v>621.07511069049804</v>
      </c>
      <c r="E31" s="34">
        <v>622.48501443893394</v>
      </c>
      <c r="F31" s="34">
        <v>616.26088425579405</v>
      </c>
      <c r="G31" s="34">
        <v>619.15423115979604</v>
      </c>
      <c r="H31" s="34">
        <v>622.34046017406695</v>
      </c>
      <c r="I31" s="34">
        <v>621.71793120321502</v>
      </c>
      <c r="J31" s="34">
        <v>617.51668267635205</v>
      </c>
      <c r="K31" s="35">
        <v>621.68417780533696</v>
      </c>
      <c r="L31" s="2"/>
      <c r="M31" s="23">
        <v>28</v>
      </c>
      <c r="N31" s="24">
        <v>83.380582543481012</v>
      </c>
      <c r="O31" s="24">
        <v>82.477571470060695</v>
      </c>
      <c r="P31" s="24">
        <v>83.159016138332788</v>
      </c>
      <c r="Q31" s="24">
        <v>83.865351124819696</v>
      </c>
      <c r="R31" s="24">
        <v>83.2565018746145</v>
      </c>
      <c r="S31" s="24">
        <v>82.847568987479804</v>
      </c>
      <c r="T31" s="24">
        <v>82.999459666582496</v>
      </c>
      <c r="U31" s="24">
        <v>83.200773992420295</v>
      </c>
      <c r="V31" s="24">
        <v>83.182993273173594</v>
      </c>
      <c r="W31" s="25">
        <v>83.026668040756206</v>
      </c>
      <c r="Y31" s="8">
        <f t="array" ref="Y31">AVERAGE(B31:K31/TotalWasteDisposed!B31:K31-TravelTime!N31:W31/TotalWasteDisposed!N31:W31)</f>
        <v>0.33351762049615252</v>
      </c>
      <c r="Z31" s="8">
        <f t="array" ref="Z31">_xlfn.STDEV.S(B31:K31/TotalWasteDisposed!B31:K31-TravelTime!N31:W31/TotalWasteDisposed!N31:W31)</f>
        <v>2.2267486993754471E-3</v>
      </c>
      <c r="AA31" s="8">
        <f t="shared" si="0"/>
        <v>1.592809392240106E-3</v>
      </c>
      <c r="AB31" s="8">
        <f t="shared" si="1"/>
        <v>0.33192481110391242</v>
      </c>
      <c r="AC31" s="8">
        <f t="shared" si="2"/>
        <v>0.33511042988839262</v>
      </c>
    </row>
    <row r="32" spans="1:29" x14ac:dyDescent="0.3">
      <c r="A32" s="23">
        <v>29</v>
      </c>
      <c r="B32" s="34">
        <v>618.29348396626608</v>
      </c>
      <c r="C32" s="34">
        <v>620.45980621205899</v>
      </c>
      <c r="D32" s="34">
        <v>618.29462129915896</v>
      </c>
      <c r="E32" s="34">
        <v>622.25775780811102</v>
      </c>
      <c r="F32" s="34">
        <v>619.86097485882101</v>
      </c>
      <c r="G32" s="34">
        <v>621.30527836882595</v>
      </c>
      <c r="H32" s="34">
        <v>620.91145528049401</v>
      </c>
      <c r="I32" s="34">
        <v>619.54291368360998</v>
      </c>
      <c r="J32" s="34">
        <v>619.30051851395206</v>
      </c>
      <c r="K32" s="35">
        <v>618.50587974340601</v>
      </c>
      <c r="L32" s="2"/>
      <c r="M32" s="23">
        <v>29</v>
      </c>
      <c r="N32" s="24">
        <v>83.607515493121909</v>
      </c>
      <c r="O32" s="24">
        <v>83.165792062933804</v>
      </c>
      <c r="P32" s="24">
        <v>82.939393290579801</v>
      </c>
      <c r="Q32" s="24">
        <v>82.578268706012793</v>
      </c>
      <c r="R32" s="24">
        <v>83.425208617116311</v>
      </c>
      <c r="S32" s="24">
        <v>83.125246939632703</v>
      </c>
      <c r="T32" s="24">
        <v>82.892972869014699</v>
      </c>
      <c r="U32" s="24">
        <v>83.185406897083396</v>
      </c>
      <c r="V32" s="24">
        <v>83.644914227638793</v>
      </c>
      <c r="W32" s="25">
        <v>82.749810209787711</v>
      </c>
      <c r="Y32" s="8">
        <f t="array" ref="Y32">AVERAGE(B32:K32/TotalWasteDisposed!B32:K32-TravelTime!N32:W32/TotalWasteDisposed!N32:W32)</f>
        <v>0.3337673477185456</v>
      </c>
      <c r="Z32" s="8">
        <f t="array" ref="Z32">_xlfn.STDEV.S(B32:K32/TotalWasteDisposed!B32:K32-TravelTime!N32:W32/TotalWasteDisposed!N32:W32)</f>
        <v>2.0008308166531638E-3</v>
      </c>
      <c r="AA32" s="8">
        <f t="shared" si="0"/>
        <v>1.431208702599654E-3</v>
      </c>
      <c r="AB32" s="8">
        <f t="shared" si="1"/>
        <v>0.33233613901594594</v>
      </c>
      <c r="AC32" s="8">
        <f t="shared" si="2"/>
        <v>0.33519855642114527</v>
      </c>
    </row>
    <row r="33" spans="1:29" x14ac:dyDescent="0.3">
      <c r="A33" s="23">
        <v>30</v>
      </c>
      <c r="B33" s="34">
        <v>618.54600430034998</v>
      </c>
      <c r="C33" s="34">
        <v>627.18563134075305</v>
      </c>
      <c r="D33" s="34">
        <v>624.13580835151106</v>
      </c>
      <c r="E33" s="34">
        <v>622.00224774168794</v>
      </c>
      <c r="F33" s="34">
        <v>620.84473436801295</v>
      </c>
      <c r="G33" s="34">
        <v>620.55492521654901</v>
      </c>
      <c r="H33" s="34">
        <v>622.16770738201194</v>
      </c>
      <c r="I33" s="34">
        <v>618.63261587007901</v>
      </c>
      <c r="J33" s="34">
        <v>618.31455047333907</v>
      </c>
      <c r="K33" s="35">
        <v>621.73210838924899</v>
      </c>
      <c r="L33" s="2"/>
      <c r="M33" s="23">
        <v>30</v>
      </c>
      <c r="N33" s="24">
        <v>83.150600894768203</v>
      </c>
      <c r="O33" s="24">
        <v>83.056715873653999</v>
      </c>
      <c r="P33" s="24">
        <v>83.431201730273187</v>
      </c>
      <c r="Q33" s="24">
        <v>82.9303312914532</v>
      </c>
      <c r="R33" s="24">
        <v>83.451248114836105</v>
      </c>
      <c r="S33" s="24">
        <v>83.573858655151398</v>
      </c>
      <c r="T33" s="24">
        <v>83.316658783790899</v>
      </c>
      <c r="U33" s="24">
        <v>83.261969894994508</v>
      </c>
      <c r="V33" s="24">
        <v>83.191965787590902</v>
      </c>
      <c r="W33" s="25">
        <v>83.3466716752541</v>
      </c>
      <c r="Y33" s="8">
        <f t="array" ref="Y33">AVERAGE(B33:K33/TotalWasteDisposed!B33:K33-TravelTime!N33:W33/TotalWasteDisposed!N33:W33)</f>
        <v>0.33455353508315072</v>
      </c>
      <c r="Z33" s="8">
        <f t="array" ref="Z33">_xlfn.STDEV.S(B33:K33/TotalWasteDisposed!B33:K33-TravelTime!N33:W33/TotalWasteDisposed!N33:W33)</f>
        <v>2.1777071463734026E-3</v>
      </c>
      <c r="AA33" s="8">
        <f t="shared" si="0"/>
        <v>1.5577296159485082E-3</v>
      </c>
      <c r="AB33" s="8">
        <f t="shared" si="1"/>
        <v>0.3329958054672022</v>
      </c>
      <c r="AC33" s="8">
        <f t="shared" si="2"/>
        <v>0.33611126469909924</v>
      </c>
    </row>
    <row r="34" spans="1:29" x14ac:dyDescent="0.3">
      <c r="A34" s="23">
        <v>31</v>
      </c>
      <c r="B34" s="34">
        <v>623.79066102896695</v>
      </c>
      <c r="C34" s="34">
        <v>620.06143607812601</v>
      </c>
      <c r="D34" s="34">
        <v>624.48526406237795</v>
      </c>
      <c r="E34" s="34">
        <v>619.49664780932005</v>
      </c>
      <c r="F34" s="34">
        <v>619.06861237596706</v>
      </c>
      <c r="G34" s="34">
        <v>622.98131078974893</v>
      </c>
      <c r="H34" s="34">
        <v>617.77981656562099</v>
      </c>
      <c r="I34" s="34">
        <v>626.24208532905504</v>
      </c>
      <c r="J34" s="34">
        <v>619.12924454498295</v>
      </c>
      <c r="K34" s="35">
        <v>623.15134747185493</v>
      </c>
      <c r="L34" s="2"/>
      <c r="M34" s="23">
        <v>31</v>
      </c>
      <c r="N34" s="24">
        <v>82.885792455776311</v>
      </c>
      <c r="O34" s="24">
        <v>82.841440925525404</v>
      </c>
      <c r="P34" s="24">
        <v>83.793369273110002</v>
      </c>
      <c r="Q34" s="24">
        <v>82.758368167580599</v>
      </c>
      <c r="R34" s="24">
        <v>83.468245261358405</v>
      </c>
      <c r="S34" s="24">
        <v>83.770699907155702</v>
      </c>
      <c r="T34" s="24">
        <v>83.245504858467115</v>
      </c>
      <c r="U34" s="24">
        <v>83.007043516750713</v>
      </c>
      <c r="V34" s="24">
        <v>83.310960824786093</v>
      </c>
      <c r="W34" s="25">
        <v>84.058659872435797</v>
      </c>
      <c r="Y34" s="8">
        <f t="array" ref="Y34">AVERAGE(B34:K34/TotalWasteDisposed!B34:K34-TravelTime!N34:W34/TotalWasteDisposed!N34:W34)</f>
        <v>0.33434128120377637</v>
      </c>
      <c r="Z34" s="8">
        <f t="array" ref="Z34">_xlfn.STDEV.S(B34:K34/TotalWasteDisposed!B34:K34-TravelTime!N34:W34/TotalWasteDisposed!N34:W34)</f>
        <v>3.1134268272639642E-3</v>
      </c>
      <c r="AA34" s="8">
        <f t="shared" si="0"/>
        <v>2.2270566471687043E-3</v>
      </c>
      <c r="AB34" s="8">
        <f t="shared" si="1"/>
        <v>0.33211422455660766</v>
      </c>
      <c r="AC34" s="8">
        <f t="shared" si="2"/>
        <v>0.33656833785094509</v>
      </c>
    </row>
    <row r="35" spans="1:29" x14ac:dyDescent="0.3">
      <c r="A35" s="23">
        <v>32</v>
      </c>
      <c r="B35" s="34">
        <v>623.51838916232407</v>
      </c>
      <c r="C35" s="34">
        <v>622.22570727952893</v>
      </c>
      <c r="D35" s="34">
        <v>620.00399074631491</v>
      </c>
      <c r="E35" s="34">
        <v>620.28632290561097</v>
      </c>
      <c r="F35" s="34">
        <v>619.90469330506892</v>
      </c>
      <c r="G35" s="34">
        <v>617.95163572505396</v>
      </c>
      <c r="H35" s="34">
        <v>620.6413534107221</v>
      </c>
      <c r="I35" s="34">
        <v>618.34333232637402</v>
      </c>
      <c r="J35" s="34">
        <v>619.81686108842609</v>
      </c>
      <c r="K35" s="35">
        <v>622.50553402021001</v>
      </c>
      <c r="L35" s="2"/>
      <c r="M35" s="23">
        <v>32</v>
      </c>
      <c r="N35" s="24">
        <v>83.479069020758402</v>
      </c>
      <c r="O35" s="24">
        <v>82.859772310922295</v>
      </c>
      <c r="P35" s="24">
        <v>83.138300983723596</v>
      </c>
      <c r="Q35" s="24">
        <v>83.199571480754599</v>
      </c>
      <c r="R35" s="24">
        <v>83.050183159863408</v>
      </c>
      <c r="S35" s="24">
        <v>83.317944923376203</v>
      </c>
      <c r="T35" s="24">
        <v>82.5739878127862</v>
      </c>
      <c r="U35" s="24">
        <v>82.968965544727297</v>
      </c>
      <c r="V35" s="24">
        <v>83.150857334457896</v>
      </c>
      <c r="W35" s="25">
        <v>83.1713628315714</v>
      </c>
      <c r="Y35" s="8">
        <f t="array" ref="Y35">AVERAGE(B35:K35/TotalWasteDisposed!B35:K35-TravelTime!N35:W35/TotalWasteDisposed!N35:W35)</f>
        <v>0.33440789584531577</v>
      </c>
      <c r="Z35" s="8">
        <f t="array" ref="Z35">_xlfn.STDEV.S(B35:K35/TotalWasteDisposed!B35:K35-TravelTime!N35:W35/TotalWasteDisposed!N35:W35)</f>
        <v>1.7001623284999086E-3</v>
      </c>
      <c r="AA35" s="8">
        <f t="shared" si="0"/>
        <v>1.2161383661869907E-3</v>
      </c>
      <c r="AB35" s="8">
        <f t="shared" si="1"/>
        <v>0.33319175747912877</v>
      </c>
      <c r="AC35" s="8">
        <f t="shared" si="2"/>
        <v>0.33562403421150278</v>
      </c>
    </row>
    <row r="36" spans="1:29" x14ac:dyDescent="0.3">
      <c r="A36" s="23">
        <v>33</v>
      </c>
      <c r="B36" s="34">
        <v>619.31672062201903</v>
      </c>
      <c r="C36" s="34">
        <v>616.48531633214407</v>
      </c>
      <c r="D36" s="34">
        <v>617.37532106755202</v>
      </c>
      <c r="E36" s="34">
        <v>625.11633341128004</v>
      </c>
      <c r="F36" s="34">
        <v>619.68973319417898</v>
      </c>
      <c r="G36" s="34">
        <v>622.93590184882305</v>
      </c>
      <c r="H36" s="34">
        <v>625.65335877753103</v>
      </c>
      <c r="I36" s="34">
        <v>620.18618857633203</v>
      </c>
      <c r="J36" s="34">
        <v>622.658751806444</v>
      </c>
      <c r="K36" s="35">
        <v>621.930048658479</v>
      </c>
      <c r="L36" s="2"/>
      <c r="M36" s="23">
        <v>33</v>
      </c>
      <c r="N36" s="24">
        <v>83.260580336664106</v>
      </c>
      <c r="O36" s="24">
        <v>83.976530228507301</v>
      </c>
      <c r="P36" s="24">
        <v>83.100780694089508</v>
      </c>
      <c r="Q36" s="24">
        <v>82.7953322198357</v>
      </c>
      <c r="R36" s="24">
        <v>82.861960354381594</v>
      </c>
      <c r="S36" s="24">
        <v>83.366460809137195</v>
      </c>
      <c r="T36" s="24">
        <v>83.811281169468302</v>
      </c>
      <c r="U36" s="24">
        <v>83.521498439968894</v>
      </c>
      <c r="V36" s="24">
        <v>82.9688283128162</v>
      </c>
      <c r="W36" s="25">
        <v>83.3904165260589</v>
      </c>
      <c r="Y36" s="8">
        <f t="array" ref="Y36">AVERAGE(B36:K36/TotalWasteDisposed!B36:K36-TravelTime!N36:W36/TotalWasteDisposed!N36:W36)</f>
        <v>0.33398887434100039</v>
      </c>
      <c r="Z36" s="8">
        <f t="array" ref="Z36">_xlfn.STDEV.S(B36:K36/TotalWasteDisposed!B36:K36-TravelTime!N36:W36/TotalWasteDisposed!N36:W36)</f>
        <v>3.0526234941575248E-3</v>
      </c>
      <c r="AA36" s="8">
        <f t="shared" si="0"/>
        <v>2.1835635848044582E-3</v>
      </c>
      <c r="AB36" s="8">
        <f t="shared" si="1"/>
        <v>0.3318053107561959</v>
      </c>
      <c r="AC36" s="8">
        <f t="shared" si="2"/>
        <v>0.33617243792580487</v>
      </c>
    </row>
    <row r="37" spans="1:29" x14ac:dyDescent="0.3">
      <c r="A37" s="23">
        <v>34</v>
      </c>
      <c r="B37" s="34">
        <v>622.49635045054606</v>
      </c>
      <c r="C37" s="34">
        <v>620.285314561002</v>
      </c>
      <c r="D37" s="34">
        <v>621.32221206420104</v>
      </c>
      <c r="E37" s="34">
        <v>620.33741733141903</v>
      </c>
      <c r="F37" s="34">
        <v>622.33167247690108</v>
      </c>
      <c r="G37" s="34">
        <v>619.72532205873404</v>
      </c>
      <c r="H37" s="34">
        <v>621.00076575866103</v>
      </c>
      <c r="I37" s="34">
        <v>623.99476808054305</v>
      </c>
      <c r="J37" s="34">
        <v>617.82830713161195</v>
      </c>
      <c r="K37" s="35">
        <v>619.73722801799499</v>
      </c>
      <c r="L37" s="2"/>
      <c r="M37" s="23">
        <v>34</v>
      </c>
      <c r="N37" s="24">
        <v>83.114970521822599</v>
      </c>
      <c r="O37" s="24">
        <v>83.025758327073902</v>
      </c>
      <c r="P37" s="24">
        <v>83.273817304641696</v>
      </c>
      <c r="Q37" s="24">
        <v>82.970922831596098</v>
      </c>
      <c r="R37" s="24">
        <v>83.130203004903308</v>
      </c>
      <c r="S37" s="24">
        <v>83.372437353661297</v>
      </c>
      <c r="T37" s="24">
        <v>83.304797733164705</v>
      </c>
      <c r="U37" s="24">
        <v>83.254459030653891</v>
      </c>
      <c r="V37" s="24">
        <v>83.069227164365202</v>
      </c>
      <c r="W37" s="25">
        <v>82.693843300410407</v>
      </c>
      <c r="Y37" s="8">
        <f t="array" ref="Y37">AVERAGE(B37:K37/TotalWasteDisposed!B37:K37-TravelTime!N37:W37/TotalWasteDisposed!N37:W37)</f>
        <v>0.33469463343651579</v>
      </c>
      <c r="Z37" s="8">
        <f t="array" ref="Z37">_xlfn.STDEV.S(B37:K37/TotalWasteDisposed!B37:K37-TravelTime!N37:W37/TotalWasteDisposed!N37:W37)</f>
        <v>2.1195067970236768E-3</v>
      </c>
      <c r="AA37" s="8">
        <f t="shared" si="0"/>
        <v>1.5160984866244406E-3</v>
      </c>
      <c r="AB37" s="8">
        <f t="shared" si="1"/>
        <v>0.33317853494989136</v>
      </c>
      <c r="AC37" s="8">
        <f t="shared" si="2"/>
        <v>0.33621073192314022</v>
      </c>
    </row>
    <row r="38" spans="1:29" x14ac:dyDescent="0.3">
      <c r="A38" s="23">
        <v>35</v>
      </c>
      <c r="B38" s="34">
        <v>620.359399175421</v>
      </c>
      <c r="C38" s="34">
        <v>622.27530628063505</v>
      </c>
      <c r="D38" s="34">
        <v>619.37379974316104</v>
      </c>
      <c r="E38" s="34">
        <v>620.77598006714993</v>
      </c>
      <c r="F38" s="34">
        <v>619.02479103986502</v>
      </c>
      <c r="G38" s="34">
        <v>622.04245475085997</v>
      </c>
      <c r="H38" s="34">
        <v>624.30965089497704</v>
      </c>
      <c r="I38" s="34">
        <v>619.55860875446899</v>
      </c>
      <c r="J38" s="34">
        <v>618.43058924717104</v>
      </c>
      <c r="K38" s="35">
        <v>621.03018307382592</v>
      </c>
      <c r="L38" s="2"/>
      <c r="M38" s="23">
        <v>35</v>
      </c>
      <c r="N38" s="24">
        <v>83.330361621501993</v>
      </c>
      <c r="O38" s="24">
        <v>83.049010066725003</v>
      </c>
      <c r="P38" s="24">
        <v>83.167141513609209</v>
      </c>
      <c r="Q38" s="24">
        <v>83.262443154108894</v>
      </c>
      <c r="R38" s="24">
        <v>83.722936040959198</v>
      </c>
      <c r="S38" s="24">
        <v>83.919440231013397</v>
      </c>
      <c r="T38" s="24">
        <v>83.102342386861395</v>
      </c>
      <c r="U38" s="24">
        <v>83.530636617730011</v>
      </c>
      <c r="V38" s="24">
        <v>83.684217544919008</v>
      </c>
      <c r="W38" s="25">
        <v>83.037530928256601</v>
      </c>
      <c r="Y38" s="8">
        <f t="array" ref="Y38">AVERAGE(B38:K38/TotalWasteDisposed!B38:K38-TravelTime!N38:W38/TotalWasteDisposed!N38:W38)</f>
        <v>0.3335030655812849</v>
      </c>
      <c r="Z38" s="8">
        <f t="array" ref="Z38">_xlfn.STDEV.S(B38:K38/TotalWasteDisposed!B38:K38-TravelTime!N38:W38/TotalWasteDisposed!N38:W38)</f>
        <v>1.5886394775458126E-3</v>
      </c>
      <c r="AA38" s="8">
        <f t="shared" si="0"/>
        <v>1.1363652671844407E-3</v>
      </c>
      <c r="AB38" s="8">
        <f t="shared" si="1"/>
        <v>0.33236670031410048</v>
      </c>
      <c r="AC38" s="8">
        <f t="shared" si="2"/>
        <v>0.33463943084846931</v>
      </c>
    </row>
    <row r="39" spans="1:29" x14ac:dyDescent="0.3">
      <c r="A39" s="23">
        <v>36</v>
      </c>
      <c r="B39" s="34">
        <v>622.53809881440304</v>
      </c>
      <c r="C39" s="34">
        <v>624.13567366866801</v>
      </c>
      <c r="D39" s="34">
        <v>620.43814729345399</v>
      </c>
      <c r="E39" s="34">
        <v>623.43133668264295</v>
      </c>
      <c r="F39" s="34">
        <v>623.14529247606004</v>
      </c>
      <c r="G39" s="34">
        <v>619.47720322632495</v>
      </c>
      <c r="H39" s="34">
        <v>619.60155083019595</v>
      </c>
      <c r="I39" s="34">
        <v>617.50649573232602</v>
      </c>
      <c r="J39" s="34">
        <v>626.38800058964603</v>
      </c>
      <c r="K39" s="35">
        <v>621.08036029405207</v>
      </c>
      <c r="L39" s="2"/>
      <c r="M39" s="23">
        <v>36</v>
      </c>
      <c r="N39" s="24">
        <v>83.401649875821306</v>
      </c>
      <c r="O39" s="24">
        <v>83.936710176176803</v>
      </c>
      <c r="P39" s="24">
        <v>83.537504190960306</v>
      </c>
      <c r="Q39" s="24">
        <v>83.332255520554796</v>
      </c>
      <c r="R39" s="24">
        <v>83.020962833486706</v>
      </c>
      <c r="S39" s="24">
        <v>83.414467904586104</v>
      </c>
      <c r="T39" s="24">
        <v>82.984384775944307</v>
      </c>
      <c r="U39" s="24">
        <v>82.446870810671697</v>
      </c>
      <c r="V39" s="24">
        <v>83.572428924182006</v>
      </c>
      <c r="W39" s="25">
        <v>82.881145813376705</v>
      </c>
      <c r="Y39" s="8">
        <f t="array" ref="Y39">AVERAGE(B39:K39/TotalWasteDisposed!B39:K39-TravelTime!N39:W39/TotalWasteDisposed!N39:W39)</f>
        <v>0.33525732019981008</v>
      </c>
      <c r="Z39" s="8">
        <f t="array" ref="Z39">_xlfn.STDEV.S(B39:K39/TotalWasteDisposed!B39:K39-TravelTime!N39:W39/TotalWasteDisposed!N39:W39)</f>
        <v>2.2210179625020226E-3</v>
      </c>
      <c r="AA39" s="8">
        <f t="shared" si="0"/>
        <v>1.5887101548546715E-3</v>
      </c>
      <c r="AB39" s="8">
        <f t="shared" si="1"/>
        <v>0.3336686100449554</v>
      </c>
      <c r="AC39" s="8">
        <f t="shared" si="2"/>
        <v>0.33684603035466476</v>
      </c>
    </row>
    <row r="40" spans="1:29" x14ac:dyDescent="0.3">
      <c r="A40" s="23">
        <v>37</v>
      </c>
      <c r="B40" s="34">
        <v>467.2822799042213</v>
      </c>
      <c r="C40" s="34">
        <v>467.1638491525602</v>
      </c>
      <c r="D40" s="34">
        <v>466.68748375747663</v>
      </c>
      <c r="E40" s="34">
        <v>466.34073819457819</v>
      </c>
      <c r="F40" s="34">
        <v>466.73914236620806</v>
      </c>
      <c r="G40" s="34">
        <v>466.87847931254703</v>
      </c>
      <c r="H40" s="34">
        <v>466.37997613905713</v>
      </c>
      <c r="I40" s="34">
        <v>466.15088493594533</v>
      </c>
      <c r="J40" s="34">
        <v>467.0508592061135</v>
      </c>
      <c r="K40" s="35">
        <v>467.62775985981574</v>
      </c>
      <c r="L40" s="2"/>
      <c r="M40" s="23">
        <v>37</v>
      </c>
      <c r="N40" s="24">
        <v>157.1453190827545</v>
      </c>
      <c r="O40" s="24">
        <v>157.41999912462148</v>
      </c>
      <c r="P40" s="24">
        <v>157.49039662407401</v>
      </c>
      <c r="Q40" s="24">
        <v>158.92227302979819</v>
      </c>
      <c r="R40" s="24">
        <v>158.62928340198357</v>
      </c>
      <c r="S40" s="24">
        <v>159.97779384447708</v>
      </c>
      <c r="T40" s="24">
        <v>158.68162257531043</v>
      </c>
      <c r="U40" s="24">
        <v>157.21519037689558</v>
      </c>
      <c r="V40" s="24">
        <v>159.74097935715781</v>
      </c>
      <c r="W40" s="25">
        <v>157.42589726493941</v>
      </c>
      <c r="Y40" s="8">
        <f t="array" ref="Y40">AVERAGE(B40:K40/TotalWasteDisposed!B40:K40-TravelTime!N40:W40/TotalWasteDisposed!N40:W40)</f>
        <v>0.20800441439173817</v>
      </c>
      <c r="Z40" s="8">
        <f t="array" ref="Z40">_xlfn.STDEV.S(B40:K40/TotalWasteDisposed!B40:K40-TravelTime!N40:W40/TotalWasteDisposed!N40:W40)</f>
        <v>1.2783506297981864E-3</v>
      </c>
      <c r="AA40" s="8">
        <f t="shared" si="0"/>
        <v>9.1441341822258871E-4</v>
      </c>
      <c r="AB40" s="8">
        <f t="shared" si="1"/>
        <v>0.20709000097351557</v>
      </c>
      <c r="AC40" s="8">
        <f t="shared" si="2"/>
        <v>0.20891882780996077</v>
      </c>
    </row>
    <row r="41" spans="1:29" x14ac:dyDescent="0.3">
      <c r="A41" s="23">
        <v>38</v>
      </c>
      <c r="B41" s="34">
        <v>466.84051215879725</v>
      </c>
      <c r="C41" s="34">
        <v>466.73102674714374</v>
      </c>
      <c r="D41" s="34">
        <v>467.22407381161321</v>
      </c>
      <c r="E41" s="34">
        <v>467.34291429625324</v>
      </c>
      <c r="F41" s="34">
        <v>467.00611202986499</v>
      </c>
      <c r="G41" s="34">
        <v>467.19476007654578</v>
      </c>
      <c r="H41" s="34">
        <v>467.80627972564281</v>
      </c>
      <c r="I41" s="34">
        <v>466.97756257048161</v>
      </c>
      <c r="J41" s="34">
        <v>465.98456686098746</v>
      </c>
      <c r="K41" s="35">
        <v>467.10281726529706</v>
      </c>
      <c r="L41" s="2"/>
      <c r="M41" s="23">
        <v>38</v>
      </c>
      <c r="N41" s="24">
        <v>156.7828981033779</v>
      </c>
      <c r="O41" s="24">
        <v>157.5248935436498</v>
      </c>
      <c r="P41" s="24">
        <v>158.87375002552278</v>
      </c>
      <c r="Q41" s="24">
        <v>158.67145871125302</v>
      </c>
      <c r="R41" s="24">
        <v>157.0204737498417</v>
      </c>
      <c r="S41" s="24">
        <v>156.96562541946298</v>
      </c>
      <c r="T41" s="24">
        <v>157.95815661537031</v>
      </c>
      <c r="U41" s="24">
        <v>158.09029000920151</v>
      </c>
      <c r="V41" s="24">
        <v>159.65548780997872</v>
      </c>
      <c r="W41" s="25">
        <v>159.51211821804361</v>
      </c>
      <c r="Y41" s="8">
        <f t="array" ref="Y41">AVERAGE(B41:K41/TotalWasteDisposed!B41:K41-TravelTime!N41:W41/TotalWasteDisposed!N41:W41)</f>
        <v>0.20830927568252497</v>
      </c>
      <c r="Z41" s="8">
        <f t="array" ref="Z41">_xlfn.STDEV.S(B41:K41/TotalWasteDisposed!B41:K41-TravelTime!N41:W41/TotalWasteDisposed!N41:W41)</f>
        <v>1.12990209121254E-3</v>
      </c>
      <c r="AA41" s="8">
        <f t="shared" si="0"/>
        <v>8.0822710874372649E-4</v>
      </c>
      <c r="AB41" s="8">
        <f t="shared" si="1"/>
        <v>0.20750104857378124</v>
      </c>
      <c r="AC41" s="8">
        <f t="shared" si="2"/>
        <v>0.2091175027912687</v>
      </c>
    </row>
    <row r="42" spans="1:29" x14ac:dyDescent="0.3">
      <c r="A42" s="23">
        <v>39</v>
      </c>
      <c r="B42" s="34">
        <v>468.55826102028459</v>
      </c>
      <c r="C42" s="34">
        <v>466.8944233528477</v>
      </c>
      <c r="D42" s="34">
        <v>466.55225161281624</v>
      </c>
      <c r="E42" s="34">
        <v>466.43310192353357</v>
      </c>
      <c r="F42" s="34">
        <v>466.76253673093839</v>
      </c>
      <c r="G42" s="34">
        <v>467.29632038886774</v>
      </c>
      <c r="H42" s="34">
        <v>467.36398858621232</v>
      </c>
      <c r="I42" s="34">
        <v>467.60057792465602</v>
      </c>
      <c r="J42" s="34">
        <v>466.10466864933574</v>
      </c>
      <c r="K42" s="35">
        <v>467.56232092925518</v>
      </c>
      <c r="L42" s="2"/>
      <c r="M42" s="23">
        <v>39</v>
      </c>
      <c r="N42" s="24">
        <v>161.86293787394609</v>
      </c>
      <c r="O42" s="24">
        <v>159.81336050251571</v>
      </c>
      <c r="P42" s="24">
        <v>157.57006219550669</v>
      </c>
      <c r="Q42" s="24">
        <v>159.85490566756249</v>
      </c>
      <c r="R42" s="24">
        <v>160.04202391732122</v>
      </c>
      <c r="S42" s="24">
        <v>157.3190828162933</v>
      </c>
      <c r="T42" s="24">
        <v>160.9588538995223</v>
      </c>
      <c r="U42" s="24">
        <v>157.24113579074219</v>
      </c>
      <c r="V42" s="24">
        <v>159.7599693979424</v>
      </c>
      <c r="W42" s="25">
        <v>161.14013803029769</v>
      </c>
      <c r="Y42" s="8">
        <f t="array" ref="Y42">AVERAGE(B42:K42/TotalWasteDisposed!B42:K42-TravelTime!N42:W42/TotalWasteDisposed!N42:W42)</f>
        <v>0.20919372576086942</v>
      </c>
      <c r="Z42" s="8">
        <f t="array" ref="Z42">_xlfn.STDEV.S(B42:K42/TotalWasteDisposed!B42:K42-TravelTime!N42:W42/TotalWasteDisposed!N42:W42)</f>
        <v>8.1230782653335181E-4</v>
      </c>
      <c r="AA42" s="8">
        <f t="shared" si="0"/>
        <v>5.8104964240256022E-4</v>
      </c>
      <c r="AB42" s="8">
        <f t="shared" si="1"/>
        <v>0.20861267611846687</v>
      </c>
      <c r="AC42" s="8">
        <f t="shared" si="2"/>
        <v>0.20977477540327197</v>
      </c>
    </row>
    <row r="43" spans="1:29" x14ac:dyDescent="0.3">
      <c r="A43" s="23">
        <v>40</v>
      </c>
      <c r="B43" s="34">
        <v>465.6741817111361</v>
      </c>
      <c r="C43" s="34">
        <v>467.45947018666305</v>
      </c>
      <c r="D43" s="34">
        <v>467.12987713627433</v>
      </c>
      <c r="E43" s="34">
        <v>466.909535794384</v>
      </c>
      <c r="F43" s="34">
        <v>466.88497490350073</v>
      </c>
      <c r="G43" s="34">
        <v>467.01605532924202</v>
      </c>
      <c r="H43" s="34">
        <v>467.31327061087399</v>
      </c>
      <c r="I43" s="34">
        <v>466.99261660628531</v>
      </c>
      <c r="J43" s="34">
        <v>468.18323398882416</v>
      </c>
      <c r="K43" s="35">
        <v>466.96024666534504</v>
      </c>
      <c r="L43" s="2"/>
      <c r="M43" s="23">
        <v>40</v>
      </c>
      <c r="N43" s="24">
        <v>161.23584782201226</v>
      </c>
      <c r="O43" s="24">
        <v>157.14316300651831</v>
      </c>
      <c r="P43" s="24">
        <v>163.6996481604472</v>
      </c>
      <c r="Q43" s="24">
        <v>159.72093743565932</v>
      </c>
      <c r="R43" s="24">
        <v>161.5561404962566</v>
      </c>
      <c r="S43" s="24">
        <v>157.08513744231931</v>
      </c>
      <c r="T43" s="24">
        <v>160.20648490755431</v>
      </c>
      <c r="U43" s="24">
        <v>159.47129427751503</v>
      </c>
      <c r="V43" s="24">
        <v>156.69898636169012</v>
      </c>
      <c r="W43" s="25">
        <v>157.39929223387321</v>
      </c>
      <c r="Y43" s="8">
        <f t="array" ref="Y43">AVERAGE(B43:K43/TotalWasteDisposed!B43:K43-TravelTime!N43:W43/TotalWasteDisposed!N43:W43)</f>
        <v>0.20885898425333854</v>
      </c>
      <c r="Z43" s="8">
        <f t="array" ref="Z43">_xlfn.STDEV.S(B43:K43/TotalWasteDisposed!B43:K43-TravelTime!N43:W43/TotalWasteDisposed!N43:W43)</f>
        <v>1.5552462989696417E-3</v>
      </c>
      <c r="AA43" s="8">
        <f t="shared" si="0"/>
        <v>1.1124788858932807E-3</v>
      </c>
      <c r="AB43" s="8">
        <f t="shared" si="1"/>
        <v>0.20774650536744527</v>
      </c>
      <c r="AC43" s="8">
        <f t="shared" si="2"/>
        <v>0.20997146313923182</v>
      </c>
    </row>
    <row r="44" spans="1:29" x14ac:dyDescent="0.3">
      <c r="A44" s="23">
        <v>41</v>
      </c>
      <c r="B44" s="34">
        <v>466.10594296976183</v>
      </c>
      <c r="C44" s="34">
        <v>466.90517306795334</v>
      </c>
      <c r="D44" s="34">
        <v>466.63179269594946</v>
      </c>
      <c r="E44" s="34">
        <v>467.1389897183733</v>
      </c>
      <c r="F44" s="34">
        <v>466.17068114708945</v>
      </c>
      <c r="G44" s="34">
        <v>466.59371750377426</v>
      </c>
      <c r="H44" s="34">
        <v>466.47066217761892</v>
      </c>
      <c r="I44" s="34">
        <v>466.82582019957692</v>
      </c>
      <c r="J44" s="34">
        <v>467.49681735210174</v>
      </c>
      <c r="K44" s="35">
        <v>466.2057164552387</v>
      </c>
      <c r="L44" s="2"/>
      <c r="M44" s="23">
        <v>41</v>
      </c>
      <c r="N44" s="24">
        <v>157.27446290794342</v>
      </c>
      <c r="O44" s="24">
        <v>159.70562466536961</v>
      </c>
      <c r="P44" s="24">
        <v>164.41745021146858</v>
      </c>
      <c r="Q44" s="24">
        <v>160.11979758123621</v>
      </c>
      <c r="R44" s="24">
        <v>157.10441443858952</v>
      </c>
      <c r="S44" s="24">
        <v>160.93520860266798</v>
      </c>
      <c r="T44" s="24">
        <v>159.47641807811829</v>
      </c>
      <c r="U44" s="24">
        <v>157.4924332152635</v>
      </c>
      <c r="V44" s="24">
        <v>160.1190384118261</v>
      </c>
      <c r="W44" s="25">
        <v>161.90644971983599</v>
      </c>
      <c r="Y44" s="8">
        <f t="array" ref="Y44">AVERAGE(B44:K44/TotalWasteDisposed!B44:K44-TravelTime!N44:W44/TotalWasteDisposed!N44:W44)</f>
        <v>0.20809913401242497</v>
      </c>
      <c r="Z44" s="8">
        <f t="array" ref="Z44">_xlfn.STDEV.S(B44:K44/TotalWasteDisposed!B44:K44-TravelTime!N44:W44/TotalWasteDisposed!N44:W44)</f>
        <v>1.8088014938991059E-3</v>
      </c>
      <c r="AA44" s="8">
        <f t="shared" si="0"/>
        <v>1.2938487441301785E-3</v>
      </c>
      <c r="AB44" s="8">
        <f t="shared" si="1"/>
        <v>0.20680528526829478</v>
      </c>
      <c r="AC44" s="8">
        <f t="shared" si="2"/>
        <v>0.20939298275655516</v>
      </c>
    </row>
    <row r="45" spans="1:29" x14ac:dyDescent="0.3">
      <c r="A45" s="23">
        <v>42</v>
      </c>
      <c r="B45" s="34">
        <v>467.68988470527199</v>
      </c>
      <c r="C45" s="34">
        <v>466.29198438611616</v>
      </c>
      <c r="D45" s="34">
        <v>465.29447913636602</v>
      </c>
      <c r="E45" s="34">
        <v>466.31194491701649</v>
      </c>
      <c r="F45" s="34">
        <v>466.86093266202954</v>
      </c>
      <c r="G45" s="34">
        <v>467.43522712103885</v>
      </c>
      <c r="H45" s="34">
        <v>466.76731352859156</v>
      </c>
      <c r="I45" s="34">
        <v>468.20250893305149</v>
      </c>
      <c r="J45" s="34">
        <v>466.93512279220676</v>
      </c>
      <c r="K45" s="35">
        <v>465.90435614688943</v>
      </c>
      <c r="L45" s="2"/>
      <c r="M45" s="23">
        <v>42</v>
      </c>
      <c r="N45" s="24">
        <v>157.55647561990838</v>
      </c>
      <c r="O45" s="24">
        <v>160.16001221078162</v>
      </c>
      <c r="P45" s="24">
        <v>159.2909261738194</v>
      </c>
      <c r="Q45" s="24">
        <v>159.6149066652892</v>
      </c>
      <c r="R45" s="24">
        <v>156.83436645700732</v>
      </c>
      <c r="S45" s="24">
        <v>157.6120224597866</v>
      </c>
      <c r="T45" s="24">
        <v>161.78729336651151</v>
      </c>
      <c r="U45" s="24">
        <v>161.1726017026478</v>
      </c>
      <c r="V45" s="24">
        <v>162.19015915460329</v>
      </c>
      <c r="W45" s="25">
        <v>164.7892924545751</v>
      </c>
      <c r="Y45" s="8">
        <f t="array" ref="Y45">AVERAGE(B45:K45/TotalWasteDisposed!B45:K45-TravelTime!N45:W45/TotalWasteDisposed!N45:W45)</f>
        <v>0.20868759922066879</v>
      </c>
      <c r="Z45" s="8">
        <f t="array" ref="Z45">_xlfn.STDEV.S(B45:K45/TotalWasteDisposed!B45:K45-TravelTime!N45:W45/TotalWasteDisposed!N45:W45)</f>
        <v>1.2203404289565691E-3</v>
      </c>
      <c r="AA45" s="8">
        <f t="shared" si="0"/>
        <v>8.7291830349672014E-4</v>
      </c>
      <c r="AB45" s="8">
        <f t="shared" si="1"/>
        <v>0.20781468091717206</v>
      </c>
      <c r="AC45" s="8">
        <f t="shared" si="2"/>
        <v>0.20956051752416552</v>
      </c>
    </row>
    <row r="46" spans="1:29" x14ac:dyDescent="0.3">
      <c r="A46" s="23">
        <v>43</v>
      </c>
      <c r="B46" s="34">
        <v>466.49629358989648</v>
      </c>
      <c r="C46" s="34">
        <v>466.46713190827938</v>
      </c>
      <c r="D46" s="34">
        <v>466.47529169228449</v>
      </c>
      <c r="E46" s="34">
        <v>467.22188224540685</v>
      </c>
      <c r="F46" s="34">
        <v>467.69039363157447</v>
      </c>
      <c r="G46" s="34">
        <v>467.77339154883174</v>
      </c>
      <c r="H46" s="34">
        <v>467.5132521971766</v>
      </c>
      <c r="I46" s="34">
        <v>466.81520998076792</v>
      </c>
      <c r="J46" s="34">
        <v>466.64552707935798</v>
      </c>
      <c r="K46" s="35">
        <v>467.0186418397758</v>
      </c>
      <c r="L46" s="2"/>
      <c r="M46" s="23">
        <v>43</v>
      </c>
      <c r="N46" s="24">
        <v>158.34977124577449</v>
      </c>
      <c r="O46" s="24">
        <v>157.41147652029699</v>
      </c>
      <c r="P46" s="24">
        <v>157.16016140378198</v>
      </c>
      <c r="Q46" s="24">
        <v>156.95852406046419</v>
      </c>
      <c r="R46" s="24">
        <v>157.56360766646401</v>
      </c>
      <c r="S46" s="24">
        <v>157.87583965010839</v>
      </c>
      <c r="T46" s="24">
        <v>161.46450013995653</v>
      </c>
      <c r="U46" s="24">
        <v>160.47970614599478</v>
      </c>
      <c r="V46" s="24">
        <v>160.15729452192889</v>
      </c>
      <c r="W46" s="25">
        <v>156.7836968182404</v>
      </c>
      <c r="Y46" s="8">
        <f t="array" ref="Y46">AVERAGE(B46:K46/TotalWasteDisposed!B46:K46-TravelTime!N46:W46/TotalWasteDisposed!N46:W46)</f>
        <v>0.20849969105204691</v>
      </c>
      <c r="Z46" s="8">
        <f t="array" ref="Z46">_xlfn.STDEV.S(B46:K46/TotalWasteDisposed!B46:K46-TravelTime!N46:W46/TotalWasteDisposed!N46:W46)</f>
        <v>8.2141154230502356E-4</v>
      </c>
      <c r="AA46" s="8">
        <f t="shared" si="0"/>
        <v>5.8756159590205937E-4</v>
      </c>
      <c r="AB46" s="8">
        <f t="shared" si="1"/>
        <v>0.20791212945614485</v>
      </c>
      <c r="AC46" s="8">
        <f t="shared" si="2"/>
        <v>0.20908725264794897</v>
      </c>
    </row>
    <row r="47" spans="1:29" x14ac:dyDescent="0.3">
      <c r="A47" s="23">
        <v>44</v>
      </c>
      <c r="B47" s="34">
        <v>467.78851330146142</v>
      </c>
      <c r="C47" s="34">
        <v>466.66147053132624</v>
      </c>
      <c r="D47" s="34">
        <v>465.53541979331783</v>
      </c>
      <c r="E47" s="34">
        <v>466.17346257739723</v>
      </c>
      <c r="F47" s="34">
        <v>466.35786549886984</v>
      </c>
      <c r="G47" s="34">
        <v>466.54340665202784</v>
      </c>
      <c r="H47" s="34">
        <v>465.99687350199423</v>
      </c>
      <c r="I47" s="34">
        <v>466.9582198987215</v>
      </c>
      <c r="J47" s="34">
        <v>467.71814568422258</v>
      </c>
      <c r="K47" s="35">
        <v>466.40679593222751</v>
      </c>
      <c r="L47" s="2"/>
      <c r="M47" s="23">
        <v>44</v>
      </c>
      <c r="N47" s="24">
        <v>157.45708015578953</v>
      </c>
      <c r="O47" s="24">
        <v>158.66736681138681</v>
      </c>
      <c r="P47" s="24">
        <v>157.47723539848499</v>
      </c>
      <c r="Q47" s="24">
        <v>157.62930910832782</v>
      </c>
      <c r="R47" s="24">
        <v>157.07763661022739</v>
      </c>
      <c r="S47" s="24">
        <v>157.83824335753371</v>
      </c>
      <c r="T47" s="24">
        <v>161.01691728635319</v>
      </c>
      <c r="U47" s="24">
        <v>159.96934004153519</v>
      </c>
      <c r="V47" s="24">
        <v>157.7632980377584</v>
      </c>
      <c r="W47" s="25">
        <v>160.27418482072781</v>
      </c>
      <c r="Y47" s="8">
        <f t="array" ref="Y47">AVERAGE(B47:K47/TotalWasteDisposed!B47:K47-TravelTime!N47:W47/TotalWasteDisposed!N47:W47)</f>
        <v>0.20800339792491956</v>
      </c>
      <c r="Z47" s="8">
        <f t="array" ref="Z47">_xlfn.STDEV.S(B47:K47/TotalWasteDisposed!B47:K47-TravelTime!N47:W47/TotalWasteDisposed!N47:W47)</f>
        <v>1.3263549180081789E-3</v>
      </c>
      <c r="AA47" s="8">
        <f t="shared" si="0"/>
        <v>9.487512315331445E-4</v>
      </c>
      <c r="AB47" s="8">
        <f t="shared" si="1"/>
        <v>0.20705464669338641</v>
      </c>
      <c r="AC47" s="8">
        <f t="shared" si="2"/>
        <v>0.20895214915645272</v>
      </c>
    </row>
    <row r="48" spans="1:29" x14ac:dyDescent="0.3">
      <c r="A48" s="23">
        <v>45</v>
      </c>
      <c r="B48" s="34">
        <v>467.84126443666446</v>
      </c>
      <c r="C48" s="34">
        <v>467.62512488484981</v>
      </c>
      <c r="D48" s="34">
        <v>467.19632531606942</v>
      </c>
      <c r="E48" s="34">
        <v>466.08059019321206</v>
      </c>
      <c r="F48" s="34">
        <v>467.37864966082896</v>
      </c>
      <c r="G48" s="34">
        <v>466.70210200128253</v>
      </c>
      <c r="H48" s="34">
        <v>466.88893986947653</v>
      </c>
      <c r="I48" s="34">
        <v>467.09016931450628</v>
      </c>
      <c r="J48" s="34">
        <v>466.08023867232214</v>
      </c>
      <c r="K48" s="35">
        <v>466.80865968436206</v>
      </c>
      <c r="L48" s="2"/>
      <c r="M48" s="23">
        <v>45</v>
      </c>
      <c r="N48" s="24">
        <v>157.6071092793415</v>
      </c>
      <c r="O48" s="24">
        <v>157.66197792693518</v>
      </c>
      <c r="P48" s="24">
        <v>157.52672574700119</v>
      </c>
      <c r="Q48" s="24">
        <v>159.09848006357038</v>
      </c>
      <c r="R48" s="24">
        <v>161.287698895392</v>
      </c>
      <c r="S48" s="24">
        <v>157.27828653096509</v>
      </c>
      <c r="T48" s="24">
        <v>158.10297479948119</v>
      </c>
      <c r="U48" s="24">
        <v>157.11088949388449</v>
      </c>
      <c r="V48" s="24">
        <v>157.60797031724491</v>
      </c>
      <c r="W48" s="25">
        <v>159.57219113724898</v>
      </c>
      <c r="Y48" s="8">
        <f t="array" ref="Y48">AVERAGE(B48:K48/TotalWasteDisposed!B48:K48-TravelTime!N48:W48/TotalWasteDisposed!N48:W48)</f>
        <v>0.20838696449401048</v>
      </c>
      <c r="Z48" s="8">
        <f t="array" ref="Z48">_xlfn.STDEV.S(B48:K48/TotalWasteDisposed!B48:K48-TravelTime!N48:W48/TotalWasteDisposed!N48:W48)</f>
        <v>1.0645679226490444E-3</v>
      </c>
      <c r="AA48" s="8">
        <f t="shared" si="0"/>
        <v>7.6149310712453962E-4</v>
      </c>
      <c r="AB48" s="8">
        <f t="shared" si="1"/>
        <v>0.20762547138688595</v>
      </c>
      <c r="AC48" s="8">
        <f t="shared" si="2"/>
        <v>0.20914845760113501</v>
      </c>
    </row>
    <row r="49" spans="1:29" x14ac:dyDescent="0.3">
      <c r="A49" s="23">
        <v>46</v>
      </c>
      <c r="B49" s="34">
        <v>508.97829425535036</v>
      </c>
      <c r="C49" s="34">
        <v>509.52926471585579</v>
      </c>
      <c r="D49" s="34">
        <v>510.47570468561742</v>
      </c>
      <c r="E49" s="34">
        <v>509.56071948277139</v>
      </c>
      <c r="F49" s="34">
        <v>508.97270438426568</v>
      </c>
      <c r="G49" s="34">
        <v>509.45478865441072</v>
      </c>
      <c r="H49" s="34">
        <v>509.1640037212843</v>
      </c>
      <c r="I49" s="34">
        <v>509.17571624741419</v>
      </c>
      <c r="J49" s="34">
        <v>508.96158897506672</v>
      </c>
      <c r="K49" s="35">
        <v>508.7580427162751</v>
      </c>
      <c r="L49" s="2"/>
      <c r="M49" s="23">
        <v>46</v>
      </c>
      <c r="N49" s="24">
        <v>234.77403972480812</v>
      </c>
      <c r="O49" s="24">
        <v>235.0590881158594</v>
      </c>
      <c r="P49" s="24">
        <v>236.09911339496981</v>
      </c>
      <c r="Q49" s="24">
        <v>235.22899719350053</v>
      </c>
      <c r="R49" s="24">
        <v>236.34150165966969</v>
      </c>
      <c r="S49" s="24">
        <v>236.67203069562177</v>
      </c>
      <c r="T49" s="24">
        <v>237.87385739146288</v>
      </c>
      <c r="U49" s="24">
        <v>235.93088735523983</v>
      </c>
      <c r="V49" s="24">
        <v>236.51344336717719</v>
      </c>
      <c r="W49" s="25">
        <v>236.01146729598491</v>
      </c>
      <c r="Y49" s="8">
        <f t="array" ref="Y49">AVERAGE(B49:K49/TotalWasteDisposed!B49:K49-TravelTime!N49:W49/TotalWasteDisposed!N49:W49)</f>
        <v>0.25830720181618816</v>
      </c>
      <c r="Z49" s="8">
        <f t="array" ref="Z49">_xlfn.STDEV.S(B49:K49/TotalWasteDisposed!B49:K49-TravelTime!N49:W49/TotalWasteDisposed!N49:W49)</f>
        <v>1.0332575869320773E-3</v>
      </c>
      <c r="AA49" s="8">
        <f t="shared" si="0"/>
        <v>7.390965983410545E-4</v>
      </c>
      <c r="AB49" s="8">
        <f t="shared" si="1"/>
        <v>0.25756810521784712</v>
      </c>
      <c r="AC49" s="8">
        <f t="shared" si="2"/>
        <v>0.2590462984145292</v>
      </c>
    </row>
    <row r="50" spans="1:29" x14ac:dyDescent="0.3">
      <c r="A50" s="23">
        <v>47</v>
      </c>
      <c r="B50" s="34">
        <v>509.34611753975599</v>
      </c>
      <c r="C50" s="34">
        <v>508.60175988402472</v>
      </c>
      <c r="D50" s="34">
        <v>508.29746621963778</v>
      </c>
      <c r="E50" s="34">
        <v>509.20296493116746</v>
      </c>
      <c r="F50" s="34">
        <v>509.76831076108516</v>
      </c>
      <c r="G50" s="34">
        <v>509.60114118192229</v>
      </c>
      <c r="H50" s="34">
        <v>509.45722483982155</v>
      </c>
      <c r="I50" s="34">
        <v>509.06964850595534</v>
      </c>
      <c r="J50" s="34">
        <v>509.87410964164673</v>
      </c>
      <c r="K50" s="35">
        <v>508.6731887923761</v>
      </c>
      <c r="L50" s="2"/>
      <c r="M50" s="23">
        <v>47</v>
      </c>
      <c r="N50" s="24">
        <v>235.62672080181358</v>
      </c>
      <c r="O50" s="24">
        <v>237.06785084007271</v>
      </c>
      <c r="P50" s="24">
        <v>236.1901599155762</v>
      </c>
      <c r="Q50" s="24">
        <v>236.03173535662341</v>
      </c>
      <c r="R50" s="24">
        <v>236.50441472014518</v>
      </c>
      <c r="S50" s="24">
        <v>237.31018904890198</v>
      </c>
      <c r="T50" s="24">
        <v>238.9740720913332</v>
      </c>
      <c r="U50" s="24">
        <v>236.50370905837349</v>
      </c>
      <c r="V50" s="24">
        <v>238.42665225705611</v>
      </c>
      <c r="W50" s="25">
        <v>236.41669857987509</v>
      </c>
      <c r="Y50" s="8">
        <f t="array" ref="Y50">AVERAGE(B50:K50/TotalWasteDisposed!B50:K50-TravelTime!N50:W50/TotalWasteDisposed!N50:W50)</f>
        <v>0.25793736205165996</v>
      </c>
      <c r="Z50" s="8">
        <f t="array" ref="Z50">_xlfn.STDEV.S(B50:K50/TotalWasteDisposed!B50:K50-TravelTime!N50:W50/TotalWasteDisposed!N50:W50)</f>
        <v>8.488600902399209E-4</v>
      </c>
      <c r="AA50" s="8">
        <f t="shared" si="0"/>
        <v>6.0719574005416773E-4</v>
      </c>
      <c r="AB50" s="8">
        <f t="shared" si="1"/>
        <v>0.25733016631160577</v>
      </c>
      <c r="AC50" s="8">
        <f t="shared" si="2"/>
        <v>0.25854455779171415</v>
      </c>
    </row>
    <row r="51" spans="1:29" x14ac:dyDescent="0.3">
      <c r="A51" s="23">
        <v>48</v>
      </c>
      <c r="B51" s="34">
        <v>509.48406310311935</v>
      </c>
      <c r="C51" s="34">
        <v>509.43666843115756</v>
      </c>
      <c r="D51" s="34">
        <v>509.53940725762277</v>
      </c>
      <c r="E51" s="34">
        <v>509.41521581274469</v>
      </c>
      <c r="F51" s="34">
        <v>509.24571782206579</v>
      </c>
      <c r="G51" s="34">
        <v>509.48745357000575</v>
      </c>
      <c r="H51" s="34">
        <v>507.79742054927635</v>
      </c>
      <c r="I51" s="34">
        <v>509.87035518326491</v>
      </c>
      <c r="J51" s="34">
        <v>509.31117598859908</v>
      </c>
      <c r="K51" s="35">
        <v>508.70781991192621</v>
      </c>
      <c r="L51" s="2"/>
      <c r="M51" s="23">
        <v>48</v>
      </c>
      <c r="N51" s="24">
        <v>235.90768887177279</v>
      </c>
      <c r="O51" s="24">
        <v>236.91473334137359</v>
      </c>
      <c r="P51" s="24">
        <v>234.70357803278469</v>
      </c>
      <c r="Q51" s="24">
        <v>234.29411439136283</v>
      </c>
      <c r="R51" s="24">
        <v>236.27181861994251</v>
      </c>
      <c r="S51" s="24">
        <v>235.88194336248722</v>
      </c>
      <c r="T51" s="24">
        <v>236.03665974390674</v>
      </c>
      <c r="U51" s="24">
        <v>235.90857861728691</v>
      </c>
      <c r="V51" s="24">
        <v>234.36091026262102</v>
      </c>
      <c r="W51" s="25">
        <v>236.37698194554153</v>
      </c>
      <c r="Y51" s="8">
        <f t="array" ref="Y51">AVERAGE(B51:K51/TotalWasteDisposed!B51:K51-TravelTime!N51:W51/TotalWasteDisposed!N51:W51)</f>
        <v>0.25872956464628122</v>
      </c>
      <c r="Z51" s="8">
        <f t="array" ref="Z51">_xlfn.STDEV.S(B51:K51/TotalWasteDisposed!B51:K51-TravelTime!N51:W51/TotalWasteDisposed!N51:W51)</f>
        <v>1.2484825909308626E-3</v>
      </c>
      <c r="AA51" s="8">
        <f t="shared" si="0"/>
        <v>8.9304859476989774E-4</v>
      </c>
      <c r="AB51" s="8">
        <f t="shared" si="1"/>
        <v>0.25783651605151131</v>
      </c>
      <c r="AC51" s="8">
        <f t="shared" si="2"/>
        <v>0.25962261324105113</v>
      </c>
    </row>
    <row r="52" spans="1:29" x14ac:dyDescent="0.3">
      <c r="A52" s="23">
        <v>49</v>
      </c>
      <c r="B52" s="34">
        <v>509.68890408176179</v>
      </c>
      <c r="C52" s="34">
        <v>509.65038177228979</v>
      </c>
      <c r="D52" s="34">
        <v>510.00471912662749</v>
      </c>
      <c r="E52" s="34">
        <v>508.79455970540783</v>
      </c>
      <c r="F52" s="34">
        <v>508.59801625228636</v>
      </c>
      <c r="G52" s="34">
        <v>508.37656433457107</v>
      </c>
      <c r="H52" s="34">
        <v>509.11110378657384</v>
      </c>
      <c r="I52" s="34">
        <v>509.93776823220992</v>
      </c>
      <c r="J52" s="34">
        <v>509.24068299166913</v>
      </c>
      <c r="K52" s="35">
        <v>507.96726119005234</v>
      </c>
      <c r="L52" s="2"/>
      <c r="M52" s="23">
        <v>49</v>
      </c>
      <c r="N52" s="24">
        <v>236.57341066984674</v>
      </c>
      <c r="O52" s="24">
        <v>236.18216687548789</v>
      </c>
      <c r="P52" s="24">
        <v>233.46518213234032</v>
      </c>
      <c r="Q52" s="24">
        <v>235.83907119591677</v>
      </c>
      <c r="R52" s="24">
        <v>236.14977917232488</v>
      </c>
      <c r="S52" s="24">
        <v>234.54984020651861</v>
      </c>
      <c r="T52" s="24">
        <v>236.67266279381261</v>
      </c>
      <c r="U52" s="24">
        <v>236.03444003904559</v>
      </c>
      <c r="V52" s="24">
        <v>235.77802117619899</v>
      </c>
      <c r="W52" s="25">
        <v>235.6232155007699</v>
      </c>
      <c r="Y52" s="8">
        <f t="array" ref="Y52">AVERAGE(B52:K52/TotalWasteDisposed!B52:K52-TravelTime!N52:W52/TotalWasteDisposed!N52:W52)</f>
        <v>0.2588023651036867</v>
      </c>
      <c r="Z52" s="8">
        <f t="array" ref="Z52">_xlfn.STDEV.S(B52:K52/TotalWasteDisposed!B52:K52-TravelTime!N52:W52/TotalWasteDisposed!N52:W52)</f>
        <v>1.2425131601466121E-3</v>
      </c>
      <c r="AA52" s="8">
        <f t="shared" si="0"/>
        <v>8.8877861790984678E-4</v>
      </c>
      <c r="AB52" s="8">
        <f t="shared" si="1"/>
        <v>0.25791358648577684</v>
      </c>
      <c r="AC52" s="8">
        <f t="shared" si="2"/>
        <v>0.25969114372159657</v>
      </c>
    </row>
    <row r="53" spans="1:29" x14ac:dyDescent="0.3">
      <c r="A53" s="23">
        <v>50</v>
      </c>
      <c r="B53" s="34">
        <v>509.71413757808324</v>
      </c>
      <c r="C53" s="34">
        <v>509.98525926947684</v>
      </c>
      <c r="D53" s="34">
        <v>508.9734387656564</v>
      </c>
      <c r="E53" s="34">
        <v>509.6180702988903</v>
      </c>
      <c r="F53" s="34">
        <v>509.87656869733394</v>
      </c>
      <c r="G53" s="34">
        <v>509.53811751396364</v>
      </c>
      <c r="H53" s="34">
        <v>509.57811483896319</v>
      </c>
      <c r="I53" s="34">
        <v>509.53561975225296</v>
      </c>
      <c r="J53" s="34">
        <v>508.50279038026849</v>
      </c>
      <c r="K53" s="35">
        <v>509.3496657910963</v>
      </c>
      <c r="L53" s="2"/>
      <c r="M53" s="23">
        <v>50</v>
      </c>
      <c r="N53" s="24">
        <v>236.01601647301993</v>
      </c>
      <c r="O53" s="24">
        <v>236.24278958111393</v>
      </c>
      <c r="P53" s="24">
        <v>236.88601033679208</v>
      </c>
      <c r="Q53" s="24">
        <v>235.08856527872962</v>
      </c>
      <c r="R53" s="24">
        <v>237.3208049242717</v>
      </c>
      <c r="S53" s="24">
        <v>234.2578446689501</v>
      </c>
      <c r="T53" s="24">
        <v>236.72788582842199</v>
      </c>
      <c r="U53" s="24">
        <v>236.40788788839919</v>
      </c>
      <c r="V53" s="24">
        <v>235.74913308885519</v>
      </c>
      <c r="W53" s="25">
        <v>237.83156967757046</v>
      </c>
      <c r="Y53" s="8">
        <f t="array" ref="Y53">AVERAGE(B53:K53/TotalWasteDisposed!B53:K53-TravelTime!N53:W53/TotalWasteDisposed!N53:W53)</f>
        <v>0.25856306724987443</v>
      </c>
      <c r="Z53" s="8">
        <f t="array" ref="Z53">_xlfn.STDEV.S(B53:K53/TotalWasteDisposed!B53:K53-TravelTime!N53:W53/TotalWasteDisposed!N53:W53)</f>
        <v>1.016915714503413E-3</v>
      </c>
      <c r="AA53" s="8">
        <f t="shared" si="0"/>
        <v>7.2740713922136741E-4</v>
      </c>
      <c r="AB53" s="8">
        <f t="shared" si="1"/>
        <v>0.25783566011065306</v>
      </c>
      <c r="AC53" s="8">
        <f t="shared" si="2"/>
        <v>0.2592904743890958</v>
      </c>
    </row>
    <row r="54" spans="1:29" x14ac:dyDescent="0.3">
      <c r="A54" s="23">
        <v>51</v>
      </c>
      <c r="B54" s="34">
        <v>509.52324454027769</v>
      </c>
      <c r="C54" s="34">
        <v>508.9243664298865</v>
      </c>
      <c r="D54" s="34">
        <v>508.49896759011051</v>
      </c>
      <c r="E54" s="34">
        <v>509.54676014689431</v>
      </c>
      <c r="F54" s="34">
        <v>510.17329865029706</v>
      </c>
      <c r="G54" s="34">
        <v>508.64591139246829</v>
      </c>
      <c r="H54" s="34">
        <v>509.67081413065267</v>
      </c>
      <c r="I54" s="34">
        <v>508.8160327866658</v>
      </c>
      <c r="J54" s="34">
        <v>508.53520786602451</v>
      </c>
      <c r="K54" s="35">
        <v>508.5323146512979</v>
      </c>
      <c r="L54" s="2"/>
      <c r="M54" s="23">
        <v>51</v>
      </c>
      <c r="N54" s="24">
        <v>237.43963906451461</v>
      </c>
      <c r="O54" s="24">
        <v>237.10595481608999</v>
      </c>
      <c r="P54" s="24">
        <v>237.25795653063102</v>
      </c>
      <c r="Q54" s="24">
        <v>236.47185552548888</v>
      </c>
      <c r="R54" s="24">
        <v>233.57352346713827</v>
      </c>
      <c r="S54" s="24">
        <v>236.21463052206536</v>
      </c>
      <c r="T54" s="24">
        <v>235.15388037920818</v>
      </c>
      <c r="U54" s="24">
        <v>236.37030998438689</v>
      </c>
      <c r="V54" s="24">
        <v>236.30169681519021</v>
      </c>
      <c r="W54" s="25">
        <v>236.15963065269585</v>
      </c>
      <c r="Y54" s="8">
        <f t="array" ref="Y54">AVERAGE(B54:K54/TotalWasteDisposed!B54:K54-TravelTime!N54:W54/TotalWasteDisposed!N54:W54)</f>
        <v>0.25812876527779671</v>
      </c>
      <c r="Z54" s="8">
        <f t="array" ref="Z54">_xlfn.STDEV.S(B54:K54/TotalWasteDisposed!B54:K54-TravelTime!N54:W54/TotalWasteDisposed!N54:W54)</f>
        <v>1.0527870867312898E-3</v>
      </c>
      <c r="AA54" s="8">
        <f t="shared" si="0"/>
        <v>7.530661902912651E-4</v>
      </c>
      <c r="AB54" s="8">
        <f t="shared" si="1"/>
        <v>0.25737569908750546</v>
      </c>
      <c r="AC54" s="8">
        <f t="shared" si="2"/>
        <v>0.25888183146808796</v>
      </c>
    </row>
    <row r="55" spans="1:29" x14ac:dyDescent="0.3">
      <c r="A55" s="23">
        <v>52</v>
      </c>
      <c r="B55" s="34">
        <v>508.45970641298999</v>
      </c>
      <c r="C55" s="34">
        <v>509.67520361541693</v>
      </c>
      <c r="D55" s="34">
        <v>509.49647805991532</v>
      </c>
      <c r="E55" s="34">
        <v>509.85592252025828</v>
      </c>
      <c r="F55" s="34">
        <v>509.52923585530738</v>
      </c>
      <c r="G55" s="34">
        <v>509.58639810181091</v>
      </c>
      <c r="H55" s="34">
        <v>508.20654338517102</v>
      </c>
      <c r="I55" s="34">
        <v>509.0945098666071</v>
      </c>
      <c r="J55" s="34">
        <v>509.40252860866212</v>
      </c>
      <c r="K55" s="35">
        <v>509.55414066083023</v>
      </c>
      <c r="L55" s="2"/>
      <c r="M55" s="23">
        <v>52</v>
      </c>
      <c r="N55" s="24">
        <v>236.20892185381288</v>
      </c>
      <c r="O55" s="24">
        <v>236.79035553529428</v>
      </c>
      <c r="P55" s="24">
        <v>236.9873922058708</v>
      </c>
      <c r="Q55" s="24">
        <v>236.75568599098523</v>
      </c>
      <c r="R55" s="24">
        <v>234.96390319180054</v>
      </c>
      <c r="S55" s="24">
        <v>234.55024698726251</v>
      </c>
      <c r="T55" s="24">
        <v>238.28278195000738</v>
      </c>
      <c r="U55" s="24">
        <v>238.35321819148811</v>
      </c>
      <c r="V55" s="24">
        <v>235.87205709565251</v>
      </c>
      <c r="W55" s="25">
        <v>236.49084005076242</v>
      </c>
      <c r="Y55" s="8">
        <f t="array" ref="Y55">AVERAGE(B55:K55/TotalWasteDisposed!B55:K55-TravelTime!N55:W55/TotalWasteDisposed!N55:W55)</f>
        <v>0.25842965218908509</v>
      </c>
      <c r="Z55" s="8">
        <f t="array" ref="Z55">_xlfn.STDEV.S(B55:K55/TotalWasteDisposed!B55:K55-TravelTime!N55:W55/TotalWasteDisposed!N55:W55)</f>
        <v>1.4245941173524441E-3</v>
      </c>
      <c r="AA55" s="8">
        <f t="shared" si="0"/>
        <v>1.0190224388074911E-3</v>
      </c>
      <c r="AB55" s="8">
        <f t="shared" si="1"/>
        <v>0.25741062975027762</v>
      </c>
      <c r="AC55" s="8">
        <f t="shared" si="2"/>
        <v>0.25944867462789256</v>
      </c>
    </row>
    <row r="56" spans="1:29" x14ac:dyDescent="0.3">
      <c r="A56" s="23">
        <v>53</v>
      </c>
      <c r="B56" s="34">
        <v>509.3351948775765</v>
      </c>
      <c r="C56" s="34">
        <v>508.97984799590881</v>
      </c>
      <c r="D56" s="34">
        <v>510.88618891212667</v>
      </c>
      <c r="E56" s="34">
        <v>509.31707872324989</v>
      </c>
      <c r="F56" s="34">
        <v>509.59193499620284</v>
      </c>
      <c r="G56" s="34">
        <v>509.31826674210038</v>
      </c>
      <c r="H56" s="34">
        <v>510.41956290527219</v>
      </c>
      <c r="I56" s="34">
        <v>508.63163055652882</v>
      </c>
      <c r="J56" s="34">
        <v>510.25386013925367</v>
      </c>
      <c r="K56" s="35">
        <v>508.87129363151746</v>
      </c>
      <c r="L56" s="2"/>
      <c r="M56" s="23">
        <v>53</v>
      </c>
      <c r="N56" s="24">
        <v>235.9642253318743</v>
      </c>
      <c r="O56" s="24">
        <v>238.32115521015271</v>
      </c>
      <c r="P56" s="24">
        <v>236.74384464231127</v>
      </c>
      <c r="Q56" s="24">
        <v>238.60033189030887</v>
      </c>
      <c r="R56" s="24">
        <v>237.24457960935089</v>
      </c>
      <c r="S56" s="24">
        <v>236.73802547392052</v>
      </c>
      <c r="T56" s="24">
        <v>236.62014550286057</v>
      </c>
      <c r="U56" s="24">
        <v>236.76372717716333</v>
      </c>
      <c r="V56" s="24">
        <v>235.12252987991494</v>
      </c>
      <c r="W56" s="25">
        <v>234.23599363224452</v>
      </c>
      <c r="Y56" s="8">
        <f t="array" ref="Y56">AVERAGE(B56:K56/TotalWasteDisposed!B56:K56-TravelTime!N56:W56/TotalWasteDisposed!N56:W56)</f>
        <v>0.25836203970742122</v>
      </c>
      <c r="Z56" s="8">
        <f t="array" ref="Z56">_xlfn.STDEV.S(B56:K56/TotalWasteDisposed!B56:K56-TravelTime!N56:W56/TotalWasteDisposed!N56:W56)</f>
        <v>8.8803224727923059E-4</v>
      </c>
      <c r="AA56" s="8">
        <f t="shared" si="0"/>
        <v>6.3521586628754859E-4</v>
      </c>
      <c r="AB56" s="8">
        <f t="shared" si="1"/>
        <v>0.25772682384113366</v>
      </c>
      <c r="AC56" s="8">
        <f t="shared" si="2"/>
        <v>0.25899725557370878</v>
      </c>
    </row>
    <row r="57" spans="1:29" x14ac:dyDescent="0.3">
      <c r="A57" s="23">
        <v>54</v>
      </c>
      <c r="B57" s="34">
        <v>509.47103483868358</v>
      </c>
      <c r="C57" s="34">
        <v>509.25071682265911</v>
      </c>
      <c r="D57" s="34">
        <v>508.78531325055803</v>
      </c>
      <c r="E57" s="34">
        <v>509.64633211818909</v>
      </c>
      <c r="F57" s="34">
        <v>509.33768495165242</v>
      </c>
      <c r="G57" s="34">
        <v>509.30796030619558</v>
      </c>
      <c r="H57" s="34">
        <v>509.58686197567181</v>
      </c>
      <c r="I57" s="34">
        <v>508.89286337625163</v>
      </c>
      <c r="J57" s="34">
        <v>509.78975979943323</v>
      </c>
      <c r="K57" s="35">
        <v>508.82439851662463</v>
      </c>
      <c r="L57" s="2"/>
      <c r="M57" s="23">
        <v>54</v>
      </c>
      <c r="N57" s="24">
        <v>237.06049237528231</v>
      </c>
      <c r="O57" s="24">
        <v>235.68195036111962</v>
      </c>
      <c r="P57" s="24">
        <v>236.40221602399211</v>
      </c>
      <c r="Q57" s="24">
        <v>234.91639511373052</v>
      </c>
      <c r="R57" s="24">
        <v>236.76503409588531</v>
      </c>
      <c r="S57" s="24">
        <v>236.77909786142638</v>
      </c>
      <c r="T57" s="24">
        <v>236.05660303226782</v>
      </c>
      <c r="U57" s="24">
        <v>234.80325599122594</v>
      </c>
      <c r="V57" s="24">
        <v>236.23686824309283</v>
      </c>
      <c r="W57" s="25">
        <v>234.4753184486901</v>
      </c>
      <c r="Y57" s="8">
        <f t="array" ref="Y57">AVERAGE(B57:K57/TotalWasteDisposed!B57:K57-TravelTime!N57:W57/TotalWasteDisposed!N57:W57)</f>
        <v>0.25867538602531709</v>
      </c>
      <c r="Z57" s="8">
        <f t="array" ref="Z57">_xlfn.STDEV.S(B57:K57/TotalWasteDisposed!B57:K57-TravelTime!N57:W57/TotalWasteDisposed!N57:W57)</f>
        <v>5.5315426543980104E-4</v>
      </c>
      <c r="AA57" s="8">
        <f t="shared" si="0"/>
        <v>3.9567523250257737E-4</v>
      </c>
      <c r="AB57" s="8">
        <f t="shared" si="1"/>
        <v>0.25827971079281453</v>
      </c>
      <c r="AC57" s="8">
        <f t="shared" si="2"/>
        <v>0.25907106125781965</v>
      </c>
    </row>
    <row r="58" spans="1:29" x14ac:dyDescent="0.3">
      <c r="A58" s="23">
        <v>55</v>
      </c>
      <c r="B58" s="34">
        <v>615.83916332131707</v>
      </c>
      <c r="C58" s="34">
        <v>615.44083096577197</v>
      </c>
      <c r="D58" s="34">
        <v>612.62936028904403</v>
      </c>
      <c r="E58" s="34">
        <v>615.062796789809</v>
      </c>
      <c r="F58" s="34">
        <v>612.44949064552793</v>
      </c>
      <c r="G58" s="34">
        <v>611.39324029907004</v>
      </c>
      <c r="H58" s="34">
        <v>610.79343936354599</v>
      </c>
      <c r="I58" s="34">
        <v>610.92520016643391</v>
      </c>
      <c r="J58" s="34">
        <v>611.44012125385507</v>
      </c>
      <c r="K58" s="35">
        <v>612.28370003933901</v>
      </c>
      <c r="L58" s="2"/>
      <c r="M58" s="23">
        <v>55</v>
      </c>
      <c r="N58" s="24">
        <v>86.460448472503401</v>
      </c>
      <c r="O58" s="24">
        <v>85.64174515430841</v>
      </c>
      <c r="P58" s="24">
        <v>84.209346851512407</v>
      </c>
      <c r="Q58" s="24">
        <v>80.372427083665499</v>
      </c>
      <c r="R58" s="24">
        <v>90.727536365119789</v>
      </c>
      <c r="S58" s="24">
        <v>87.082415039500503</v>
      </c>
      <c r="T58" s="24">
        <v>88.756618243452394</v>
      </c>
      <c r="U58" s="24">
        <v>86.972937459235496</v>
      </c>
      <c r="V58" s="24">
        <v>85.6692025787803</v>
      </c>
      <c r="W58" s="25">
        <v>85.227771197307604</v>
      </c>
      <c r="Y58" s="8">
        <f t="array" ref="Y58">AVERAGE(B58:K58/TotalWasteDisposed!B58:K58-TravelTime!N58:W58/TotalWasteDisposed!N58:W58)</f>
        <v>0.3410604631607102</v>
      </c>
      <c r="Z58" s="8">
        <f t="array" ref="Z58">_xlfn.STDEV.S(B58:K58/TotalWasteDisposed!B58:K58-TravelTime!N58:W58/TotalWasteDisposed!N58:W58)</f>
        <v>2.6757094719544981E-3</v>
      </c>
      <c r="AA58" s="8">
        <f t="shared" si="0"/>
        <v>1.9139542684050092E-3</v>
      </c>
      <c r="AB58" s="8">
        <f t="shared" si="1"/>
        <v>0.33914650889230519</v>
      </c>
      <c r="AC58" s="8">
        <f t="shared" si="2"/>
        <v>0.34297441742911522</v>
      </c>
    </row>
    <row r="59" spans="1:29" x14ac:dyDescent="0.3">
      <c r="A59" s="23">
        <v>56</v>
      </c>
      <c r="B59" s="34">
        <v>614.18872214093994</v>
      </c>
      <c r="C59" s="34">
        <v>615.35507379964497</v>
      </c>
      <c r="D59" s="34">
        <v>613.13340720629799</v>
      </c>
      <c r="E59" s="34">
        <v>611.97588669224399</v>
      </c>
      <c r="F59" s="34">
        <v>611.083950577422</v>
      </c>
      <c r="G59" s="34">
        <v>616.65989502484399</v>
      </c>
      <c r="H59" s="34">
        <v>614.208396949801</v>
      </c>
      <c r="I59" s="34">
        <v>614.36837111949399</v>
      </c>
      <c r="J59" s="34">
        <v>610.03722673361494</v>
      </c>
      <c r="K59" s="35">
        <v>616.25234370340104</v>
      </c>
      <c r="L59" s="2"/>
      <c r="M59" s="23">
        <v>56</v>
      </c>
      <c r="N59" s="24">
        <v>81.594383734564502</v>
      </c>
      <c r="O59" s="24">
        <v>79.833581162548199</v>
      </c>
      <c r="P59" s="24">
        <v>86.83979427562079</v>
      </c>
      <c r="Q59" s="24">
        <v>80.398732073613303</v>
      </c>
      <c r="R59" s="24">
        <v>84.927815177602</v>
      </c>
      <c r="S59" s="24">
        <v>87.321938662773903</v>
      </c>
      <c r="T59" s="24">
        <v>87.366166194786203</v>
      </c>
      <c r="U59" s="24">
        <v>80.055535989225405</v>
      </c>
      <c r="V59" s="24">
        <v>87.593363621073706</v>
      </c>
      <c r="W59" s="25">
        <v>77.024754069414001</v>
      </c>
      <c r="Y59" s="8">
        <f t="array" ref="Y59">AVERAGE(B59:K59/TotalWasteDisposed!B59:K59-TravelTime!N59:W59/TotalWasteDisposed!N59:W59)</f>
        <v>0.34141285781822261</v>
      </c>
      <c r="Z59" s="8">
        <f t="array" ref="Z59">_xlfn.STDEV.S(B59:K59/TotalWasteDisposed!B59:K59-TravelTime!N59:W59/TotalWasteDisposed!N59:W59)</f>
        <v>2.1897770461957525E-3</v>
      </c>
      <c r="AA59" s="8">
        <f t="shared" si="0"/>
        <v>1.5663633022759452E-3</v>
      </c>
      <c r="AB59" s="8">
        <f t="shared" si="1"/>
        <v>0.33984649451594667</v>
      </c>
      <c r="AC59" s="8">
        <f t="shared" si="2"/>
        <v>0.34297922112049856</v>
      </c>
    </row>
    <row r="60" spans="1:29" x14ac:dyDescent="0.3">
      <c r="A60" s="23">
        <v>57</v>
      </c>
      <c r="B60" s="34">
        <v>612.95705186943997</v>
      </c>
      <c r="C60" s="34">
        <v>611.64424604868702</v>
      </c>
      <c r="D60" s="34">
        <v>615.99235775436409</v>
      </c>
      <c r="E60" s="34">
        <v>609.55231818298398</v>
      </c>
      <c r="F60" s="34">
        <v>613.44731632990499</v>
      </c>
      <c r="G60" s="34">
        <v>615.13165295752196</v>
      </c>
      <c r="H60" s="34">
        <v>613.06692931668999</v>
      </c>
      <c r="I60" s="34">
        <v>610.65872399880197</v>
      </c>
      <c r="J60" s="34">
        <v>615.74852326208793</v>
      </c>
      <c r="K60" s="35">
        <v>614.78092069557795</v>
      </c>
      <c r="L60" s="2"/>
      <c r="M60" s="23">
        <v>57</v>
      </c>
      <c r="N60" s="24">
        <v>88.652731804201196</v>
      </c>
      <c r="O60" s="24">
        <v>76.893388913316997</v>
      </c>
      <c r="P60" s="24">
        <v>77.195766052163705</v>
      </c>
      <c r="Q60" s="24">
        <v>83.563800883322301</v>
      </c>
      <c r="R60" s="24">
        <v>85.169561300550598</v>
      </c>
      <c r="S60" s="24">
        <v>86.917768253995703</v>
      </c>
      <c r="T60" s="24">
        <v>85.033832599004597</v>
      </c>
      <c r="U60" s="24">
        <v>85.5898006308894</v>
      </c>
      <c r="V60" s="24">
        <v>86.950260989663306</v>
      </c>
      <c r="W60" s="25">
        <v>85.107607383457804</v>
      </c>
      <c r="Y60" s="8">
        <f t="array" ref="Y60">AVERAGE(B60:K60/TotalWasteDisposed!B60:K60-TravelTime!N60:W60/TotalWasteDisposed!N60:W60)</f>
        <v>0.34226378787110856</v>
      </c>
      <c r="Z60" s="8">
        <f t="array" ref="Z60">_xlfn.STDEV.S(B60:K60/TotalWasteDisposed!B60:K60-TravelTime!N60:W60/TotalWasteDisposed!N60:W60)</f>
        <v>2.525462403523129E-3</v>
      </c>
      <c r="AA60" s="8">
        <f t="shared" si="0"/>
        <v>1.806481457565982E-3</v>
      </c>
      <c r="AB60" s="8">
        <f t="shared" si="1"/>
        <v>0.3404573064135426</v>
      </c>
      <c r="AC60" s="8">
        <f t="shared" si="2"/>
        <v>0.34407026932867452</v>
      </c>
    </row>
    <row r="61" spans="1:29" x14ac:dyDescent="0.3">
      <c r="A61" s="23">
        <v>58</v>
      </c>
      <c r="B61" s="34">
        <v>612.33157928188496</v>
      </c>
      <c r="C61" s="34">
        <v>613.07605177837002</v>
      </c>
      <c r="D61" s="34">
        <v>614.06960562544396</v>
      </c>
      <c r="E61" s="34">
        <v>611.83725647417396</v>
      </c>
      <c r="F61" s="34">
        <v>612.628505416145</v>
      </c>
      <c r="G61" s="34">
        <v>615.19340150176197</v>
      </c>
      <c r="H61" s="34">
        <v>613.08655883280403</v>
      </c>
      <c r="I61" s="34">
        <v>615.99125787466301</v>
      </c>
      <c r="J61" s="34">
        <v>612.61714554566902</v>
      </c>
      <c r="K61" s="35">
        <v>616.82055828929401</v>
      </c>
      <c r="L61" s="2"/>
      <c r="M61" s="23">
        <v>58</v>
      </c>
      <c r="N61" s="24">
        <v>82.118960283172711</v>
      </c>
      <c r="O61" s="24">
        <v>84.212036804847997</v>
      </c>
      <c r="P61" s="24">
        <v>87.609135772472001</v>
      </c>
      <c r="Q61" s="24">
        <v>85.178882368455504</v>
      </c>
      <c r="R61" s="24">
        <v>84.625075164088202</v>
      </c>
      <c r="S61" s="24">
        <v>83.524248203260896</v>
      </c>
      <c r="T61" s="24">
        <v>80.101671653947704</v>
      </c>
      <c r="U61" s="24">
        <v>77.012103865566701</v>
      </c>
      <c r="V61" s="24">
        <v>83.307935803099809</v>
      </c>
      <c r="W61" s="25">
        <v>76.652343106287802</v>
      </c>
      <c r="Y61" s="8">
        <f t="array" ref="Y61">AVERAGE(B61:K61/TotalWasteDisposed!B61:K61-TravelTime!N61:W61/TotalWasteDisposed!N61:W61)</f>
        <v>0.34242922409657384</v>
      </c>
      <c r="Z61" s="8">
        <f t="array" ref="Z61">_xlfn.STDEV.S(B61:K61/TotalWasteDisposed!B61:K61-TravelTime!N61:W61/TotalWasteDisposed!N61:W61)</f>
        <v>4.2469717183563306E-3</v>
      </c>
      <c r="AA61" s="8">
        <f t="shared" si="0"/>
        <v>3.0378894769191463E-3</v>
      </c>
      <c r="AB61" s="8">
        <f t="shared" si="1"/>
        <v>0.33939133461965471</v>
      </c>
      <c r="AC61" s="8">
        <f t="shared" si="2"/>
        <v>0.34546711357349297</v>
      </c>
    </row>
    <row r="62" spans="1:29" x14ac:dyDescent="0.3">
      <c r="A62" s="23">
        <v>59</v>
      </c>
      <c r="B62" s="34">
        <v>613.78335485979198</v>
      </c>
      <c r="C62" s="34">
        <v>615.795214903545</v>
      </c>
      <c r="D62" s="34">
        <v>613.62524540372203</v>
      </c>
      <c r="E62" s="34">
        <v>614.700595386381</v>
      </c>
      <c r="F62" s="34">
        <v>610.17915183216007</v>
      </c>
      <c r="G62" s="34">
        <v>610.06210670637802</v>
      </c>
      <c r="H62" s="34">
        <v>608.669506939043</v>
      </c>
      <c r="I62" s="34">
        <v>611.448446208409</v>
      </c>
      <c r="J62" s="34">
        <v>610.10032050104496</v>
      </c>
      <c r="K62" s="35">
        <v>613.07525683461006</v>
      </c>
      <c r="L62" s="2"/>
      <c r="M62" s="23">
        <v>59</v>
      </c>
      <c r="N62" s="24">
        <v>84.749486074643102</v>
      </c>
      <c r="O62" s="24">
        <v>86.719371561583799</v>
      </c>
      <c r="P62" s="24">
        <v>83.333501328661896</v>
      </c>
      <c r="Q62" s="24">
        <v>85.278569447661411</v>
      </c>
      <c r="R62" s="24">
        <v>87.206417934073698</v>
      </c>
      <c r="S62" s="24">
        <v>89.808620674333497</v>
      </c>
      <c r="T62" s="24">
        <v>82.288297365311195</v>
      </c>
      <c r="U62" s="24">
        <v>84.808205803291102</v>
      </c>
      <c r="V62" s="24">
        <v>79.990935090880598</v>
      </c>
      <c r="W62" s="25">
        <v>85.571939077596298</v>
      </c>
      <c r="Y62" s="8">
        <f t="array" ref="Y62">AVERAGE(B62:K62/TotalWasteDisposed!B62:K62-TravelTime!N62:W62/TotalWasteDisposed!N62:W62)</f>
        <v>0.34119867806575244</v>
      </c>
      <c r="Z62" s="8">
        <f t="array" ref="Z62">_xlfn.STDEV.S(B62:K62/TotalWasteDisposed!B62:K62-TravelTime!N62:W62/TotalWasteDisposed!N62:W62)</f>
        <v>2.2727543006233232E-3</v>
      </c>
      <c r="AA62" s="8">
        <f t="shared" si="0"/>
        <v>1.6257175303626627E-3</v>
      </c>
      <c r="AB62" s="8">
        <f t="shared" si="1"/>
        <v>0.33957296053538977</v>
      </c>
      <c r="AC62" s="8">
        <f t="shared" si="2"/>
        <v>0.34282439559611511</v>
      </c>
    </row>
    <row r="63" spans="1:29" x14ac:dyDescent="0.3">
      <c r="A63" s="23">
        <v>60</v>
      </c>
      <c r="B63" s="34">
        <v>614.18805881030892</v>
      </c>
      <c r="C63" s="34">
        <v>611.58452700804992</v>
      </c>
      <c r="D63" s="34">
        <v>611.79189846608108</v>
      </c>
      <c r="E63" s="34">
        <v>612.83029385315604</v>
      </c>
      <c r="F63" s="34">
        <v>616.65508759983197</v>
      </c>
      <c r="G63" s="34">
        <v>608.74972481055397</v>
      </c>
      <c r="H63" s="34">
        <v>617.48944579234399</v>
      </c>
      <c r="I63" s="34">
        <v>613.57091664642701</v>
      </c>
      <c r="J63" s="34">
        <v>614.95707205183101</v>
      </c>
      <c r="K63" s="35">
        <v>612.67047916062199</v>
      </c>
      <c r="L63" s="2"/>
      <c r="M63" s="23">
        <v>60</v>
      </c>
      <c r="N63" s="24">
        <v>87.186886515364591</v>
      </c>
      <c r="O63" s="24">
        <v>87.203396648627802</v>
      </c>
      <c r="P63" s="24">
        <v>90.066991668548098</v>
      </c>
      <c r="Q63" s="24">
        <v>85.123440836175007</v>
      </c>
      <c r="R63" s="24">
        <v>80.349780881819399</v>
      </c>
      <c r="S63" s="24">
        <v>85.049117871694705</v>
      </c>
      <c r="T63" s="24">
        <v>87.354243172732993</v>
      </c>
      <c r="U63" s="24">
        <v>84.266526972233308</v>
      </c>
      <c r="V63" s="24">
        <v>83.9077071190179</v>
      </c>
      <c r="W63" s="25">
        <v>85.426434040598792</v>
      </c>
      <c r="Y63" s="8">
        <f t="array" ref="Y63">AVERAGE(B63:K63/TotalWasteDisposed!B63:K63-TravelTime!N63:W63/TotalWasteDisposed!N63:W63)</f>
        <v>0.34131471530194868</v>
      </c>
      <c r="Z63" s="8">
        <f t="array" ref="Z63">_xlfn.STDEV.S(B63:K63/TotalWasteDisposed!B63:K63-TravelTime!N63:W63/TotalWasteDisposed!N63:W63)</f>
        <v>2.6803222990276179E-3</v>
      </c>
      <c r="AA63" s="8">
        <f t="shared" si="0"/>
        <v>1.9172538568538115E-3</v>
      </c>
      <c r="AB63" s="8">
        <f t="shared" si="1"/>
        <v>0.33939746144509486</v>
      </c>
      <c r="AC63" s="8">
        <f t="shared" si="2"/>
        <v>0.3432319691588025</v>
      </c>
    </row>
    <row r="64" spans="1:29" x14ac:dyDescent="0.3">
      <c r="A64" s="23">
        <v>61</v>
      </c>
      <c r="B64" s="34">
        <v>608.95280836780307</v>
      </c>
      <c r="C64" s="34">
        <v>616.10736355796303</v>
      </c>
      <c r="D64" s="34">
        <v>610.534985676156</v>
      </c>
      <c r="E64" s="34">
        <v>609.27740265147406</v>
      </c>
      <c r="F64" s="34">
        <v>610.335747856583</v>
      </c>
      <c r="G64" s="34">
        <v>614.08126076994199</v>
      </c>
      <c r="H64" s="34">
        <v>614.32014233009602</v>
      </c>
      <c r="I64" s="34">
        <v>608.85565035200102</v>
      </c>
      <c r="J64" s="34">
        <v>609.03153817329803</v>
      </c>
      <c r="K64" s="35">
        <v>609.648320366843</v>
      </c>
      <c r="L64" s="2"/>
      <c r="M64" s="23">
        <v>61</v>
      </c>
      <c r="N64" s="24">
        <v>86.781851541933506</v>
      </c>
      <c r="O64" s="24">
        <v>77.22581282521179</v>
      </c>
      <c r="P64" s="24">
        <v>85.694934306193105</v>
      </c>
      <c r="Q64" s="24">
        <v>87.036059705249201</v>
      </c>
      <c r="R64" s="24">
        <v>88.773508253872706</v>
      </c>
      <c r="S64" s="24">
        <v>85.032973762067698</v>
      </c>
      <c r="T64" s="24">
        <v>83.72021133737961</v>
      </c>
      <c r="U64" s="24">
        <v>80.4173194620506</v>
      </c>
      <c r="V64" s="24">
        <v>85.284626366054297</v>
      </c>
      <c r="W64" s="25">
        <v>79.528913345360493</v>
      </c>
      <c r="Y64" s="8">
        <f t="array" ref="Y64">AVERAGE(B64:K64/TotalWasteDisposed!B64:K64-TravelTime!N64:W64/TotalWasteDisposed!N64:W64)</f>
        <v>0.33984593091933873</v>
      </c>
      <c r="Z64" s="8">
        <f t="array" ref="Z64">_xlfn.STDEV.S(B64:K64/TotalWasteDisposed!B64:K64-TravelTime!N64:W64/TotalWasteDisposed!N64:W64)</f>
        <v>2.8345327953366011E-3</v>
      </c>
      <c r="AA64" s="8">
        <f t="shared" si="0"/>
        <v>2.0275617362170506E-3</v>
      </c>
      <c r="AB64" s="8">
        <f t="shared" si="1"/>
        <v>0.33781836918312169</v>
      </c>
      <c r="AC64" s="8">
        <f t="shared" si="2"/>
        <v>0.34187349265555578</v>
      </c>
    </row>
    <row r="65" spans="1:29" x14ac:dyDescent="0.3">
      <c r="A65" s="23">
        <v>62</v>
      </c>
      <c r="B65" s="34">
        <v>614.534960415402</v>
      </c>
      <c r="C65" s="34">
        <v>612.72842417851393</v>
      </c>
      <c r="D65" s="34">
        <v>611.01892903821397</v>
      </c>
      <c r="E65" s="34">
        <v>611.14336735685299</v>
      </c>
      <c r="F65" s="34">
        <v>611.22074241434598</v>
      </c>
      <c r="G65" s="34">
        <v>611.932795402755</v>
      </c>
      <c r="H65" s="34">
        <v>617.95535045308907</v>
      </c>
      <c r="I65" s="34">
        <v>609.77363092357302</v>
      </c>
      <c r="J65" s="34">
        <v>614.30216975934604</v>
      </c>
      <c r="K65" s="35">
        <v>612.57041493902</v>
      </c>
      <c r="L65" s="2"/>
      <c r="M65" s="23">
        <v>62</v>
      </c>
      <c r="N65" s="24">
        <v>85.595872158620494</v>
      </c>
      <c r="O65" s="24">
        <v>77.305406985237113</v>
      </c>
      <c r="P65" s="24">
        <v>85.102276400001102</v>
      </c>
      <c r="Q65" s="24">
        <v>84.960824853681501</v>
      </c>
      <c r="R65" s="24">
        <v>85.504686716168408</v>
      </c>
      <c r="S65" s="24">
        <v>85.269035315942702</v>
      </c>
      <c r="T65" s="24">
        <v>79.692106368007501</v>
      </c>
      <c r="U65" s="24">
        <v>80.138247560042998</v>
      </c>
      <c r="V65" s="24">
        <v>87.220818386849999</v>
      </c>
      <c r="W65" s="25">
        <v>77.068311050839199</v>
      </c>
      <c r="Y65" s="8">
        <f t="array" ref="Y65">AVERAGE(B65:K65/TotalWasteDisposed!B65:K65-TravelTime!N65:W65/TotalWasteDisposed!N65:W65)</f>
        <v>0.34208777303112392</v>
      </c>
      <c r="Z65" s="8">
        <f t="array" ref="Z65">_xlfn.STDEV.S(B65:K65/TotalWasteDisposed!B65:K65-TravelTime!N65:W65/TotalWasteDisposed!N65:W65)</f>
        <v>2.8116152658112146E-3</v>
      </c>
      <c r="AA65" s="8">
        <f t="shared" si="0"/>
        <v>2.0111686621870919E-3</v>
      </c>
      <c r="AB65" s="8">
        <f t="shared" si="1"/>
        <v>0.34007660436893683</v>
      </c>
      <c r="AC65" s="8">
        <f t="shared" si="2"/>
        <v>0.34409894169331101</v>
      </c>
    </row>
    <row r="66" spans="1:29" x14ac:dyDescent="0.3">
      <c r="A66" s="23">
        <v>63</v>
      </c>
      <c r="B66" s="34">
        <v>616.92902081634804</v>
      </c>
      <c r="C66" s="34">
        <v>613.08805690787506</v>
      </c>
      <c r="D66" s="34">
        <v>613.95315657869696</v>
      </c>
      <c r="E66" s="34">
        <v>611.39713675366204</v>
      </c>
      <c r="F66" s="34">
        <v>613.76322936288898</v>
      </c>
      <c r="G66" s="34">
        <v>615.37644762024104</v>
      </c>
      <c r="H66" s="34">
        <v>615.490609503673</v>
      </c>
      <c r="I66" s="34">
        <v>616.29443294309897</v>
      </c>
      <c r="J66" s="34">
        <v>609.977510190727</v>
      </c>
      <c r="K66" s="35">
        <v>612.40329275184195</v>
      </c>
      <c r="L66" s="2"/>
      <c r="M66" s="23">
        <v>63</v>
      </c>
      <c r="N66" s="24">
        <v>80.348381248595189</v>
      </c>
      <c r="O66" s="24">
        <v>77.0970620682656</v>
      </c>
      <c r="P66" s="24">
        <v>83.520726918233095</v>
      </c>
      <c r="Q66" s="24">
        <v>87.526492785498093</v>
      </c>
      <c r="R66" s="24">
        <v>87.029329854373188</v>
      </c>
      <c r="S66" s="24">
        <v>87.419606589889298</v>
      </c>
      <c r="T66" s="24">
        <v>85.458151448312108</v>
      </c>
      <c r="U66" s="24">
        <v>87.895199020499007</v>
      </c>
      <c r="V66" s="24">
        <v>80.289818031059497</v>
      </c>
      <c r="W66" s="25">
        <v>87.533132327534389</v>
      </c>
      <c r="Y66" s="8">
        <f t="array" ref="Y66">AVERAGE(B66:K66/TotalWasteDisposed!B66:K66-TravelTime!N66:W66/TotalWasteDisposed!N66:W66)</f>
        <v>0.34231611437850568</v>
      </c>
      <c r="Z66" s="8">
        <f t="array" ref="Z66">_xlfn.STDEV.S(B66:K66/TotalWasteDisposed!B66:K66-TravelTime!N66:W66/TotalWasteDisposed!N66:W66)</f>
        <v>3.0750419687438635E-3</v>
      </c>
      <c r="AA66" s="8">
        <f t="shared" si="0"/>
        <v>2.1995996812399616E-3</v>
      </c>
      <c r="AB66" s="8">
        <f t="shared" si="1"/>
        <v>0.34011651469726573</v>
      </c>
      <c r="AC66" s="8">
        <f t="shared" si="2"/>
        <v>0.34451571405974563</v>
      </c>
    </row>
    <row r="67" spans="1:29" x14ac:dyDescent="0.3">
      <c r="A67" s="23">
        <v>64</v>
      </c>
      <c r="B67" s="34">
        <v>461.79165957852376</v>
      </c>
      <c r="C67" s="34">
        <v>461.33662924338591</v>
      </c>
      <c r="D67" s="34">
        <v>461.38577570088705</v>
      </c>
      <c r="E67" s="34">
        <v>461.52324689086913</v>
      </c>
      <c r="F67" s="34">
        <v>462.09230233912001</v>
      </c>
      <c r="G67" s="34">
        <v>461.17949282852771</v>
      </c>
      <c r="H67" s="34">
        <v>461.88580706838593</v>
      </c>
      <c r="I67" s="34">
        <v>461.39782515382012</v>
      </c>
      <c r="J67" s="34">
        <v>461.22287706690395</v>
      </c>
      <c r="K67" s="35">
        <v>460.79284211566971</v>
      </c>
      <c r="L67" s="2"/>
      <c r="M67" s="23">
        <v>64</v>
      </c>
      <c r="N67" s="24">
        <v>163.32114638107822</v>
      </c>
      <c r="O67" s="24">
        <v>157.63048958518181</v>
      </c>
      <c r="P67" s="24">
        <v>154.75982697154564</v>
      </c>
      <c r="Q67" s="24">
        <v>155.58021668763439</v>
      </c>
      <c r="R67" s="24">
        <v>155.6129718906827</v>
      </c>
      <c r="S67" s="24">
        <v>152.73018630044152</v>
      </c>
      <c r="T67" s="24">
        <v>156.6807684605435</v>
      </c>
      <c r="U67" s="24">
        <v>156.54406271813579</v>
      </c>
      <c r="V67" s="24">
        <v>165.8582696615573</v>
      </c>
      <c r="W67" s="25">
        <v>158.7018486929999</v>
      </c>
      <c r="Y67" s="8">
        <f t="array" ref="Y67">AVERAGE(B67:K67/TotalWasteDisposed!B67:K67-TravelTime!N67:W67/TotalWasteDisposed!N67:W67)</f>
        <v>0.22850886601171835</v>
      </c>
      <c r="Z67" s="8">
        <f t="array" ref="Z67">_xlfn.STDEV.S(B67:K67/TotalWasteDisposed!B67:K67-TravelTime!N67:W67/TotalWasteDisposed!N67:W67)</f>
        <v>2.1582728563384799E-3</v>
      </c>
      <c r="AA67" s="8">
        <f t="shared" si="0"/>
        <v>1.5438281282288452E-3</v>
      </c>
      <c r="AB67" s="8">
        <f t="shared" si="1"/>
        <v>0.22696503788348951</v>
      </c>
      <c r="AC67" s="8">
        <f t="shared" si="2"/>
        <v>0.23005269413994719</v>
      </c>
    </row>
    <row r="68" spans="1:29" x14ac:dyDescent="0.3">
      <c r="A68" s="23">
        <v>65</v>
      </c>
      <c r="B68" s="34">
        <v>461.2355202464538</v>
      </c>
      <c r="C68" s="34">
        <v>461.04781287947156</v>
      </c>
      <c r="D68" s="34">
        <v>461.58936705638752</v>
      </c>
      <c r="E68" s="34">
        <v>461.14889575098562</v>
      </c>
      <c r="F68" s="34">
        <v>460.8725971872127</v>
      </c>
      <c r="G68" s="34">
        <v>461.73079847308514</v>
      </c>
      <c r="H68" s="34">
        <v>461.63054087192018</v>
      </c>
      <c r="I68" s="34">
        <v>461.50053592436484</v>
      </c>
      <c r="J68" s="34">
        <v>461.92161127079083</v>
      </c>
      <c r="K68" s="35">
        <v>461.47934857579082</v>
      </c>
      <c r="L68" s="2"/>
      <c r="M68" s="23">
        <v>65</v>
      </c>
      <c r="N68" s="24">
        <v>159.0718006674241</v>
      </c>
      <c r="O68" s="24">
        <v>160.28129178814351</v>
      </c>
      <c r="P68" s="24">
        <v>155.91891772682422</v>
      </c>
      <c r="Q68" s="24">
        <v>155.78533458938722</v>
      </c>
      <c r="R68" s="24">
        <v>155.74025451040379</v>
      </c>
      <c r="S68" s="24">
        <v>155.7528368403789</v>
      </c>
      <c r="T68" s="24">
        <v>155.4597067839793</v>
      </c>
      <c r="U68" s="24">
        <v>156.07350768631574</v>
      </c>
      <c r="V68" s="24">
        <v>163.65092768551179</v>
      </c>
      <c r="W68" s="25">
        <v>158.30277236742307</v>
      </c>
      <c r="Y68" s="8">
        <f t="array" ref="Y68">AVERAGE(B68:K68/TotalWasteDisposed!B68:K68-TravelTime!N68:W68/TotalWasteDisposed!N68:W68)</f>
        <v>0.22800819640461159</v>
      </c>
      <c r="Z68" s="8">
        <f t="array" ref="Z68">_xlfn.STDEV.S(B68:K68/TotalWasteDisposed!B68:K68-TravelTime!N68:W68/TotalWasteDisposed!N68:W68)</f>
        <v>1.9347340342863012E-3</v>
      </c>
      <c r="AA68" s="8">
        <f t="shared" si="0"/>
        <v>1.3839291978309674E-3</v>
      </c>
      <c r="AB68" s="8">
        <f t="shared" si="1"/>
        <v>0.22662426720678061</v>
      </c>
      <c r="AC68" s="8">
        <f t="shared" si="2"/>
        <v>0.22939212560244257</v>
      </c>
    </row>
    <row r="69" spans="1:29" x14ac:dyDescent="0.3">
      <c r="A69" s="23">
        <v>66</v>
      </c>
      <c r="B69" s="34">
        <v>461.05458582673947</v>
      </c>
      <c r="C69" s="34">
        <v>461.32313681317021</v>
      </c>
      <c r="D69" s="34">
        <v>461.26180530591284</v>
      </c>
      <c r="E69" s="34">
        <v>462.14051843889371</v>
      </c>
      <c r="F69" s="34">
        <v>461.33530032611617</v>
      </c>
      <c r="G69" s="34">
        <v>460.63474431949351</v>
      </c>
      <c r="H69" s="34">
        <v>461.83244397306765</v>
      </c>
      <c r="I69" s="34">
        <v>462.08090708083949</v>
      </c>
      <c r="J69" s="34">
        <v>462.15501227285677</v>
      </c>
      <c r="K69" s="35">
        <v>460.9811577581151</v>
      </c>
      <c r="L69" s="2"/>
      <c r="M69" s="23">
        <v>66</v>
      </c>
      <c r="N69" s="24">
        <v>154.40659656722229</v>
      </c>
      <c r="O69" s="24">
        <v>154.48087236999001</v>
      </c>
      <c r="P69" s="24">
        <v>155.61561868174928</v>
      </c>
      <c r="Q69" s="24">
        <v>155.71383075495791</v>
      </c>
      <c r="R69" s="24">
        <v>156.21528763636672</v>
      </c>
      <c r="S69" s="24">
        <v>159.36467993874751</v>
      </c>
      <c r="T69" s="24">
        <v>156.24256284779031</v>
      </c>
      <c r="U69" s="24">
        <v>158.32323822225621</v>
      </c>
      <c r="V69" s="24">
        <v>162.76896441219091</v>
      </c>
      <c r="W69" s="25">
        <v>157.53731643783988</v>
      </c>
      <c r="Y69" s="8">
        <f t="array" ref="Y69">AVERAGE(B69:K69/TotalWasteDisposed!B69:K69-TravelTime!N69:W69/TotalWasteDisposed!N69:W69)</f>
        <v>0.2276629672553557</v>
      </c>
      <c r="Z69" s="8">
        <f t="array" ref="Z69">_xlfn.STDEV.S(B69:K69/TotalWasteDisposed!B69:K69-TravelTime!N69:W69/TotalWasteDisposed!N69:W69)</f>
        <v>2.3016518618278305E-3</v>
      </c>
      <c r="AA69" s="8">
        <f t="shared" ref="AA69:AA84" si="3">2.262*Z69/SQRT(10)</f>
        <v>1.6463881641491705E-3</v>
      </c>
      <c r="AB69" s="8">
        <f t="shared" ref="AB69:AB84" si="4">Y69-AA69</f>
        <v>0.22601657909120654</v>
      </c>
      <c r="AC69" s="8">
        <f t="shared" ref="AC69:AC84" si="5">Y69+AA69</f>
        <v>0.22930935541950487</v>
      </c>
    </row>
    <row r="70" spans="1:29" x14ac:dyDescent="0.3">
      <c r="A70" s="23">
        <v>67</v>
      </c>
      <c r="B70" s="34">
        <v>462.28173106658755</v>
      </c>
      <c r="C70" s="34">
        <v>461.68429631405081</v>
      </c>
      <c r="D70" s="34">
        <v>461.52006561753711</v>
      </c>
      <c r="E70" s="34">
        <v>461.72805994194562</v>
      </c>
      <c r="F70" s="34">
        <v>461.20656538667674</v>
      </c>
      <c r="G70" s="34">
        <v>460.82642225540837</v>
      </c>
      <c r="H70" s="34">
        <v>461.27448008570082</v>
      </c>
      <c r="I70" s="34">
        <v>460.18722709815813</v>
      </c>
      <c r="J70" s="34">
        <v>460.14941582110328</v>
      </c>
      <c r="K70" s="35">
        <v>461.46565887623109</v>
      </c>
      <c r="L70" s="2"/>
      <c r="M70" s="23">
        <v>67</v>
      </c>
      <c r="N70" s="24">
        <v>155.40857703386479</v>
      </c>
      <c r="O70" s="24">
        <v>158.9271693392285</v>
      </c>
      <c r="P70" s="24">
        <v>156.81368188533918</v>
      </c>
      <c r="Q70" s="24">
        <v>155.73188933250981</v>
      </c>
      <c r="R70" s="24">
        <v>156.75511917958056</v>
      </c>
      <c r="S70" s="24">
        <v>153.50451193026112</v>
      </c>
      <c r="T70" s="24">
        <v>155.57493348844324</v>
      </c>
      <c r="U70" s="24">
        <v>155.84951272867559</v>
      </c>
      <c r="V70" s="24">
        <v>159.1642690527691</v>
      </c>
      <c r="W70" s="25">
        <v>155.82587893736019</v>
      </c>
      <c r="Y70" s="8">
        <f t="array" ref="Y70">AVERAGE(B70:K70/TotalWasteDisposed!B70:K70-TravelTime!N70:W70/TotalWasteDisposed!N70:W70)</f>
        <v>0.2273276339855376</v>
      </c>
      <c r="Z70" s="8">
        <f t="array" ref="Z70">_xlfn.STDEV.S(B70:K70/TotalWasteDisposed!B70:K70-TravelTime!N70:W70/TotalWasteDisposed!N70:W70)</f>
        <v>1.8655216830005693E-3</v>
      </c>
      <c r="AA70" s="8">
        <f t="shared" si="3"/>
        <v>1.3344211041615489E-3</v>
      </c>
      <c r="AB70" s="8">
        <f t="shared" si="4"/>
        <v>0.22599321288137605</v>
      </c>
      <c r="AC70" s="8">
        <f t="shared" si="5"/>
        <v>0.22866205508969914</v>
      </c>
    </row>
    <row r="71" spans="1:29" x14ac:dyDescent="0.3">
      <c r="A71" s="23">
        <v>68</v>
      </c>
      <c r="B71" s="34">
        <v>462.01358168280478</v>
      </c>
      <c r="C71" s="34">
        <v>460.8990495325595</v>
      </c>
      <c r="D71" s="34">
        <v>461.42082518385752</v>
      </c>
      <c r="E71" s="34">
        <v>461.57314795943876</v>
      </c>
      <c r="F71" s="34">
        <v>460.96369934039666</v>
      </c>
      <c r="G71" s="34">
        <v>461.79668473122138</v>
      </c>
      <c r="H71" s="34">
        <v>462.32723761175436</v>
      </c>
      <c r="I71" s="34">
        <v>462.05490363909257</v>
      </c>
      <c r="J71" s="34">
        <v>461.21425553298366</v>
      </c>
      <c r="K71" s="35">
        <v>461.58592335722653</v>
      </c>
      <c r="L71" s="2"/>
      <c r="M71" s="23">
        <v>68</v>
      </c>
      <c r="N71" s="24">
        <v>155.4096146633982</v>
      </c>
      <c r="O71" s="24">
        <v>157.89573761155791</v>
      </c>
      <c r="P71" s="24">
        <v>167.00599722110229</v>
      </c>
      <c r="Q71" s="24">
        <v>156.0148021790032</v>
      </c>
      <c r="R71" s="24">
        <v>159.46596963297327</v>
      </c>
      <c r="S71" s="24">
        <v>155.66296456838953</v>
      </c>
      <c r="T71" s="24">
        <v>155.79422708598651</v>
      </c>
      <c r="U71" s="24">
        <v>155.1948815535508</v>
      </c>
      <c r="V71" s="24">
        <v>156.30887309477311</v>
      </c>
      <c r="W71" s="25">
        <v>155.98787545358121</v>
      </c>
      <c r="Y71" s="8">
        <f t="array" ref="Y71">AVERAGE(B71:K71/TotalWasteDisposed!B71:K71-TravelTime!N71:W71/TotalWasteDisposed!N71:W71)</f>
        <v>0.22788302034614957</v>
      </c>
      <c r="Z71" s="8">
        <f t="array" ref="Z71">_xlfn.STDEV.S(B71:K71/TotalWasteDisposed!B71:K71-TravelTime!N71:W71/TotalWasteDisposed!N71:W71)</f>
        <v>1.7923583826061191E-3</v>
      </c>
      <c r="AA71" s="8">
        <f t="shared" si="3"/>
        <v>1.2820868681212402E-3</v>
      </c>
      <c r="AB71" s="8">
        <f t="shared" si="4"/>
        <v>0.22660093347802834</v>
      </c>
      <c r="AC71" s="8">
        <f t="shared" si="5"/>
        <v>0.2291651072142708</v>
      </c>
    </row>
    <row r="72" spans="1:29" x14ac:dyDescent="0.3">
      <c r="A72" s="23">
        <v>69</v>
      </c>
      <c r="B72" s="34">
        <v>462.83404559522648</v>
      </c>
      <c r="C72" s="34">
        <v>461.05729163831381</v>
      </c>
      <c r="D72" s="34">
        <v>460.62995953385331</v>
      </c>
      <c r="E72" s="34">
        <v>461.21657951932798</v>
      </c>
      <c r="F72" s="34">
        <v>460.02474289482166</v>
      </c>
      <c r="G72" s="34">
        <v>461.71210102786017</v>
      </c>
      <c r="H72" s="34">
        <v>461.25743609521913</v>
      </c>
      <c r="I72" s="34">
        <v>460.35603092833429</v>
      </c>
      <c r="J72" s="34">
        <v>461.76335881231091</v>
      </c>
      <c r="K72" s="35">
        <v>461.66719893114259</v>
      </c>
      <c r="L72" s="2"/>
      <c r="M72" s="23">
        <v>69</v>
      </c>
      <c r="N72" s="24">
        <v>156.29836030005208</v>
      </c>
      <c r="O72" s="24">
        <v>158.45387242138381</v>
      </c>
      <c r="P72" s="24">
        <v>154.46695583463509</v>
      </c>
      <c r="Q72" s="24">
        <v>156.5269412348818</v>
      </c>
      <c r="R72" s="24">
        <v>155.41750617489302</v>
      </c>
      <c r="S72" s="24">
        <v>158.0820317180557</v>
      </c>
      <c r="T72" s="24">
        <v>157.1177462651942</v>
      </c>
      <c r="U72" s="24">
        <v>158.34694321155069</v>
      </c>
      <c r="V72" s="24">
        <v>158.47277532277408</v>
      </c>
      <c r="W72" s="25">
        <v>156.96507383280689</v>
      </c>
      <c r="Y72" s="8">
        <f t="array" ref="Y72">AVERAGE(B72:K72/TotalWasteDisposed!B72:K72-TravelTime!N72:W72/TotalWasteDisposed!N72:W72)</f>
        <v>0.22694640994934315</v>
      </c>
      <c r="Z72" s="8">
        <f t="array" ref="Z72">_xlfn.STDEV.S(B72:K72/TotalWasteDisposed!B72:K72-TravelTime!N72:W72/TotalWasteDisposed!N72:W72)</f>
        <v>2.1828971570959062E-3</v>
      </c>
      <c r="AA72" s="8">
        <f t="shared" si="3"/>
        <v>1.5614420680213216E-3</v>
      </c>
      <c r="AB72" s="8">
        <f t="shared" si="4"/>
        <v>0.22538496788132181</v>
      </c>
      <c r="AC72" s="8">
        <f t="shared" si="5"/>
        <v>0.22850785201736448</v>
      </c>
    </row>
    <row r="73" spans="1:29" x14ac:dyDescent="0.3">
      <c r="A73" s="23">
        <v>70</v>
      </c>
      <c r="B73" s="34">
        <v>460.52919358587224</v>
      </c>
      <c r="C73" s="34">
        <v>461.85231194225599</v>
      </c>
      <c r="D73" s="34">
        <v>461.19760320055968</v>
      </c>
      <c r="E73" s="34">
        <v>461.22540854729237</v>
      </c>
      <c r="F73" s="34">
        <v>460.70399524990717</v>
      </c>
      <c r="G73" s="34">
        <v>461.36405537249743</v>
      </c>
      <c r="H73" s="34">
        <v>461.8480786791776</v>
      </c>
      <c r="I73" s="34">
        <v>462.10430625462601</v>
      </c>
      <c r="J73" s="34">
        <v>461.11222371447013</v>
      </c>
      <c r="K73" s="35">
        <v>461.9635575544894</v>
      </c>
      <c r="L73" s="2"/>
      <c r="M73" s="23">
        <v>70</v>
      </c>
      <c r="N73" s="24">
        <v>165.72152853554567</v>
      </c>
      <c r="O73" s="24">
        <v>158.4555084751444</v>
      </c>
      <c r="P73" s="24">
        <v>154.16518021654221</v>
      </c>
      <c r="Q73" s="24">
        <v>159.1417547537398</v>
      </c>
      <c r="R73" s="24">
        <v>156.6587918109054</v>
      </c>
      <c r="S73" s="24">
        <v>162.66480814008986</v>
      </c>
      <c r="T73" s="24">
        <v>166.09582284730919</v>
      </c>
      <c r="U73" s="24">
        <v>155.72530948186849</v>
      </c>
      <c r="V73" s="24">
        <v>155.5273704480166</v>
      </c>
      <c r="W73" s="25">
        <v>155.36778280395561</v>
      </c>
      <c r="Y73" s="8">
        <f t="array" ref="Y73">AVERAGE(B73:K73/TotalWasteDisposed!B73:K73-TravelTime!N73:W73/TotalWasteDisposed!N73:W73)</f>
        <v>0.22850927224667045</v>
      </c>
      <c r="Z73" s="8">
        <f t="array" ref="Z73">_xlfn.STDEV.S(B73:K73/TotalWasteDisposed!B73:K73-TravelTime!N73:W73/TotalWasteDisposed!N73:W73)</f>
        <v>1.9254769325036203E-3</v>
      </c>
      <c r="AA73" s="8">
        <f t="shared" si="3"/>
        <v>1.3773075262123815E-3</v>
      </c>
      <c r="AB73" s="8">
        <f t="shared" si="4"/>
        <v>0.22713196472045807</v>
      </c>
      <c r="AC73" s="8">
        <f t="shared" si="5"/>
        <v>0.22988657977288282</v>
      </c>
    </row>
    <row r="74" spans="1:29" x14ac:dyDescent="0.3">
      <c r="A74" s="23">
        <v>71</v>
      </c>
      <c r="B74" s="34">
        <v>461.98360805592057</v>
      </c>
      <c r="C74" s="34">
        <v>461.00482817630837</v>
      </c>
      <c r="D74" s="34">
        <v>462.00148229747492</v>
      </c>
      <c r="E74" s="34">
        <v>461.99053460057451</v>
      </c>
      <c r="F74" s="34">
        <v>460.0807649421215</v>
      </c>
      <c r="G74" s="34">
        <v>461.20420914531911</v>
      </c>
      <c r="H74" s="34">
        <v>462.15917645739898</v>
      </c>
      <c r="I74" s="34">
        <v>460.88454160983002</v>
      </c>
      <c r="J74" s="34">
        <v>461.12120665449601</v>
      </c>
      <c r="K74" s="35">
        <v>460.87225245333036</v>
      </c>
      <c r="L74" s="2"/>
      <c r="M74" s="23">
        <v>71</v>
      </c>
      <c r="N74" s="24">
        <v>155.75964513017982</v>
      </c>
      <c r="O74" s="24">
        <v>160.68767391466849</v>
      </c>
      <c r="P74" s="24">
        <v>165.76245886376688</v>
      </c>
      <c r="Q74" s="24">
        <v>155.77771322531083</v>
      </c>
      <c r="R74" s="24">
        <v>155.20313576125869</v>
      </c>
      <c r="S74" s="24">
        <v>155.2579229540701</v>
      </c>
      <c r="T74" s="24">
        <v>156.26888713740149</v>
      </c>
      <c r="U74" s="24">
        <v>155.95821462286639</v>
      </c>
      <c r="V74" s="24">
        <v>160.56094999701293</v>
      </c>
      <c r="W74" s="25">
        <v>159.14169885439139</v>
      </c>
      <c r="Y74" s="8">
        <f t="array" ref="Y74">AVERAGE(B74:K74/TotalWasteDisposed!B74:K74-TravelTime!N74:W74/TotalWasteDisposed!N74:W74)</f>
        <v>0.22795161250924001</v>
      </c>
      <c r="Z74" s="8">
        <f t="array" ref="Z74">_xlfn.STDEV.S(B74:K74/TotalWasteDisposed!B74:K74-TravelTime!N74:W74/TotalWasteDisposed!N74:W74)</f>
        <v>2.2481255950574605E-3</v>
      </c>
      <c r="AA74" s="8">
        <f t="shared" si="3"/>
        <v>1.6081004397789675E-3</v>
      </c>
      <c r="AB74" s="8">
        <f t="shared" si="4"/>
        <v>0.22634351206946104</v>
      </c>
      <c r="AC74" s="8">
        <f t="shared" si="5"/>
        <v>0.22955971294901897</v>
      </c>
    </row>
    <row r="75" spans="1:29" x14ac:dyDescent="0.3">
      <c r="A75" s="23">
        <v>72</v>
      </c>
      <c r="B75" s="34">
        <v>461.38412617879032</v>
      </c>
      <c r="C75" s="34">
        <v>461.25727246034694</v>
      </c>
      <c r="D75" s="34">
        <v>460.84539513152794</v>
      </c>
      <c r="E75" s="34">
        <v>461.57832232053096</v>
      </c>
      <c r="F75" s="34">
        <v>462.07153443709461</v>
      </c>
      <c r="G75" s="34">
        <v>460.98097538677717</v>
      </c>
      <c r="H75" s="34">
        <v>460.77419939379672</v>
      </c>
      <c r="I75" s="34">
        <v>460.86233166235536</v>
      </c>
      <c r="J75" s="34">
        <v>461.05998009109089</v>
      </c>
      <c r="K75" s="35">
        <v>461.04694868702643</v>
      </c>
      <c r="L75" s="2"/>
      <c r="M75" s="23">
        <v>72</v>
      </c>
      <c r="N75" s="24">
        <v>155.15301893055209</v>
      </c>
      <c r="O75" s="24">
        <v>163.14511615123598</v>
      </c>
      <c r="P75" s="24">
        <v>157.95557517815487</v>
      </c>
      <c r="Q75" s="24">
        <v>161.07898085360623</v>
      </c>
      <c r="R75" s="24">
        <v>158.48123243384441</v>
      </c>
      <c r="S75" s="24">
        <v>163.56191516570991</v>
      </c>
      <c r="T75" s="24">
        <v>155.50315742286961</v>
      </c>
      <c r="U75" s="24">
        <v>151.62805177523802</v>
      </c>
      <c r="V75" s="24">
        <v>157.56494792811262</v>
      </c>
      <c r="W75" s="25">
        <v>158.87587108547581</v>
      </c>
      <c r="Y75" s="8">
        <f t="array" ref="Y75">AVERAGE(B75:K75/TotalWasteDisposed!B75:K75-TravelTime!N75:W75/TotalWasteDisposed!N75:W75)</f>
        <v>0.22878312678917126</v>
      </c>
      <c r="Z75" s="8">
        <f t="array" ref="Z75">_xlfn.STDEV.S(B75:K75/TotalWasteDisposed!B75:K75-TravelTime!N75:W75/TotalWasteDisposed!N75:W75)</f>
        <v>1.4928353936253967E-3</v>
      </c>
      <c r="AA75" s="8">
        <f t="shared" si="3"/>
        <v>1.0678359155219929E-3</v>
      </c>
      <c r="AB75" s="8">
        <f t="shared" si="4"/>
        <v>0.22771529087364928</v>
      </c>
      <c r="AC75" s="8">
        <f t="shared" si="5"/>
        <v>0.22985096270469324</v>
      </c>
    </row>
    <row r="76" spans="1:29" x14ac:dyDescent="0.3">
      <c r="A76" s="23">
        <v>73</v>
      </c>
      <c r="B76" s="34">
        <v>501.66883235926065</v>
      </c>
      <c r="C76" s="34">
        <v>502.69514710177987</v>
      </c>
      <c r="D76" s="34">
        <v>503.11682260296999</v>
      </c>
      <c r="E76" s="34">
        <v>502.24765011086902</v>
      </c>
      <c r="F76" s="34">
        <v>502.32290672776838</v>
      </c>
      <c r="G76" s="34">
        <v>502.25381927921694</v>
      </c>
      <c r="H76" s="34">
        <v>502.50107814675403</v>
      </c>
      <c r="I76" s="34">
        <v>502.17720621684617</v>
      </c>
      <c r="J76" s="34">
        <v>503.53755748097365</v>
      </c>
      <c r="K76" s="35">
        <v>504.04275155465621</v>
      </c>
      <c r="L76" s="2"/>
      <c r="M76" s="23">
        <v>73</v>
      </c>
      <c r="N76" s="24">
        <v>213.81084683717742</v>
      </c>
      <c r="O76" s="24">
        <v>213.85500774691482</v>
      </c>
      <c r="P76" s="24">
        <v>210.72789832980942</v>
      </c>
      <c r="Q76" s="24">
        <v>209.29063940382787</v>
      </c>
      <c r="R76" s="24">
        <v>213.80072076996618</v>
      </c>
      <c r="S76" s="24">
        <v>214.32900047880693</v>
      </c>
      <c r="T76" s="24">
        <v>209.96326432224191</v>
      </c>
      <c r="U76" s="24">
        <v>211.5612582521567</v>
      </c>
      <c r="V76" s="24">
        <v>213.23077086800652</v>
      </c>
      <c r="W76" s="25">
        <v>211.57238438940732</v>
      </c>
      <c r="Y76" s="8">
        <f t="array" ref="Y76">AVERAGE(B76:K76/TotalWasteDisposed!B76:K76-TravelTime!N76:W76/TotalWasteDisposed!N76:W76)</f>
        <v>0.26938839251380597</v>
      </c>
      <c r="Z76" s="8">
        <f t="array" ref="Z76">_xlfn.STDEV.S(B76:K76/TotalWasteDisposed!B76:K76-TravelTime!N76:W76/TotalWasteDisposed!N76:W76)</f>
        <v>1.4200982238056605E-3</v>
      </c>
      <c r="AA76" s="8">
        <f t="shared" si="3"/>
        <v>1.0158064937527854E-3</v>
      </c>
      <c r="AB76" s="8">
        <f t="shared" si="4"/>
        <v>0.26837258602005321</v>
      </c>
      <c r="AC76" s="8">
        <f t="shared" si="5"/>
        <v>0.27040419900755874</v>
      </c>
    </row>
    <row r="77" spans="1:29" x14ac:dyDescent="0.3">
      <c r="A77" s="23">
        <v>74</v>
      </c>
      <c r="B77" s="34">
        <v>503.23234699848888</v>
      </c>
      <c r="C77" s="34">
        <v>502.52825912190889</v>
      </c>
      <c r="D77" s="34">
        <v>502.28124029838136</v>
      </c>
      <c r="E77" s="34">
        <v>502.66263632965104</v>
      </c>
      <c r="F77" s="34">
        <v>502.8394856077262</v>
      </c>
      <c r="G77" s="34">
        <v>501.81302778317092</v>
      </c>
      <c r="H77" s="34">
        <v>503.15610565915051</v>
      </c>
      <c r="I77" s="34">
        <v>501.60593208550108</v>
      </c>
      <c r="J77" s="34">
        <v>503.2862735682923</v>
      </c>
      <c r="K77" s="35">
        <v>502.34691541891641</v>
      </c>
      <c r="L77" s="2"/>
      <c r="M77" s="23">
        <v>74</v>
      </c>
      <c r="N77" s="24">
        <v>212.97343485937998</v>
      </c>
      <c r="O77" s="24">
        <v>211.77865167798757</v>
      </c>
      <c r="P77" s="24">
        <v>213.77772951197619</v>
      </c>
      <c r="Q77" s="24">
        <v>211.86218131425073</v>
      </c>
      <c r="R77" s="24">
        <v>212.89719839529533</v>
      </c>
      <c r="S77" s="24">
        <v>212.54245079238197</v>
      </c>
      <c r="T77" s="24">
        <v>211.19099478975735</v>
      </c>
      <c r="U77" s="24">
        <v>214.58096448790087</v>
      </c>
      <c r="V77" s="24">
        <v>209.78362686462114</v>
      </c>
      <c r="W77" s="25">
        <v>211.70546080737202</v>
      </c>
      <c r="Y77" s="8">
        <f t="array" ref="Y77">AVERAGE(B77:K77/TotalWasteDisposed!B77:K77-TravelTime!N77:W77/TotalWasteDisposed!N77:W77)</f>
        <v>0.26908906745557287</v>
      </c>
      <c r="Z77" s="8">
        <f t="array" ref="Z77">_xlfn.STDEV.S(B77:K77/TotalWasteDisposed!B77:K77-TravelTime!N77:W77/TotalWasteDisposed!N77:W77)</f>
        <v>1.2868140216648668E-3</v>
      </c>
      <c r="AA77" s="8">
        <f t="shared" si="3"/>
        <v>9.2046734341820599E-4</v>
      </c>
      <c r="AB77" s="8">
        <f t="shared" si="4"/>
        <v>0.26816860011215465</v>
      </c>
      <c r="AC77" s="8">
        <f t="shared" si="5"/>
        <v>0.27000953479899109</v>
      </c>
    </row>
    <row r="78" spans="1:29" x14ac:dyDescent="0.3">
      <c r="A78" s="23">
        <v>75</v>
      </c>
      <c r="B78" s="34">
        <v>503.27086032426166</v>
      </c>
      <c r="C78" s="34">
        <v>501.9515517818229</v>
      </c>
      <c r="D78" s="34">
        <v>503.32626660190346</v>
      </c>
      <c r="E78" s="34">
        <v>504.17292431574492</v>
      </c>
      <c r="F78" s="34">
        <v>503.16780650340638</v>
      </c>
      <c r="G78" s="34">
        <v>502.588860987126</v>
      </c>
      <c r="H78" s="34">
        <v>502.8095831523737</v>
      </c>
      <c r="I78" s="34">
        <v>502.63692590785217</v>
      </c>
      <c r="J78" s="34">
        <v>502.64384359791535</v>
      </c>
      <c r="K78" s="35">
        <v>503.24187550566126</v>
      </c>
      <c r="L78" s="2"/>
      <c r="M78" s="23">
        <v>75</v>
      </c>
      <c r="N78" s="24">
        <v>214.07307071734471</v>
      </c>
      <c r="O78" s="24">
        <v>212.90205452497372</v>
      </c>
      <c r="P78" s="24">
        <v>212.23368100813212</v>
      </c>
      <c r="Q78" s="24">
        <v>213.82763549387556</v>
      </c>
      <c r="R78" s="24">
        <v>212.34160958993562</v>
      </c>
      <c r="S78" s="24">
        <v>211.76948472421338</v>
      </c>
      <c r="T78" s="24">
        <v>212.27191391062473</v>
      </c>
      <c r="U78" s="24">
        <v>214.1475531267435</v>
      </c>
      <c r="V78" s="24">
        <v>213.30795824564319</v>
      </c>
      <c r="W78" s="25">
        <v>210.39752297615345</v>
      </c>
      <c r="Y78" s="8">
        <f t="array" ref="Y78">AVERAGE(B78:K78/TotalWasteDisposed!B78:K78-TravelTime!N78:W78/TotalWasteDisposed!N78:W78)</f>
        <v>0.26934571333110491</v>
      </c>
      <c r="Z78" s="8">
        <f t="array" ref="Z78">_xlfn.STDEV.S(B78:K78/TotalWasteDisposed!B78:K78-TravelTime!N78:W78/TotalWasteDisposed!N78:W78)</f>
        <v>1.372930803497048E-3</v>
      </c>
      <c r="AA78" s="8">
        <f t="shared" si="3"/>
        <v>9.8206729808316784E-4</v>
      </c>
      <c r="AB78" s="8">
        <f t="shared" si="4"/>
        <v>0.26836364603302176</v>
      </c>
      <c r="AC78" s="8">
        <f t="shared" si="5"/>
        <v>0.27032778062918805</v>
      </c>
    </row>
    <row r="79" spans="1:29" x14ac:dyDescent="0.3">
      <c r="A79" s="23">
        <v>76</v>
      </c>
      <c r="B79" s="34">
        <v>503.02099473409203</v>
      </c>
      <c r="C79" s="34">
        <v>501.42856756255674</v>
      </c>
      <c r="D79" s="34">
        <v>502.60921154713157</v>
      </c>
      <c r="E79" s="34">
        <v>501.60934538168971</v>
      </c>
      <c r="F79" s="34">
        <v>502.68333800752345</v>
      </c>
      <c r="G79" s="34">
        <v>502.73082692135063</v>
      </c>
      <c r="H79" s="34">
        <v>501.51834116062935</v>
      </c>
      <c r="I79" s="34">
        <v>501.70322930405331</v>
      </c>
      <c r="J79" s="34">
        <v>501.80462641207396</v>
      </c>
      <c r="K79" s="35">
        <v>502.26637814164997</v>
      </c>
      <c r="L79" s="2"/>
      <c r="M79" s="23">
        <v>76</v>
      </c>
      <c r="N79" s="24">
        <v>213.57058456488389</v>
      </c>
      <c r="O79" s="24">
        <v>211.84511165228142</v>
      </c>
      <c r="P79" s="24">
        <v>214.45321869236457</v>
      </c>
      <c r="Q79" s="24">
        <v>214.14841065962162</v>
      </c>
      <c r="R79" s="24">
        <v>211.759139992267</v>
      </c>
      <c r="S79" s="24">
        <v>213.38392536532078</v>
      </c>
      <c r="T79" s="24">
        <v>213.51571401190549</v>
      </c>
      <c r="U79" s="24">
        <v>211.35591514563981</v>
      </c>
      <c r="V79" s="24">
        <v>212.89152971329372</v>
      </c>
      <c r="W79" s="25">
        <v>213.42535470222555</v>
      </c>
      <c r="Y79" s="8">
        <f t="array" ref="Y79">AVERAGE(B79:K79/TotalWasteDisposed!B79:K79-TravelTime!N79:W79/TotalWasteDisposed!N79:W79)</f>
        <v>0.26862048029531566</v>
      </c>
      <c r="Z79" s="8">
        <f t="array" ref="Z79">_xlfn.STDEV.S(B79:K79/TotalWasteDisposed!B79:K79-TravelTime!N79:W79/TotalWasteDisposed!N79:W79)</f>
        <v>5.104419711519252E-4</v>
      </c>
      <c r="AA79" s="8">
        <f t="shared" si="3"/>
        <v>3.6512282058248348E-4</v>
      </c>
      <c r="AB79" s="8">
        <f t="shared" si="4"/>
        <v>0.26825535747473317</v>
      </c>
      <c r="AC79" s="8">
        <f t="shared" si="5"/>
        <v>0.26898560311589814</v>
      </c>
    </row>
    <row r="80" spans="1:29" x14ac:dyDescent="0.3">
      <c r="A80" s="23">
        <v>77</v>
      </c>
      <c r="B80" s="34">
        <v>502.22461507661842</v>
      </c>
      <c r="C80" s="34">
        <v>502.8517445121538</v>
      </c>
      <c r="D80" s="34">
        <v>502.974423379896</v>
      </c>
      <c r="E80" s="34">
        <v>501.81561018436537</v>
      </c>
      <c r="F80" s="34">
        <v>501.32126238938662</v>
      </c>
      <c r="G80" s="34">
        <v>501.08304613326794</v>
      </c>
      <c r="H80" s="34">
        <v>502.20338940811871</v>
      </c>
      <c r="I80" s="34">
        <v>501.62558499367947</v>
      </c>
      <c r="J80" s="34">
        <v>501.87557132712078</v>
      </c>
      <c r="K80" s="35">
        <v>501.53134568939362</v>
      </c>
      <c r="L80" s="2"/>
      <c r="M80" s="23">
        <v>77</v>
      </c>
      <c r="N80" s="24">
        <v>211.2345939643962</v>
      </c>
      <c r="O80" s="24">
        <v>211.52997837144625</v>
      </c>
      <c r="P80" s="24">
        <v>211.19502189538377</v>
      </c>
      <c r="Q80" s="24">
        <v>208.67314866582961</v>
      </c>
      <c r="R80" s="24">
        <v>214.11799204994409</v>
      </c>
      <c r="S80" s="24">
        <v>211.48070679359316</v>
      </c>
      <c r="T80" s="24">
        <v>214.11542275931578</v>
      </c>
      <c r="U80" s="24">
        <v>217.05901435109601</v>
      </c>
      <c r="V80" s="24">
        <v>214.57165640196479</v>
      </c>
      <c r="W80" s="25">
        <v>212.76345372265808</v>
      </c>
      <c r="Y80" s="8">
        <f t="array" ref="Y80">AVERAGE(B80:K80/TotalWasteDisposed!B80:K80-TravelTime!N80:W80/TotalWasteDisposed!N80:W80)</f>
        <v>0.26903133769197718</v>
      </c>
      <c r="Z80" s="8">
        <f t="array" ref="Z80">_xlfn.STDEV.S(B80:K80/TotalWasteDisposed!B80:K80-TravelTime!N80:W80/TotalWasteDisposed!N80:W80)</f>
        <v>1.4015623951631685E-3</v>
      </c>
      <c r="AA80" s="8">
        <f t="shared" si="3"/>
        <v>1.0025476819420971E-3</v>
      </c>
      <c r="AB80" s="8">
        <f t="shared" si="4"/>
        <v>0.2680287900100351</v>
      </c>
      <c r="AC80" s="8">
        <f t="shared" si="5"/>
        <v>0.27003388537391926</v>
      </c>
    </row>
    <row r="81" spans="1:29" x14ac:dyDescent="0.3">
      <c r="A81" s="23">
        <v>78</v>
      </c>
      <c r="B81" s="34">
        <v>502.82934626754798</v>
      </c>
      <c r="C81" s="34">
        <v>501.84370190141647</v>
      </c>
      <c r="D81" s="34">
        <v>503.25725106291657</v>
      </c>
      <c r="E81" s="34">
        <v>501.73720515525395</v>
      </c>
      <c r="F81" s="34">
        <v>501.63401458222467</v>
      </c>
      <c r="G81" s="34">
        <v>502.02322596123815</v>
      </c>
      <c r="H81" s="34">
        <v>501.3375965403992</v>
      </c>
      <c r="I81" s="34">
        <v>503.88660393628902</v>
      </c>
      <c r="J81" s="34">
        <v>502.13352174046486</v>
      </c>
      <c r="K81" s="35">
        <v>503.36854684985144</v>
      </c>
      <c r="L81" s="2"/>
      <c r="M81" s="23">
        <v>78</v>
      </c>
      <c r="N81" s="24">
        <v>214.63147063895082</v>
      </c>
      <c r="O81" s="24">
        <v>211.43972395487231</v>
      </c>
      <c r="P81" s="24">
        <v>210.51754045822719</v>
      </c>
      <c r="Q81" s="24">
        <v>212.8991887353034</v>
      </c>
      <c r="R81" s="24">
        <v>214.26594346469332</v>
      </c>
      <c r="S81" s="24">
        <v>211.7830402329119</v>
      </c>
      <c r="T81" s="24">
        <v>212.45985466201449</v>
      </c>
      <c r="U81" s="24">
        <v>211.58114502399653</v>
      </c>
      <c r="V81" s="24">
        <v>214.20189919713138</v>
      </c>
      <c r="W81" s="25">
        <v>215.04574808225357</v>
      </c>
      <c r="Y81" s="8">
        <f t="array" ref="Y81">AVERAGE(B81:K81/TotalWasteDisposed!B81:K81-TravelTime!N81:W81/TotalWasteDisposed!N81:W81)</f>
        <v>0.26933624166094339</v>
      </c>
      <c r="Z81" s="8">
        <f t="array" ref="Z81">_xlfn.STDEV.S(B81:K81/TotalWasteDisposed!B81:K81-TravelTime!N81:W81/TotalWasteDisposed!N81:W81)</f>
        <v>5.3634292963056847E-4</v>
      </c>
      <c r="AA81" s="8">
        <f t="shared" si="3"/>
        <v>3.8364996284347369E-4</v>
      </c>
      <c r="AB81" s="8">
        <f t="shared" si="4"/>
        <v>0.26895259169809993</v>
      </c>
      <c r="AC81" s="8">
        <f t="shared" si="5"/>
        <v>0.26971989162378684</v>
      </c>
    </row>
    <row r="82" spans="1:29" x14ac:dyDescent="0.3">
      <c r="A82" s="23">
        <v>79</v>
      </c>
      <c r="B82" s="34">
        <v>503.00993924859699</v>
      </c>
      <c r="C82" s="34">
        <v>501.91175115618671</v>
      </c>
      <c r="D82" s="34">
        <v>502.12394377636014</v>
      </c>
      <c r="E82" s="34">
        <v>503.26916226917092</v>
      </c>
      <c r="F82" s="34">
        <v>501.89725338191903</v>
      </c>
      <c r="G82" s="34">
        <v>501.79553602519957</v>
      </c>
      <c r="H82" s="34">
        <v>502.42107345744051</v>
      </c>
      <c r="I82" s="34">
        <v>503.55547466878079</v>
      </c>
      <c r="J82" s="34">
        <v>502.25385658970413</v>
      </c>
      <c r="K82" s="35">
        <v>502.26149115510691</v>
      </c>
      <c r="L82" s="2"/>
      <c r="M82" s="23">
        <v>79</v>
      </c>
      <c r="N82" s="24">
        <v>208.75360163117864</v>
      </c>
      <c r="O82" s="24">
        <v>213.82319659514246</v>
      </c>
      <c r="P82" s="24">
        <v>209.66761683961104</v>
      </c>
      <c r="Q82" s="24">
        <v>213.8570378104184</v>
      </c>
      <c r="R82" s="24">
        <v>218.01151165465973</v>
      </c>
      <c r="S82" s="24">
        <v>213.53283375367678</v>
      </c>
      <c r="T82" s="24">
        <v>214.0421416907075</v>
      </c>
      <c r="U82" s="24">
        <v>213.01061973555082</v>
      </c>
      <c r="V82" s="24">
        <v>211.3466054615364</v>
      </c>
      <c r="W82" s="25">
        <v>214.68436425886151</v>
      </c>
      <c r="Y82" s="8">
        <f t="array" ref="Y82">AVERAGE(B82:K82/TotalWasteDisposed!B82:K82-TravelTime!N82:W82/TotalWasteDisposed!N82:W82)</f>
        <v>0.26932882015864945</v>
      </c>
      <c r="Z82" s="8">
        <f t="array" ref="Z82">_xlfn.STDEV.S(B82:K82/TotalWasteDisposed!B82:K82-TravelTime!N82:W82/TotalWasteDisposed!N82:W82)</f>
        <v>1.2247460402542102E-3</v>
      </c>
      <c r="AA82" s="8">
        <f t="shared" si="3"/>
        <v>8.7606966900797428E-4</v>
      </c>
      <c r="AB82" s="8">
        <f t="shared" si="4"/>
        <v>0.26845275048964146</v>
      </c>
      <c r="AC82" s="8">
        <f t="shared" si="5"/>
        <v>0.27020488982765745</v>
      </c>
    </row>
    <row r="83" spans="1:29" x14ac:dyDescent="0.3">
      <c r="A83" s="23">
        <v>80</v>
      </c>
      <c r="B83" s="34">
        <v>502.28717245713364</v>
      </c>
      <c r="C83" s="34">
        <v>501.81617426840262</v>
      </c>
      <c r="D83" s="34">
        <v>502.89304036854969</v>
      </c>
      <c r="E83" s="34">
        <v>501.01706062682376</v>
      </c>
      <c r="F83" s="34">
        <v>504.02863034232053</v>
      </c>
      <c r="G83" s="34">
        <v>502.61896569178958</v>
      </c>
      <c r="H83" s="34">
        <v>502.12878006749054</v>
      </c>
      <c r="I83" s="34">
        <v>502.1308032012281</v>
      </c>
      <c r="J83" s="34">
        <v>501.78755869503573</v>
      </c>
      <c r="K83" s="35">
        <v>501.33226558924736</v>
      </c>
      <c r="L83" s="2"/>
      <c r="M83" s="23">
        <v>80</v>
      </c>
      <c r="N83" s="24">
        <v>212.21034390881209</v>
      </c>
      <c r="O83" s="24">
        <v>210.18068653208687</v>
      </c>
      <c r="P83" s="24">
        <v>212.68657648414671</v>
      </c>
      <c r="Q83" s="24">
        <v>214.01443332876579</v>
      </c>
      <c r="R83" s="24">
        <v>212.81511607266287</v>
      </c>
      <c r="S83" s="24">
        <v>211.78781206907558</v>
      </c>
      <c r="T83" s="24">
        <v>209.795120278789</v>
      </c>
      <c r="U83" s="24">
        <v>212.96527649084561</v>
      </c>
      <c r="V83" s="24">
        <v>213.43407513710821</v>
      </c>
      <c r="W83" s="25">
        <v>213.88873467763591</v>
      </c>
      <c r="Y83" s="8">
        <f t="array" ref="Y83">AVERAGE(B83:K83/TotalWasteDisposed!B83:K83-TravelTime!N83:W83/TotalWasteDisposed!N83:W83)</f>
        <v>0.26860846370739633</v>
      </c>
      <c r="Z83" s="8">
        <f t="array" ref="Z83">_xlfn.STDEV.S(B83:K83/TotalWasteDisposed!B83:K83-TravelTime!N83:W83/TotalWasteDisposed!N83:W83)</f>
        <v>7.691067684909513E-4</v>
      </c>
      <c r="AA83" s="8">
        <f t="shared" si="3"/>
        <v>5.5014761424646637E-4</v>
      </c>
      <c r="AB83" s="8">
        <f t="shared" si="4"/>
        <v>0.26805831609314984</v>
      </c>
      <c r="AC83" s="8">
        <f t="shared" si="5"/>
        <v>0.26915861132164282</v>
      </c>
    </row>
    <row r="84" spans="1:29" x14ac:dyDescent="0.3">
      <c r="A84" s="26">
        <v>81</v>
      </c>
      <c r="B84" s="36">
        <v>501.63120194315854</v>
      </c>
      <c r="C84" s="36">
        <v>503.15262735211331</v>
      </c>
      <c r="D84" s="36">
        <v>504.23580106734835</v>
      </c>
      <c r="E84" s="36">
        <v>502.26832593541019</v>
      </c>
      <c r="F84" s="36">
        <v>502.84356882948748</v>
      </c>
      <c r="G84" s="36">
        <v>502.45763953339269</v>
      </c>
      <c r="H84" s="36">
        <v>502.60637204590233</v>
      </c>
      <c r="I84" s="36">
        <v>502.5118752127841</v>
      </c>
      <c r="J84" s="36">
        <v>502.26834018342697</v>
      </c>
      <c r="K84" s="37">
        <v>502.61748125073404</v>
      </c>
      <c r="L84" s="2"/>
      <c r="M84" s="26">
        <v>81</v>
      </c>
      <c r="N84" s="27">
        <v>211.34819936002481</v>
      </c>
      <c r="O84" s="27">
        <v>214.8885374684794</v>
      </c>
      <c r="P84" s="27">
        <v>217.51917565147662</v>
      </c>
      <c r="Q84" s="27">
        <v>212.83029873730294</v>
      </c>
      <c r="R84" s="27">
        <v>213.79619627089579</v>
      </c>
      <c r="S84" s="27">
        <v>214.30638145965142</v>
      </c>
      <c r="T84" s="27">
        <v>212.44210903763206</v>
      </c>
      <c r="U84" s="27">
        <v>211.80239761708714</v>
      </c>
      <c r="V84" s="27">
        <v>213.0383281908907</v>
      </c>
      <c r="W84" s="28">
        <v>210.65176785012679</v>
      </c>
      <c r="Y84" s="8">
        <f t="array" ref="Y84">AVERAGE(B84:K84/TotalWasteDisposed!B84:K84-TravelTime!N84:W84/TotalWasteDisposed!N84:W84)</f>
        <v>0.26937162765394196</v>
      </c>
      <c r="Z84" s="8">
        <f t="array" ref="Z84">_xlfn.STDEV.S(B84:K84/TotalWasteDisposed!B84:K84-TravelTime!N84:W84/TotalWasteDisposed!N84:W84)</f>
        <v>6.3040895672728263E-4</v>
      </c>
      <c r="AA84" s="8">
        <f t="shared" si="3"/>
        <v>4.509360699342211E-4</v>
      </c>
      <c r="AB84" s="8">
        <f t="shared" si="4"/>
        <v>0.26892069158400772</v>
      </c>
      <c r="AC84" s="8">
        <f t="shared" si="5"/>
        <v>0.2698225637238762</v>
      </c>
    </row>
  </sheetData>
  <mergeCells count="2">
    <mergeCell ref="B2:K2"/>
    <mergeCell ref="N2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0F44-1246-42E1-8752-CAD0B035071F}">
  <dimension ref="A1:AE84"/>
  <sheetViews>
    <sheetView topLeftCell="V1" workbookViewId="0">
      <selection activeCell="P13" sqref="P13"/>
    </sheetView>
  </sheetViews>
  <sheetFormatPr defaultRowHeight="14.4" x14ac:dyDescent="0.3"/>
  <cols>
    <col min="2" max="11" width="9.33203125" bestFit="1" customWidth="1"/>
    <col min="12" max="12" width="4.88671875" customWidth="1"/>
    <col min="14" max="23" width="9.33203125" bestFit="1" customWidth="1"/>
    <col min="26" max="26" width="11.109375" bestFit="1" customWidth="1"/>
  </cols>
  <sheetData>
    <row r="1" spans="1:31" x14ac:dyDescent="0.3">
      <c r="A1" s="15" t="s">
        <v>1</v>
      </c>
      <c r="B1" s="16"/>
      <c r="C1" s="16"/>
      <c r="D1" s="16"/>
      <c r="E1" s="16"/>
      <c r="F1" s="16"/>
      <c r="G1" s="16"/>
      <c r="H1" s="16"/>
      <c r="I1" s="16"/>
      <c r="J1" s="16"/>
      <c r="K1" s="17"/>
      <c r="L1" s="16"/>
      <c r="M1" s="15" t="s">
        <v>2</v>
      </c>
      <c r="N1" s="16"/>
      <c r="O1" s="16"/>
      <c r="P1" s="16"/>
      <c r="Q1" s="16"/>
      <c r="R1" s="16"/>
      <c r="S1" s="16"/>
      <c r="T1" s="16"/>
      <c r="U1" s="16"/>
      <c r="V1" s="16"/>
      <c r="W1" s="17"/>
    </row>
    <row r="2" spans="1:31" x14ac:dyDescent="0.3">
      <c r="A2" s="18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20"/>
      <c r="L2" s="29"/>
      <c r="M2" s="18"/>
      <c r="N2" s="19" t="s">
        <v>0</v>
      </c>
      <c r="O2" s="19"/>
      <c r="P2" s="19"/>
      <c r="Q2" s="19"/>
      <c r="R2" s="19"/>
      <c r="S2" s="19"/>
      <c r="T2" s="19"/>
      <c r="U2" s="19"/>
      <c r="V2" s="19"/>
      <c r="W2" s="20"/>
    </row>
    <row r="3" spans="1:31" x14ac:dyDescent="0.3">
      <c r="A3" s="21" t="s">
        <v>19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22">
        <v>10</v>
      </c>
      <c r="L3" s="13"/>
      <c r="M3" s="21" t="s">
        <v>19</v>
      </c>
      <c r="N3" s="13">
        <v>1</v>
      </c>
      <c r="O3" s="13">
        <v>2</v>
      </c>
      <c r="P3" s="13">
        <v>3</v>
      </c>
      <c r="Q3" s="13">
        <v>4</v>
      </c>
      <c r="R3" s="13">
        <v>5</v>
      </c>
      <c r="S3" s="13">
        <v>6</v>
      </c>
      <c r="T3" s="13">
        <v>7</v>
      </c>
      <c r="U3" s="13">
        <v>8</v>
      </c>
      <c r="V3" s="13">
        <v>9</v>
      </c>
      <c r="W3" s="22">
        <v>10</v>
      </c>
      <c r="Y3" s="7" t="s">
        <v>3</v>
      </c>
      <c r="Z3" s="7" t="s">
        <v>4</v>
      </c>
      <c r="AA3" s="7" t="s">
        <v>5</v>
      </c>
      <c r="AB3" s="7" t="s">
        <v>6</v>
      </c>
      <c r="AC3" s="7" t="s">
        <v>7</v>
      </c>
    </row>
    <row r="4" spans="1:31" x14ac:dyDescent="0.3">
      <c r="A4" s="23">
        <v>1</v>
      </c>
      <c r="B4" s="30">
        <v>8265.0042009999797</v>
      </c>
      <c r="C4" s="30">
        <v>8364.2076359999701</v>
      </c>
      <c r="D4" s="30">
        <v>8326.5244139999686</v>
      </c>
      <c r="E4" s="30">
        <v>8321.6372819999906</v>
      </c>
      <c r="F4" s="30">
        <v>8339.1545379999807</v>
      </c>
      <c r="G4" s="30">
        <v>8337.5362819999791</v>
      </c>
      <c r="H4" s="30">
        <v>8323.5563919999804</v>
      </c>
      <c r="I4" s="30">
        <v>8318.9249139999811</v>
      </c>
      <c r="J4" s="30">
        <v>8306.6516689999808</v>
      </c>
      <c r="K4" s="31">
        <v>8284.0589359999794</v>
      </c>
      <c r="L4" s="4"/>
      <c r="M4" s="23">
        <v>1</v>
      </c>
      <c r="N4" s="30">
        <v>981.53617597195193</v>
      </c>
      <c r="O4" s="30">
        <v>1002.5305239999969</v>
      </c>
      <c r="P4" s="30">
        <v>993.63437799999599</v>
      </c>
      <c r="Q4" s="30">
        <v>993.44038499999692</v>
      </c>
      <c r="R4" s="30">
        <v>994.687347999998</v>
      </c>
      <c r="S4" s="30">
        <v>990.80908399999805</v>
      </c>
      <c r="T4" s="30">
        <v>998.17681199999697</v>
      </c>
      <c r="U4" s="30">
        <v>998.34187799999791</v>
      </c>
      <c r="V4" s="30">
        <v>993.65104199999701</v>
      </c>
      <c r="W4" s="31">
        <v>989.24690599999792</v>
      </c>
      <c r="Y4" s="6">
        <f t="array" ref="Y4">AVERAGE(B4:K4/TotalWasteDisposed!B4:K4-Distance!N4:W4/TotalWasteDisposed!N4:W4)</f>
        <v>4.361228143978062</v>
      </c>
      <c r="Z4" s="5">
        <f t="array" ref="Z4">_xlfn.STDEV.S(B4:K4/TotalWasteDisposed!B4:K4-Distance!N4:W4/TotalWasteDisposed!N4:W4)</f>
        <v>1.658100986546068E-2</v>
      </c>
      <c r="AA4" s="5">
        <f>2.262*Z4/SQRT(10)</f>
        <v>1.1860515851626702E-2</v>
      </c>
      <c r="AB4" s="5">
        <f>Y4-AA4</f>
        <v>4.3493676281264353</v>
      </c>
      <c r="AC4" s="5">
        <f>Y4+AA4</f>
        <v>4.3730886598296888</v>
      </c>
    </row>
    <row r="5" spans="1:31" x14ac:dyDescent="0.3">
      <c r="A5" s="23">
        <v>2</v>
      </c>
      <c r="B5" s="30">
        <v>8323.7753149999789</v>
      </c>
      <c r="C5" s="30">
        <v>8329.9992259999799</v>
      </c>
      <c r="D5" s="30">
        <v>8331.3311859999812</v>
      </c>
      <c r="E5" s="30">
        <v>8296.8332089999694</v>
      </c>
      <c r="F5" s="30">
        <v>8305.8668009999892</v>
      </c>
      <c r="G5" s="30">
        <v>8372.7766769999798</v>
      </c>
      <c r="H5" s="30">
        <v>8286.0541109999795</v>
      </c>
      <c r="I5" s="30">
        <v>8346.4052569999803</v>
      </c>
      <c r="J5" s="30">
        <v>8297.9852199999787</v>
      </c>
      <c r="K5" s="31">
        <v>8305.9857909999791</v>
      </c>
      <c r="L5" s="4"/>
      <c r="M5" s="23">
        <v>2</v>
      </c>
      <c r="N5" s="30">
        <v>994.21315299999901</v>
      </c>
      <c r="O5" s="30">
        <v>993.44038499999692</v>
      </c>
      <c r="P5" s="30">
        <v>996.86002999999801</v>
      </c>
      <c r="Q5" s="30">
        <v>993.44038499999692</v>
      </c>
      <c r="R5" s="30">
        <v>993.44038499999692</v>
      </c>
      <c r="S5" s="30">
        <v>993.44038499999692</v>
      </c>
      <c r="T5" s="30">
        <v>993.44038499999692</v>
      </c>
      <c r="U5" s="30">
        <v>994.32047199999693</v>
      </c>
      <c r="V5" s="30">
        <v>994.16785099999709</v>
      </c>
      <c r="W5" s="31">
        <v>993.44038499999692</v>
      </c>
      <c r="Y5" s="6">
        <f t="array" ref="Y5">AVERAGE(B5:K5/TotalWasteDisposed!B5:K5-Distance!N5:W5/TotalWasteDisposed!N5:W5)</f>
        <v>4.3592775449094656</v>
      </c>
      <c r="Z5" s="5">
        <f t="array" ref="Z5">_xlfn.STDEV.S(B5:K5/TotalWasteDisposed!B5:K5-Distance!N5:W5/TotalWasteDisposed!N5:W5)</f>
        <v>2.2676342471152269E-2</v>
      </c>
      <c r="AA5" s="5">
        <f t="shared" ref="AA5:AA68" si="0">2.262*Z5/SQRT(10)</f>
        <v>1.6220551191894774E-2</v>
      </c>
      <c r="AB5" s="5">
        <f t="shared" ref="AB5:AB68" si="1">Y5-AA5</f>
        <v>4.3430569937175711</v>
      </c>
      <c r="AC5" s="5">
        <f t="shared" ref="AC5:AC68" si="2">Y5+AA5</f>
        <v>4.3754980961013601</v>
      </c>
    </row>
    <row r="6" spans="1:31" x14ac:dyDescent="0.3">
      <c r="A6" s="23">
        <v>3</v>
      </c>
      <c r="B6" s="30">
        <v>8342.8231639999794</v>
      </c>
      <c r="C6" s="30">
        <v>8323.9180499999802</v>
      </c>
      <c r="D6" s="30">
        <v>8325.5403029999798</v>
      </c>
      <c r="E6" s="30">
        <v>8284.3441629999907</v>
      </c>
      <c r="F6" s="30">
        <v>8336.5780189999714</v>
      </c>
      <c r="G6" s="30">
        <v>8338.4483359999795</v>
      </c>
      <c r="H6" s="30">
        <v>8339.9092769999788</v>
      </c>
      <c r="I6" s="30">
        <v>8286.1753979999703</v>
      </c>
      <c r="J6" s="30">
        <v>8333.3627919999799</v>
      </c>
      <c r="K6" s="31">
        <v>8319.3602759999794</v>
      </c>
      <c r="L6" s="4"/>
      <c r="M6" s="23">
        <v>3</v>
      </c>
      <c r="N6" s="30">
        <v>992.47305699999788</v>
      </c>
      <c r="O6" s="30">
        <v>994.64119899999798</v>
      </c>
      <c r="P6" s="30">
        <v>939.443198999998</v>
      </c>
      <c r="Q6" s="30">
        <v>988.97689999999795</v>
      </c>
      <c r="R6" s="30">
        <v>989.24690599999792</v>
      </c>
      <c r="S6" s="30">
        <v>999.27585599999804</v>
      </c>
      <c r="T6" s="30">
        <v>999.79902799999695</v>
      </c>
      <c r="U6" s="30">
        <v>994.16785099999709</v>
      </c>
      <c r="V6" s="30">
        <v>993.35712999999805</v>
      </c>
      <c r="W6" s="31">
        <v>989.24690599999792</v>
      </c>
      <c r="Y6" s="6">
        <f t="array" ref="Y6">AVERAGE(B6:K6/TotalWasteDisposed!B6:K6-Distance!N6:W6/TotalWasteDisposed!N6:W6)</f>
        <v>4.3667714335148959</v>
      </c>
      <c r="Z6" s="5">
        <f t="array" ref="Z6">_xlfn.STDEV.S(B6:K6/TotalWasteDisposed!B6:K6-Distance!N6:W6/TotalWasteDisposed!N6:W6)</f>
        <v>2.3718534997242559E-2</v>
      </c>
      <c r="AA6" s="5">
        <f t="shared" si="0"/>
        <v>1.6966039016607395E-2</v>
      </c>
      <c r="AB6" s="5">
        <f t="shared" si="1"/>
        <v>4.3498053944982882</v>
      </c>
      <c r="AC6" s="5">
        <f t="shared" si="2"/>
        <v>4.3837374725315037</v>
      </c>
    </row>
    <row r="7" spans="1:31" x14ac:dyDescent="0.3">
      <c r="A7" s="23">
        <v>4</v>
      </c>
      <c r="B7" s="30">
        <v>8287.2698409999794</v>
      </c>
      <c r="C7" s="30">
        <v>8335.4143669999703</v>
      </c>
      <c r="D7" s="30">
        <v>8357.9914799999806</v>
      </c>
      <c r="E7" s="30">
        <v>8303.3613859999787</v>
      </c>
      <c r="F7" s="30">
        <v>8321.3902439999802</v>
      </c>
      <c r="G7" s="30">
        <v>8354.4088179999799</v>
      </c>
      <c r="H7" s="30">
        <v>8317.1368039999907</v>
      </c>
      <c r="I7" s="30">
        <v>8320.5044499999804</v>
      </c>
      <c r="J7" s="30">
        <v>8302.281950999979</v>
      </c>
      <c r="K7" s="31">
        <v>8272.2517529999805</v>
      </c>
      <c r="L7" s="4"/>
      <c r="M7" s="23">
        <v>4</v>
      </c>
      <c r="N7" s="30">
        <v>993.34268999999802</v>
      </c>
      <c r="O7" s="30">
        <v>988.97689899999784</v>
      </c>
      <c r="P7" s="30">
        <v>993.44038499999692</v>
      </c>
      <c r="Q7" s="30">
        <v>993.44038499999692</v>
      </c>
      <c r="R7" s="30">
        <v>993.44038499999692</v>
      </c>
      <c r="S7" s="30">
        <v>999.14579699999786</v>
      </c>
      <c r="T7" s="30">
        <v>994.20496099999798</v>
      </c>
      <c r="U7" s="30">
        <v>938.92319799999905</v>
      </c>
      <c r="V7" s="30">
        <v>942.73077199999693</v>
      </c>
      <c r="W7" s="31">
        <v>998.68418799999802</v>
      </c>
      <c r="Y7" s="6">
        <f t="array" ref="Y7">AVERAGE(B7:K7/TotalWasteDisposed!B7:K7-Distance!N7:W7/TotalWasteDisposed!N7:W7)</f>
        <v>4.368442432353592</v>
      </c>
      <c r="Z7" s="5">
        <f t="array" ref="Z7">_xlfn.STDEV.S(B7:K7/TotalWasteDisposed!B7:K7-Distance!N7:W7/TotalWasteDisposed!N7:W7)</f>
        <v>3.3285396663557301E-2</v>
      </c>
      <c r="AA7" s="5">
        <f t="shared" si="0"/>
        <v>2.3809284112312142E-2</v>
      </c>
      <c r="AB7" s="5">
        <f t="shared" si="1"/>
        <v>4.3446331482412797</v>
      </c>
      <c r="AC7" s="5">
        <f t="shared" si="2"/>
        <v>4.3922517164659043</v>
      </c>
    </row>
    <row r="8" spans="1:31" x14ac:dyDescent="0.3">
      <c r="A8" s="23">
        <v>5</v>
      </c>
      <c r="B8" s="30">
        <v>8280.6599849999802</v>
      </c>
      <c r="C8" s="30">
        <v>8295.0477009999795</v>
      </c>
      <c r="D8" s="30">
        <v>8293.9793229999814</v>
      </c>
      <c r="E8" s="30">
        <v>8289.7889299999806</v>
      </c>
      <c r="F8" s="30">
        <v>8299.3641729999799</v>
      </c>
      <c r="G8" s="30">
        <v>8315.4401009999692</v>
      </c>
      <c r="H8" s="30">
        <v>8343.5820299999796</v>
      </c>
      <c r="I8" s="30">
        <v>8387.92816699998</v>
      </c>
      <c r="J8" s="30">
        <v>8331.7877099999605</v>
      </c>
      <c r="K8" s="31">
        <v>8308.7203829999798</v>
      </c>
      <c r="L8" s="4"/>
      <c r="M8" s="23">
        <v>5</v>
      </c>
      <c r="N8" s="30">
        <v>975.85511579675199</v>
      </c>
      <c r="O8" s="30">
        <v>993.44038499999692</v>
      </c>
      <c r="P8" s="30">
        <v>993.90654599999698</v>
      </c>
      <c r="Q8" s="30">
        <v>996.09429499999692</v>
      </c>
      <c r="R8" s="30">
        <v>993.44038499999692</v>
      </c>
      <c r="S8" s="30">
        <v>988.62825199999793</v>
      </c>
      <c r="T8" s="30">
        <v>995.14338299999895</v>
      </c>
      <c r="U8" s="30">
        <v>992.83020999999803</v>
      </c>
      <c r="V8" s="30">
        <v>993.44038499999692</v>
      </c>
      <c r="W8" s="31">
        <v>993.44038499999692</v>
      </c>
      <c r="X8" s="3"/>
      <c r="Y8" s="6">
        <f t="array" ref="Y8">AVERAGE(B8:K8/TotalWasteDisposed!B8:K8-Distance!N8:W8/TotalWasteDisposed!N8:W8)</f>
        <v>4.365347880784082</v>
      </c>
      <c r="Z8" s="5">
        <f t="array" ref="Z8">_xlfn.STDEV.S(B8:K8/TotalWasteDisposed!B8:K8-Distance!N8:W8/TotalWasteDisposed!N8:W8)</f>
        <v>2.2362038995952634E-2</v>
      </c>
      <c r="AA8" s="5">
        <f t="shared" si="0"/>
        <v>1.5995727650984164E-2</v>
      </c>
      <c r="AB8" s="5">
        <f t="shared" si="1"/>
        <v>4.3493521531330979</v>
      </c>
      <c r="AC8" s="5">
        <f t="shared" si="2"/>
        <v>4.3813436084350661</v>
      </c>
    </row>
    <row r="9" spans="1:31" x14ac:dyDescent="0.3">
      <c r="A9" s="23">
        <v>6</v>
      </c>
      <c r="B9" s="30">
        <v>8282.7639219999801</v>
      </c>
      <c r="C9" s="30">
        <v>8313.4693219999699</v>
      </c>
      <c r="D9" s="30">
        <v>8305.2906069999808</v>
      </c>
      <c r="E9" s="30">
        <v>8274.6595369999795</v>
      </c>
      <c r="F9" s="30">
        <v>8322.0975949999684</v>
      </c>
      <c r="G9" s="30">
        <v>8328.7861759999596</v>
      </c>
      <c r="H9" s="30">
        <v>8293.4488549999805</v>
      </c>
      <c r="I9" s="30">
        <v>8303.0102549999701</v>
      </c>
      <c r="J9" s="30">
        <v>8290.5694209999892</v>
      </c>
      <c r="K9" s="31">
        <v>8339.9202649999716</v>
      </c>
      <c r="L9" s="4"/>
      <c r="M9" s="23">
        <v>6</v>
      </c>
      <c r="N9" s="30">
        <v>993.44038499999692</v>
      </c>
      <c r="O9" s="30">
        <v>994.32047199999693</v>
      </c>
      <c r="P9" s="30">
        <v>988.97689899999784</v>
      </c>
      <c r="Q9" s="30">
        <v>998.63866999999698</v>
      </c>
      <c r="R9" s="30">
        <v>999.34299299999702</v>
      </c>
      <c r="S9" s="30">
        <v>989.49052399999698</v>
      </c>
      <c r="T9" s="30">
        <v>998.80803899999796</v>
      </c>
      <c r="U9" s="30">
        <v>993.44038499999692</v>
      </c>
      <c r="V9" s="30">
        <v>995.45600699999795</v>
      </c>
      <c r="W9" s="31">
        <v>993.44038499999692</v>
      </c>
      <c r="X9" s="3"/>
      <c r="Y9" s="6">
        <f t="array" ref="Y9">AVERAGE(B9:K9/TotalWasteDisposed!B9:K9-Distance!N9:W9/TotalWasteDisposed!N9:W9)</f>
        <v>4.3530616109842626</v>
      </c>
      <c r="Z9" s="5">
        <f t="array" ref="Z9">_xlfn.STDEV.S(B9:K9/TotalWasteDisposed!B9:K9-Distance!N9:W9/TotalWasteDisposed!N9:W9)</f>
        <v>3.0749804287184653E-2</v>
      </c>
      <c r="AA9" s="5">
        <f t="shared" si="0"/>
        <v>2.199555661216292E-2</v>
      </c>
      <c r="AB9" s="5">
        <f t="shared" si="1"/>
        <v>4.3310660543720996</v>
      </c>
      <c r="AC9" s="5">
        <f t="shared" si="2"/>
        <v>4.3750571675964256</v>
      </c>
    </row>
    <row r="10" spans="1:31" x14ac:dyDescent="0.3">
      <c r="A10" s="23">
        <v>7</v>
      </c>
      <c r="B10" s="30">
        <v>8339.1433049999705</v>
      </c>
      <c r="C10" s="30">
        <v>8292.8043929999803</v>
      </c>
      <c r="D10" s="30">
        <v>8301.4586959999797</v>
      </c>
      <c r="E10" s="30">
        <v>8334.3595989999794</v>
      </c>
      <c r="F10" s="30">
        <v>8285.8749629999693</v>
      </c>
      <c r="G10" s="30">
        <v>8310.3214989999688</v>
      </c>
      <c r="H10" s="30">
        <v>8293.4626149999785</v>
      </c>
      <c r="I10" s="30">
        <v>8324.8854219999794</v>
      </c>
      <c r="J10" s="30">
        <v>8279.3355859999701</v>
      </c>
      <c r="K10" s="31">
        <v>8285.1963209999703</v>
      </c>
      <c r="L10" s="4"/>
      <c r="M10" s="23">
        <v>7</v>
      </c>
      <c r="N10" s="30">
        <v>980.74813697195191</v>
      </c>
      <c r="O10" s="30">
        <v>997.82816499999694</v>
      </c>
      <c r="P10" s="30">
        <v>993.44038499999692</v>
      </c>
      <c r="Q10" s="30">
        <v>993.44038499999692</v>
      </c>
      <c r="R10" s="30">
        <v>939.521827999999</v>
      </c>
      <c r="S10" s="30">
        <v>999.34299299999702</v>
      </c>
      <c r="T10" s="30">
        <v>991.68501799999706</v>
      </c>
      <c r="U10" s="30">
        <v>996.34640599999693</v>
      </c>
      <c r="V10" s="30">
        <v>990.94990399999904</v>
      </c>
      <c r="W10" s="31">
        <v>996.34640599999693</v>
      </c>
      <c r="X10" s="3"/>
      <c r="Y10" s="6">
        <f t="array" ref="Y10">AVERAGE(B10:K10/TotalWasteDisposed!B10:K10-Distance!N10:W10/TotalWasteDisposed!N10:W10)</f>
        <v>4.351080345547226</v>
      </c>
      <c r="Z10" s="5">
        <f t="array" ref="Z10">_xlfn.STDEV.S(B10:K10/TotalWasteDisposed!B10:K10-Distance!N10:W10/TotalWasteDisposed!N10:W10)</f>
        <v>3.0013069558968864E-2</v>
      </c>
      <c r="AA10" s="5">
        <f t="shared" si="0"/>
        <v>2.1468564951621836E-2</v>
      </c>
      <c r="AB10" s="5">
        <f t="shared" si="1"/>
        <v>4.329611780595604</v>
      </c>
      <c r="AC10" s="5">
        <f t="shared" si="2"/>
        <v>4.372548910498848</v>
      </c>
      <c r="AD10" s="3"/>
      <c r="AE10" s="3"/>
    </row>
    <row r="11" spans="1:31" x14ac:dyDescent="0.3">
      <c r="A11" s="23">
        <v>8</v>
      </c>
      <c r="B11" s="30">
        <v>8355.7109439999913</v>
      </c>
      <c r="C11" s="30">
        <v>8336.0422229999804</v>
      </c>
      <c r="D11" s="30">
        <v>8310.6658389999793</v>
      </c>
      <c r="E11" s="30">
        <v>8336.7644409999793</v>
      </c>
      <c r="F11" s="30">
        <v>8310.8791659999588</v>
      </c>
      <c r="G11" s="30">
        <v>8305.1979719999799</v>
      </c>
      <c r="H11" s="30">
        <v>8342.9899639999803</v>
      </c>
      <c r="I11" s="30">
        <v>8302.375039999979</v>
      </c>
      <c r="J11" s="30">
        <v>8278.8054269999793</v>
      </c>
      <c r="K11" s="31">
        <v>8305.7737229999802</v>
      </c>
      <c r="L11" s="4"/>
      <c r="M11" s="23">
        <v>8</v>
      </c>
      <c r="N11" s="30">
        <v>997.87563099999704</v>
      </c>
      <c r="O11" s="30">
        <v>989.71306699999786</v>
      </c>
      <c r="P11" s="30">
        <v>938.11240699999701</v>
      </c>
      <c r="Q11" s="30">
        <v>993.44038499999692</v>
      </c>
      <c r="R11" s="30">
        <v>994.98984599999801</v>
      </c>
      <c r="S11" s="30">
        <v>938.96842999999797</v>
      </c>
      <c r="T11" s="30">
        <v>998.68418799999802</v>
      </c>
      <c r="U11" s="30">
        <v>994.32047199999693</v>
      </c>
      <c r="V11" s="30">
        <v>988.97689999999795</v>
      </c>
      <c r="W11" s="31">
        <v>993.44038499999692</v>
      </c>
      <c r="Y11" s="6">
        <f t="array" ref="Y11">AVERAGE(B11:K11/TotalWasteDisposed!B11:K11-Distance!N11:W11/TotalWasteDisposed!N11:W11)</f>
        <v>4.3748837101122096</v>
      </c>
      <c r="Z11" s="5">
        <f t="array" ref="Z11">_xlfn.STDEV.S(B11:K11/TotalWasteDisposed!B11:K11-Distance!N11:W11/TotalWasteDisposed!N11:W11)</f>
        <v>1.5715490273985798E-2</v>
      </c>
      <c r="AA11" s="5">
        <f t="shared" si="0"/>
        <v>1.1241403450278638E-2</v>
      </c>
      <c r="AB11" s="5">
        <f t="shared" si="1"/>
        <v>4.363642306661931</v>
      </c>
      <c r="AC11" s="5">
        <f t="shared" si="2"/>
        <v>4.3861251135624881</v>
      </c>
    </row>
    <row r="12" spans="1:31" x14ac:dyDescent="0.3">
      <c r="A12" s="23">
        <v>9</v>
      </c>
      <c r="B12" s="30">
        <v>8306.4487789999803</v>
      </c>
      <c r="C12" s="30">
        <v>8343.2535889999708</v>
      </c>
      <c r="D12" s="30">
        <v>8321.6345139999703</v>
      </c>
      <c r="E12" s="30">
        <v>8323.4149159999797</v>
      </c>
      <c r="F12" s="30">
        <v>8318.4420739999787</v>
      </c>
      <c r="G12" s="30">
        <v>8332.3208249999807</v>
      </c>
      <c r="H12" s="30">
        <v>8363.50980599996</v>
      </c>
      <c r="I12" s="30">
        <v>8318.0084539999807</v>
      </c>
      <c r="J12" s="30">
        <v>8270.0132849999791</v>
      </c>
      <c r="K12" s="31">
        <v>8273.0309779999807</v>
      </c>
      <c r="L12" s="4"/>
      <c r="M12" s="23">
        <v>9</v>
      </c>
      <c r="N12" s="30">
        <v>989.18755699999792</v>
      </c>
      <c r="O12" s="30">
        <v>993.44038499999692</v>
      </c>
      <c r="P12" s="30">
        <v>998.68418799999802</v>
      </c>
      <c r="Q12" s="30">
        <v>994.98984599999801</v>
      </c>
      <c r="R12" s="30">
        <v>998.26469999999699</v>
      </c>
      <c r="S12" s="30">
        <v>994.21315299999901</v>
      </c>
      <c r="T12" s="30">
        <v>999.40916599999707</v>
      </c>
      <c r="U12" s="30">
        <v>937.462807</v>
      </c>
      <c r="V12" s="30">
        <v>993.44038499999692</v>
      </c>
      <c r="W12" s="31">
        <v>993.09173799999701</v>
      </c>
      <c r="Y12" s="6">
        <f t="array" ref="Y12">AVERAGE(B12:K12/TotalWasteDisposed!B12:K12-Distance!N12:W12/TotalWasteDisposed!N12:W12)</f>
        <v>4.3619334614078191</v>
      </c>
      <c r="Z12" s="5">
        <f t="array" ref="Z12">_xlfn.STDEV.S(B12:K12/TotalWasteDisposed!B12:K12-Distance!N12:W12/TotalWasteDisposed!N12:W12)</f>
        <v>2.8713662189996679E-2</v>
      </c>
      <c r="AA12" s="5">
        <f t="shared" si="0"/>
        <v>2.0539089496117848E-2</v>
      </c>
      <c r="AB12" s="5">
        <f t="shared" si="1"/>
        <v>4.3413943719117016</v>
      </c>
      <c r="AC12" s="5">
        <f t="shared" si="2"/>
        <v>4.3824725509039366</v>
      </c>
    </row>
    <row r="13" spans="1:31" x14ac:dyDescent="0.3">
      <c r="A13" s="23">
        <v>10</v>
      </c>
      <c r="B13" s="30">
        <v>6546.1298339999594</v>
      </c>
      <c r="C13" s="30">
        <v>6551.6732519999605</v>
      </c>
      <c r="D13" s="30">
        <v>6551.3021599999602</v>
      </c>
      <c r="E13" s="30">
        <v>6541.8042519999708</v>
      </c>
      <c r="F13" s="30">
        <v>6551.7412759999597</v>
      </c>
      <c r="G13" s="30">
        <v>6552.8526389999597</v>
      </c>
      <c r="H13" s="30">
        <v>6567.9314899999699</v>
      </c>
      <c r="I13" s="30">
        <v>6553.3676839999607</v>
      </c>
      <c r="J13" s="30">
        <v>6546.2918939999599</v>
      </c>
      <c r="K13" s="31">
        <v>6553.5791209999607</v>
      </c>
      <c r="L13" s="4"/>
      <c r="M13" s="23">
        <v>10</v>
      </c>
      <c r="N13" s="30">
        <v>2107.327222999998</v>
      </c>
      <c r="O13" s="30">
        <v>2016.8228589999999</v>
      </c>
      <c r="P13" s="30">
        <v>2104.7733969999967</v>
      </c>
      <c r="Q13" s="30">
        <v>2108.5494409999974</v>
      </c>
      <c r="R13" s="30">
        <v>2074.595680999998</v>
      </c>
      <c r="S13" s="30">
        <v>2075.2115539999982</v>
      </c>
      <c r="T13" s="30">
        <v>2103.4204169999985</v>
      </c>
      <c r="U13" s="30">
        <v>2083.1623759999993</v>
      </c>
      <c r="V13" s="30">
        <v>2076.1420199999989</v>
      </c>
      <c r="W13" s="31">
        <v>2069.9791169999999</v>
      </c>
      <c r="Y13" s="6">
        <f t="array" ref="Y13">AVERAGE(B13:K13/TotalWasteDisposed!B13:K13-Distance!N13:W13/TotalWasteDisposed!N13:W13)</f>
        <v>2.6454692662042349</v>
      </c>
      <c r="Z13" s="5">
        <f t="array" ref="Z13">_xlfn.STDEV.S(B13:K13/TotalWasteDisposed!B13:K13-Distance!N13:W13/TotalWasteDisposed!N13:W13)</f>
        <v>2.2615740971096896E-2</v>
      </c>
      <c r="AA13" s="5">
        <f t="shared" si="0"/>
        <v>1.6177202502166515E-2</v>
      </c>
      <c r="AB13" s="5">
        <f t="shared" si="1"/>
        <v>2.6292920637020685</v>
      </c>
      <c r="AC13" s="5">
        <f t="shared" si="2"/>
        <v>2.6616464687064014</v>
      </c>
    </row>
    <row r="14" spans="1:31" x14ac:dyDescent="0.3">
      <c r="A14" s="23">
        <v>11</v>
      </c>
      <c r="B14" s="30">
        <v>6571.9023699999607</v>
      </c>
      <c r="C14" s="30">
        <v>6538.30811299996</v>
      </c>
      <c r="D14" s="30">
        <v>6541.4324849999603</v>
      </c>
      <c r="E14" s="30">
        <v>6557.1503039999598</v>
      </c>
      <c r="F14" s="30">
        <v>6533.1289769999703</v>
      </c>
      <c r="G14" s="30">
        <v>6542.0173469999609</v>
      </c>
      <c r="H14" s="30">
        <v>6576.3664819999603</v>
      </c>
      <c r="I14" s="30">
        <v>6564.87229199996</v>
      </c>
      <c r="J14" s="30">
        <v>6533.4426239999602</v>
      </c>
      <c r="K14" s="31">
        <v>6547.5643979999604</v>
      </c>
      <c r="L14" s="4"/>
      <c r="M14" s="23">
        <v>11</v>
      </c>
      <c r="N14" s="30">
        <v>2078.3514619999992</v>
      </c>
      <c r="O14" s="30">
        <v>2076.7291640000003</v>
      </c>
      <c r="P14" s="30">
        <v>2086.0610369999972</v>
      </c>
      <c r="Q14" s="30">
        <v>2066.630558999997</v>
      </c>
      <c r="R14" s="30">
        <v>2076.4030699999989</v>
      </c>
      <c r="S14" s="30">
        <v>2081.286979999998</v>
      </c>
      <c r="T14" s="30">
        <v>2106.060477999999</v>
      </c>
      <c r="U14" s="30">
        <v>2075.6173949999989</v>
      </c>
      <c r="V14" s="30">
        <v>2041.3050899999978</v>
      </c>
      <c r="W14" s="31">
        <v>2071.5173670000004</v>
      </c>
      <c r="Y14" s="6">
        <f t="array" ref="Y14">AVERAGE(B14:K14/TotalWasteDisposed!B14:K14-Distance!N14:W14/TotalWasteDisposed!N14:W14)</f>
        <v>2.6573753783311398</v>
      </c>
      <c r="Z14" s="5">
        <f t="array" ref="Z14">_xlfn.STDEV.S(B14:K14/TotalWasteDisposed!B14:K14-Distance!N14:W14/TotalWasteDisposed!N14:W14)</f>
        <v>1.9377896356613401E-2</v>
      </c>
      <c r="AA14" s="5">
        <f t="shared" si="0"/>
        <v>1.3861148915154269E-2</v>
      </c>
      <c r="AB14" s="5">
        <f t="shared" si="1"/>
        <v>2.6435142294159855</v>
      </c>
      <c r="AC14" s="5">
        <f t="shared" si="2"/>
        <v>2.6712365272462941</v>
      </c>
    </row>
    <row r="15" spans="1:31" x14ac:dyDescent="0.3">
      <c r="A15" s="23">
        <v>12</v>
      </c>
      <c r="B15" s="30">
        <v>6556.3270839999595</v>
      </c>
      <c r="C15" s="30">
        <v>6551.9749469999597</v>
      </c>
      <c r="D15" s="30">
        <v>6535.7042379999602</v>
      </c>
      <c r="E15" s="30">
        <v>6552.17980299996</v>
      </c>
      <c r="F15" s="30">
        <v>6529.9578139999603</v>
      </c>
      <c r="G15" s="30">
        <v>6566.17237999996</v>
      </c>
      <c r="H15" s="30">
        <v>6544.9442079999599</v>
      </c>
      <c r="I15" s="30">
        <v>6566.0921639999597</v>
      </c>
      <c r="J15" s="30">
        <v>6555.6501429999598</v>
      </c>
      <c r="K15" s="31">
        <v>6560.0170109999708</v>
      </c>
      <c r="L15" s="4"/>
      <c r="M15" s="23">
        <v>12</v>
      </c>
      <c r="N15" s="30">
        <v>2083.259526999997</v>
      </c>
      <c r="O15" s="30">
        <v>2105.8766479999981</v>
      </c>
      <c r="P15" s="30">
        <v>2071.1869909999991</v>
      </c>
      <c r="Q15" s="30">
        <v>2065.2099039999989</v>
      </c>
      <c r="R15" s="30">
        <v>2018.0631829999988</v>
      </c>
      <c r="S15" s="30">
        <v>2067.3208849999996</v>
      </c>
      <c r="T15" s="30">
        <v>2107.990609999998</v>
      </c>
      <c r="U15" s="30">
        <v>2084.43388</v>
      </c>
      <c r="V15" s="30">
        <v>2067.323957999999</v>
      </c>
      <c r="W15" s="31">
        <v>2071.3532959999975</v>
      </c>
      <c r="Y15" s="6">
        <f t="array" ref="Y15">AVERAGE(B15:K15/TotalWasteDisposed!B15:K15-Distance!N15:W15/TotalWasteDisposed!N15:W15)</f>
        <v>2.6499339737269572</v>
      </c>
      <c r="Z15" s="5">
        <f t="array" ref="Z15">_xlfn.STDEV.S(B15:K15/TotalWasteDisposed!B15:K15-Distance!N15:W15/TotalWasteDisposed!N15:W15)</f>
        <v>3.2184403033898759E-2</v>
      </c>
      <c r="AA15" s="5">
        <f t="shared" si="0"/>
        <v>2.3021735434453471E-2</v>
      </c>
      <c r="AB15" s="5">
        <f t="shared" si="1"/>
        <v>2.6269122382925039</v>
      </c>
      <c r="AC15" s="5">
        <f t="shared" si="2"/>
        <v>2.6729557091614105</v>
      </c>
    </row>
    <row r="16" spans="1:31" x14ac:dyDescent="0.3">
      <c r="A16" s="23">
        <v>13</v>
      </c>
      <c r="B16" s="30">
        <v>6545.0829829999602</v>
      </c>
      <c r="C16" s="30">
        <v>6567.9949899999592</v>
      </c>
      <c r="D16" s="30">
        <v>6563.7622689999598</v>
      </c>
      <c r="E16" s="30">
        <v>6543.3035249999593</v>
      </c>
      <c r="F16" s="30">
        <v>6561.20159099997</v>
      </c>
      <c r="G16" s="30">
        <v>6547.4260919999597</v>
      </c>
      <c r="H16" s="30">
        <v>6556.141137999959</v>
      </c>
      <c r="I16" s="30">
        <v>6555.9305139999597</v>
      </c>
      <c r="J16" s="30">
        <v>6563.6805679999597</v>
      </c>
      <c r="K16" s="31">
        <v>6549.28520199996</v>
      </c>
      <c r="L16" s="4"/>
      <c r="M16" s="23">
        <v>13</v>
      </c>
      <c r="N16" s="30">
        <v>2081.3932829999981</v>
      </c>
      <c r="O16" s="30">
        <v>2087.3432519999992</v>
      </c>
      <c r="P16" s="30">
        <v>2102.9357239999977</v>
      </c>
      <c r="Q16" s="30">
        <v>2098.3579329999989</v>
      </c>
      <c r="R16" s="30">
        <v>2082.8988910000003</v>
      </c>
      <c r="S16" s="30">
        <v>2073.960204999999</v>
      </c>
      <c r="T16" s="30">
        <v>2108.3367089999988</v>
      </c>
      <c r="U16" s="30">
        <v>2082.4274899999982</v>
      </c>
      <c r="V16" s="30">
        <v>2036.0153289999992</v>
      </c>
      <c r="W16" s="31">
        <v>2085.5118440000001</v>
      </c>
      <c r="Y16" s="6">
        <f t="array" ref="Y16">AVERAGE(B16:K16/TotalWasteDisposed!B16:K16-Distance!N16:W16/TotalWasteDisposed!N16:W16)</f>
        <v>2.6519125649795714</v>
      </c>
      <c r="Z16" s="5">
        <f t="array" ref="Z16">_xlfn.STDEV.S(B16:K16/TotalWasteDisposed!B16:K16-Distance!N16:W16/TotalWasteDisposed!N16:W16)</f>
        <v>1.2351910475471576E-2</v>
      </c>
      <c r="AA16" s="5">
        <f t="shared" si="0"/>
        <v>8.835410579989678E-3</v>
      </c>
      <c r="AB16" s="5">
        <f t="shared" si="1"/>
        <v>2.6430771543995819</v>
      </c>
      <c r="AC16" s="5">
        <f t="shared" si="2"/>
        <v>2.6607479755595609</v>
      </c>
    </row>
    <row r="17" spans="1:29" x14ac:dyDescent="0.3">
      <c r="A17" s="23">
        <v>14</v>
      </c>
      <c r="B17" s="30">
        <v>6531.4193649999597</v>
      </c>
      <c r="C17" s="30">
        <v>6572.4575449999602</v>
      </c>
      <c r="D17" s="30">
        <v>6567.4292129999603</v>
      </c>
      <c r="E17" s="30">
        <v>6547.6578889999601</v>
      </c>
      <c r="F17" s="30">
        <v>6554.9360479999596</v>
      </c>
      <c r="G17" s="30">
        <v>6564.1292999999605</v>
      </c>
      <c r="H17" s="30">
        <v>6557.8903979999595</v>
      </c>
      <c r="I17" s="30">
        <v>6577.7953359999601</v>
      </c>
      <c r="J17" s="30">
        <v>6559.2551429999603</v>
      </c>
      <c r="K17" s="31">
        <v>6547.9314549999608</v>
      </c>
      <c r="L17" s="4"/>
      <c r="M17" s="23">
        <v>14</v>
      </c>
      <c r="N17" s="30">
        <v>2098.4532969999987</v>
      </c>
      <c r="O17" s="30">
        <v>2081.5674029999977</v>
      </c>
      <c r="P17" s="30">
        <v>2046.9600709999982</v>
      </c>
      <c r="Q17" s="30">
        <v>2069.4036829999991</v>
      </c>
      <c r="R17" s="30">
        <v>2067.2665369999982</v>
      </c>
      <c r="S17" s="30">
        <v>2020.919777999999</v>
      </c>
      <c r="T17" s="30">
        <v>2042.331707999999</v>
      </c>
      <c r="U17" s="30">
        <v>2098.4637179999982</v>
      </c>
      <c r="V17" s="30">
        <v>2050.0227339999992</v>
      </c>
      <c r="W17" s="31">
        <v>2086.6324939999981</v>
      </c>
      <c r="Y17" s="6">
        <f t="array" ref="Y17">AVERAGE(B17:K17/TotalWasteDisposed!B17:K17-Distance!N17:W17/TotalWasteDisposed!N17:W17)</f>
        <v>2.6625493329754959</v>
      </c>
      <c r="Z17" s="5">
        <f t="array" ref="Z17">_xlfn.STDEV.S(B17:K17/TotalWasteDisposed!B17:K17-Distance!N17:W17/TotalWasteDisposed!N17:W17)</f>
        <v>1.8968880999559918E-2</v>
      </c>
      <c r="AA17" s="5">
        <f t="shared" si="0"/>
        <v>1.3568577282590633E-2</v>
      </c>
      <c r="AB17" s="5">
        <f t="shared" si="1"/>
        <v>2.6489807556929055</v>
      </c>
      <c r="AC17" s="5">
        <f t="shared" si="2"/>
        <v>2.6761179102580863</v>
      </c>
    </row>
    <row r="18" spans="1:29" x14ac:dyDescent="0.3">
      <c r="A18" s="23">
        <v>15</v>
      </c>
      <c r="B18" s="30">
        <v>6561.8657469999598</v>
      </c>
      <c r="C18" s="30">
        <v>6551.1909839999607</v>
      </c>
      <c r="D18" s="30">
        <v>6553.6785129999607</v>
      </c>
      <c r="E18" s="30">
        <v>6562.4944229999592</v>
      </c>
      <c r="F18" s="30">
        <v>6580.1058379999595</v>
      </c>
      <c r="G18" s="30">
        <v>6543.4086449999595</v>
      </c>
      <c r="H18" s="30">
        <v>6559.9662659999613</v>
      </c>
      <c r="I18" s="30">
        <v>6543.2839019999601</v>
      </c>
      <c r="J18" s="30">
        <v>6556.2520099999601</v>
      </c>
      <c r="K18" s="31">
        <v>6556.4956459999594</v>
      </c>
      <c r="L18" s="4"/>
      <c r="M18" s="23">
        <v>15</v>
      </c>
      <c r="N18" s="30">
        <v>2028.8602996077332</v>
      </c>
      <c r="O18" s="30">
        <v>2074.4444799999983</v>
      </c>
      <c r="P18" s="30">
        <v>2105.7991549999979</v>
      </c>
      <c r="Q18" s="30">
        <v>2038.9852869999982</v>
      </c>
      <c r="R18" s="30">
        <v>2055.2219819999982</v>
      </c>
      <c r="S18" s="30">
        <v>2077.0535709999972</v>
      </c>
      <c r="T18" s="30">
        <v>2068.0597269999989</v>
      </c>
      <c r="U18" s="30">
        <v>2091.9910979999991</v>
      </c>
      <c r="V18" s="30">
        <v>2067.8374169999993</v>
      </c>
      <c r="W18" s="31">
        <v>2044.2021749999981</v>
      </c>
      <c r="Y18" s="6">
        <f t="array" ref="Y18">AVERAGE(B18:K18/TotalWasteDisposed!B18:K18-Distance!N18:W18/TotalWasteDisposed!N18:W18)</f>
        <v>2.6554791166431682</v>
      </c>
      <c r="Z18" s="5">
        <f t="array" ref="Z18">_xlfn.STDEV.S(B18:K18/TotalWasteDisposed!B18:K18-Distance!N18:W18/TotalWasteDisposed!N18:W18)</f>
        <v>1.8699219338294333E-2</v>
      </c>
      <c r="AA18" s="5">
        <f t="shared" si="0"/>
        <v>1.3375686352908553E-2</v>
      </c>
      <c r="AB18" s="5">
        <f t="shared" si="1"/>
        <v>2.6421034302902595</v>
      </c>
      <c r="AC18" s="5">
        <f t="shared" si="2"/>
        <v>2.6688548029960768</v>
      </c>
    </row>
    <row r="19" spans="1:29" x14ac:dyDescent="0.3">
      <c r="A19" s="23">
        <v>16</v>
      </c>
      <c r="B19" s="30">
        <v>6573.8808879999597</v>
      </c>
      <c r="C19" s="30">
        <v>6557.47780899996</v>
      </c>
      <c r="D19" s="30">
        <v>6539.9795489999597</v>
      </c>
      <c r="E19" s="30">
        <v>6580.3064989999602</v>
      </c>
      <c r="F19" s="30">
        <v>6538.2478849999598</v>
      </c>
      <c r="G19" s="30">
        <v>6545.3486989999601</v>
      </c>
      <c r="H19" s="30">
        <v>6566.1689819999601</v>
      </c>
      <c r="I19" s="30">
        <v>6547.8707949999598</v>
      </c>
      <c r="J19" s="30">
        <v>6559.9509419999604</v>
      </c>
      <c r="K19" s="31">
        <v>6538.1025219999701</v>
      </c>
      <c r="L19" s="4"/>
      <c r="M19" s="23">
        <v>16</v>
      </c>
      <c r="N19" s="30">
        <v>2023.2019957889702</v>
      </c>
      <c r="O19" s="30">
        <v>2050.2162699999981</v>
      </c>
      <c r="P19" s="30">
        <v>2101.1864349999987</v>
      </c>
      <c r="Q19" s="30">
        <v>2074.3513339999981</v>
      </c>
      <c r="R19" s="30">
        <v>2083.8911559999992</v>
      </c>
      <c r="S19" s="30">
        <v>2038.2271509999991</v>
      </c>
      <c r="T19" s="30">
        <v>2072.7492479999992</v>
      </c>
      <c r="U19" s="30">
        <v>2100.2617269999969</v>
      </c>
      <c r="V19" s="30">
        <v>2082.5482709999978</v>
      </c>
      <c r="W19" s="31">
        <v>2077.3520359999998</v>
      </c>
      <c r="Y19" s="6">
        <f t="array" ref="Y19">AVERAGE(B19:K19/TotalWasteDisposed!B19:K19-Distance!N19:W19/TotalWasteDisposed!N19:W19)</f>
        <v>2.6639250770015641</v>
      </c>
      <c r="Z19" s="5">
        <f t="array" ref="Z19">_xlfn.STDEV.S(B19:K19/TotalWasteDisposed!B19:K19-Distance!N19:W19/TotalWasteDisposed!N19:W19)</f>
        <v>1.7909680886867708E-2</v>
      </c>
      <c r="AA19" s="5">
        <f t="shared" si="0"/>
        <v>1.2810923808612575E-2</v>
      </c>
      <c r="AB19" s="5">
        <f t="shared" si="1"/>
        <v>2.6511141531929514</v>
      </c>
      <c r="AC19" s="5">
        <f t="shared" si="2"/>
        <v>2.6767360008101768</v>
      </c>
    </row>
    <row r="20" spans="1:29" x14ac:dyDescent="0.3">
      <c r="A20" s="23">
        <v>17</v>
      </c>
      <c r="B20" s="30">
        <v>6577.5556249999599</v>
      </c>
      <c r="C20" s="30">
        <v>6552.0842399999592</v>
      </c>
      <c r="D20" s="30">
        <v>6564.95839599996</v>
      </c>
      <c r="E20" s="30">
        <v>6529.5919389999599</v>
      </c>
      <c r="F20" s="30">
        <v>6560.8833269999595</v>
      </c>
      <c r="G20" s="30">
        <v>6527.1981669999604</v>
      </c>
      <c r="H20" s="30">
        <v>6532.4745079999602</v>
      </c>
      <c r="I20" s="30">
        <v>6562.3356669999603</v>
      </c>
      <c r="J20" s="30">
        <v>6546.1321469999602</v>
      </c>
      <c r="K20" s="31">
        <v>6597.1855559999594</v>
      </c>
      <c r="L20" s="4"/>
      <c r="M20" s="23">
        <v>17</v>
      </c>
      <c r="N20" s="30">
        <v>2050.0955869999998</v>
      </c>
      <c r="O20" s="30">
        <v>2031.7942549999991</v>
      </c>
      <c r="P20" s="30">
        <v>2103.9162429999992</v>
      </c>
      <c r="Q20" s="30">
        <v>2061.7988699999992</v>
      </c>
      <c r="R20" s="30">
        <v>2075.9051859999977</v>
      </c>
      <c r="S20" s="30">
        <v>2039.6657129999992</v>
      </c>
      <c r="T20" s="30">
        <v>2068.2717040000002</v>
      </c>
      <c r="U20" s="30">
        <v>2083.0351969999992</v>
      </c>
      <c r="V20" s="30">
        <v>2112.7595679999981</v>
      </c>
      <c r="W20" s="31">
        <v>2105.362119999998</v>
      </c>
      <c r="Y20" s="6">
        <f t="array" ref="Y20">AVERAGE(B20:K20/TotalWasteDisposed!B20:K20-Distance!N20:W20/TotalWasteDisposed!N20:W20)</f>
        <v>2.6653091948761527</v>
      </c>
      <c r="Z20" s="5">
        <f t="array" ref="Z20">_xlfn.STDEV.S(B20:K20/TotalWasteDisposed!B20:K20-Distance!N20:W20/TotalWasteDisposed!N20:W20)</f>
        <v>1.9247712570349112E-2</v>
      </c>
      <c r="AA20" s="5">
        <f t="shared" si="0"/>
        <v>1.3768027514640013E-2</v>
      </c>
      <c r="AB20" s="5">
        <f t="shared" si="1"/>
        <v>2.6515411673615126</v>
      </c>
      <c r="AC20" s="5">
        <f t="shared" si="2"/>
        <v>2.6790772223907928</v>
      </c>
    </row>
    <row r="21" spans="1:29" x14ac:dyDescent="0.3">
      <c r="A21" s="23">
        <v>18</v>
      </c>
      <c r="B21" s="30">
        <v>6549.7254239999602</v>
      </c>
      <c r="C21" s="30">
        <v>6573.3378079999702</v>
      </c>
      <c r="D21" s="30">
        <v>6566.6877809999596</v>
      </c>
      <c r="E21" s="30">
        <v>6544.0801469999597</v>
      </c>
      <c r="F21" s="30">
        <v>6565.6409889999686</v>
      </c>
      <c r="G21" s="30">
        <v>6578.07232199996</v>
      </c>
      <c r="H21" s="30">
        <v>6555.21572499996</v>
      </c>
      <c r="I21" s="30">
        <v>6551.3279059999595</v>
      </c>
      <c r="J21" s="30">
        <v>6539.7317139999604</v>
      </c>
      <c r="K21" s="31">
        <v>6555.7429259999599</v>
      </c>
      <c r="L21" s="4"/>
      <c r="M21" s="23">
        <v>18</v>
      </c>
      <c r="N21" s="30">
        <v>2033.4926170000001</v>
      </c>
      <c r="O21" s="30">
        <v>2056.2800019999981</v>
      </c>
      <c r="P21" s="30">
        <v>2068.439026999999</v>
      </c>
      <c r="Q21" s="30">
        <v>2102.9539199999999</v>
      </c>
      <c r="R21" s="30">
        <v>2057.2901949999991</v>
      </c>
      <c r="S21" s="30">
        <v>2070.1487039999993</v>
      </c>
      <c r="T21" s="30">
        <v>2101.5211459999991</v>
      </c>
      <c r="U21" s="30">
        <v>2050.0868589999991</v>
      </c>
      <c r="V21" s="30">
        <v>2100.6740099999979</v>
      </c>
      <c r="W21" s="31">
        <v>2064.7853799999993</v>
      </c>
      <c r="Y21" s="6">
        <f t="array" ref="Y21">AVERAGE(B21:K21/TotalWasteDisposed!B21:K21-Distance!N21:W21/TotalWasteDisposed!N21:W21)</f>
        <v>2.6479380707720193</v>
      </c>
      <c r="Z21" s="5">
        <f t="array" ref="Z21">_xlfn.STDEV.S(B21:K21/TotalWasteDisposed!B21:K21-Distance!N21:W21/TotalWasteDisposed!N21:W21)</f>
        <v>1.8457353491735006E-2</v>
      </c>
      <c r="AA21" s="5">
        <f t="shared" si="0"/>
        <v>1.3202677969802793E-2</v>
      </c>
      <c r="AB21" s="5">
        <f t="shared" si="1"/>
        <v>2.6347353928022166</v>
      </c>
      <c r="AC21" s="5">
        <f t="shared" si="2"/>
        <v>2.6611407487418219</v>
      </c>
    </row>
    <row r="22" spans="1:29" x14ac:dyDescent="0.3">
      <c r="A22" s="23">
        <v>19</v>
      </c>
      <c r="B22" s="30">
        <v>6976.8253089999689</v>
      </c>
      <c r="C22" s="30">
        <v>6980.0376509999687</v>
      </c>
      <c r="D22" s="30">
        <v>6981.6569389999795</v>
      </c>
      <c r="E22" s="30">
        <v>6972.5861449999793</v>
      </c>
      <c r="F22" s="30">
        <v>6991.8713929999676</v>
      </c>
      <c r="G22" s="30">
        <v>6978.2973119999788</v>
      </c>
      <c r="H22" s="30">
        <v>6962.3702919999778</v>
      </c>
      <c r="I22" s="30">
        <v>6971.6236369999688</v>
      </c>
      <c r="J22" s="30">
        <v>6997.6038079999689</v>
      </c>
      <c r="K22" s="31">
        <v>6962.5426579999785</v>
      </c>
      <c r="L22" s="4"/>
      <c r="M22" s="23">
        <v>19</v>
      </c>
      <c r="N22" s="30">
        <v>2840.3923229999973</v>
      </c>
      <c r="O22" s="30">
        <v>2853.6603159999963</v>
      </c>
      <c r="P22" s="30">
        <v>2849.5170689999982</v>
      </c>
      <c r="Q22" s="30">
        <v>2865.729127999994</v>
      </c>
      <c r="R22" s="30">
        <v>2858.0832249999958</v>
      </c>
      <c r="S22" s="30">
        <v>2849.3628029999986</v>
      </c>
      <c r="T22" s="30">
        <v>2830.5778209999967</v>
      </c>
      <c r="U22" s="30">
        <v>2869.1702609999961</v>
      </c>
      <c r="V22" s="30">
        <v>2850.2333449999969</v>
      </c>
      <c r="W22" s="31">
        <v>2837.2864209999971</v>
      </c>
      <c r="Y22" s="6">
        <f t="array" ref="Y22">AVERAGE(B22:K22/TotalWasteDisposed!B22:K22-Distance!N22:W22/TotalWasteDisposed!N22:W22)</f>
        <v>3.3001889266333442</v>
      </c>
      <c r="Z22" s="5">
        <f t="array" ref="Z22">_xlfn.STDEV.S(B22:K22/TotalWasteDisposed!B22:K22-Distance!N22:W22/TotalWasteDisposed!N22:W22)</f>
        <v>1.5087828671213563E-2</v>
      </c>
      <c r="AA22" s="5">
        <f t="shared" si="0"/>
        <v>1.07924325824279E-2</v>
      </c>
      <c r="AB22" s="5">
        <f t="shared" si="1"/>
        <v>3.2893964940509162</v>
      </c>
      <c r="AC22" s="5">
        <f t="shared" si="2"/>
        <v>3.3109813592157722</v>
      </c>
    </row>
    <row r="23" spans="1:29" x14ac:dyDescent="0.3">
      <c r="A23" s="23">
        <v>20</v>
      </c>
      <c r="B23" s="30">
        <v>6986.4667049999789</v>
      </c>
      <c r="C23" s="30">
        <v>6969.3973139999689</v>
      </c>
      <c r="D23" s="30">
        <v>6977.3679369999691</v>
      </c>
      <c r="E23" s="30">
        <v>6983.220186999979</v>
      </c>
      <c r="F23" s="30">
        <v>6978.3204809999697</v>
      </c>
      <c r="G23" s="30">
        <v>6985.7917739999684</v>
      </c>
      <c r="H23" s="30">
        <v>6996.5534339999804</v>
      </c>
      <c r="I23" s="30">
        <v>6962.9595829999798</v>
      </c>
      <c r="J23" s="30">
        <v>7009.6221229999792</v>
      </c>
      <c r="K23" s="31">
        <v>6961.9349629999797</v>
      </c>
      <c r="L23" s="4"/>
      <c r="M23" s="23">
        <v>20</v>
      </c>
      <c r="N23" s="30">
        <v>2865.9142679999968</v>
      </c>
      <c r="O23" s="30">
        <v>2822.8876999999989</v>
      </c>
      <c r="P23" s="30">
        <v>2841.6140069999969</v>
      </c>
      <c r="Q23" s="30">
        <v>2820.888849999998</v>
      </c>
      <c r="R23" s="30">
        <v>2821.3448959999982</v>
      </c>
      <c r="S23" s="30">
        <v>2826.1096539999985</v>
      </c>
      <c r="T23" s="30">
        <v>2816.3602549999978</v>
      </c>
      <c r="U23" s="30">
        <v>2836.5799399999969</v>
      </c>
      <c r="V23" s="30">
        <v>2828.0473289999954</v>
      </c>
      <c r="W23" s="31">
        <v>2841.3611439999972</v>
      </c>
      <c r="Y23" s="6">
        <f t="array" ref="Y23">AVERAGE(B23:K23/TotalWasteDisposed!B23:K23-Distance!N23:W23/TotalWasteDisposed!N23:W23)</f>
        <v>3.2920317805763681</v>
      </c>
      <c r="Z23" s="5">
        <f t="array" ref="Z23">_xlfn.STDEV.S(B23:K23/TotalWasteDisposed!B23:K23-Distance!N23:W23/TotalWasteDisposed!N23:W23)</f>
        <v>2.226886279537026E-2</v>
      </c>
      <c r="AA23" s="5">
        <f t="shared" si="0"/>
        <v>1.5929078043211864E-2</v>
      </c>
      <c r="AB23" s="5">
        <f t="shared" si="1"/>
        <v>3.2761027025331564</v>
      </c>
      <c r="AC23" s="5">
        <f t="shared" si="2"/>
        <v>3.3079608586195799</v>
      </c>
    </row>
    <row r="24" spans="1:29" x14ac:dyDescent="0.3">
      <c r="A24" s="23">
        <v>21</v>
      </c>
      <c r="B24" s="30">
        <v>6982.0305919999792</v>
      </c>
      <c r="C24" s="30">
        <v>6987.8242139999693</v>
      </c>
      <c r="D24" s="30">
        <v>6972.6610649999784</v>
      </c>
      <c r="E24" s="30">
        <v>6967.6591289999787</v>
      </c>
      <c r="F24" s="30">
        <v>6991.7016739999799</v>
      </c>
      <c r="G24" s="30">
        <v>7000.2049739999684</v>
      </c>
      <c r="H24" s="30">
        <v>6954.9967009999691</v>
      </c>
      <c r="I24" s="30">
        <v>6975.3542909999796</v>
      </c>
      <c r="J24" s="30">
        <v>6971.2201429999786</v>
      </c>
      <c r="K24" s="31">
        <v>7003.9474519999794</v>
      </c>
      <c r="L24" s="4"/>
      <c r="M24" s="23">
        <v>21</v>
      </c>
      <c r="N24" s="30">
        <v>2857.9541139999997</v>
      </c>
      <c r="O24" s="30">
        <v>2859.9182769999966</v>
      </c>
      <c r="P24" s="30">
        <v>2822.3616969999966</v>
      </c>
      <c r="Q24" s="30">
        <v>2860.5172019999959</v>
      </c>
      <c r="R24" s="30">
        <v>2832.8785209999969</v>
      </c>
      <c r="S24" s="30">
        <v>2811.8020049999959</v>
      </c>
      <c r="T24" s="30">
        <v>2853.4727009999974</v>
      </c>
      <c r="U24" s="30">
        <v>2832.1733979999967</v>
      </c>
      <c r="V24" s="30">
        <v>2841.7502929999964</v>
      </c>
      <c r="W24" s="31">
        <v>2833.529584999998</v>
      </c>
      <c r="Y24" s="6">
        <f t="array" ref="Y24">AVERAGE(B24:K24/TotalWasteDisposed!B24:K24-Distance!N24:W24/TotalWasteDisposed!N24:W24)</f>
        <v>3.2975561305800212</v>
      </c>
      <c r="Z24" s="5">
        <f t="array" ref="Z24">_xlfn.STDEV.S(B24:K24/TotalWasteDisposed!B24:K24-Distance!N24:W24/TotalWasteDisposed!N24:W24)</f>
        <v>2.5866225247695301E-2</v>
      </c>
      <c r="AA24" s="5">
        <f t="shared" si="0"/>
        <v>1.8502297330580189E-2</v>
      </c>
      <c r="AB24" s="5">
        <f t="shared" si="1"/>
        <v>3.2790538332494408</v>
      </c>
      <c r="AC24" s="5">
        <f t="shared" si="2"/>
        <v>3.3160584279106016</v>
      </c>
    </row>
    <row r="25" spans="1:29" x14ac:dyDescent="0.3">
      <c r="A25" s="23">
        <v>22</v>
      </c>
      <c r="B25" s="30">
        <v>7008.5637399999678</v>
      </c>
      <c r="C25" s="30">
        <v>6995.5235559999692</v>
      </c>
      <c r="D25" s="30">
        <v>6977.1390609999689</v>
      </c>
      <c r="E25" s="30">
        <v>6971.9622999999792</v>
      </c>
      <c r="F25" s="30">
        <v>6964.4178069999789</v>
      </c>
      <c r="G25" s="30">
        <v>6966.003572999979</v>
      </c>
      <c r="H25" s="30">
        <v>6964.1146399999679</v>
      </c>
      <c r="I25" s="30">
        <v>6965.3774569999687</v>
      </c>
      <c r="J25" s="30">
        <v>6986.7454389999784</v>
      </c>
      <c r="K25" s="31">
        <v>6984.0200329999789</v>
      </c>
      <c r="L25" s="4"/>
      <c r="M25" s="23">
        <v>22</v>
      </c>
      <c r="N25" s="30">
        <v>2871.5397659999962</v>
      </c>
      <c r="O25" s="30">
        <v>2859.0020899999968</v>
      </c>
      <c r="P25" s="30">
        <v>2837.9538949999974</v>
      </c>
      <c r="Q25" s="30">
        <v>2853.6232179999979</v>
      </c>
      <c r="R25" s="30">
        <v>2823.2349629999962</v>
      </c>
      <c r="S25" s="30">
        <v>2855.2753639999978</v>
      </c>
      <c r="T25" s="30">
        <v>2835.8014469999966</v>
      </c>
      <c r="U25" s="30">
        <v>2842.7561309999987</v>
      </c>
      <c r="V25" s="30">
        <v>2856.7410789999958</v>
      </c>
      <c r="W25" s="31">
        <v>2841.2578329999983</v>
      </c>
      <c r="Y25" s="6">
        <f t="array" ref="Y25">AVERAGE(B25:K25/TotalWasteDisposed!B25:K25-Distance!N25:W25/TotalWasteDisposed!N25:W25)</f>
        <v>3.3004588684479805</v>
      </c>
      <c r="Z25" s="5">
        <f t="array" ref="Z25">_xlfn.STDEV.S(B25:K25/TotalWasteDisposed!B25:K25-Distance!N25:W25/TotalWasteDisposed!N25:W25)</f>
        <v>1.9936151758666393E-2</v>
      </c>
      <c r="AA25" s="5">
        <f t="shared" si="0"/>
        <v>1.4260473027438776E-2</v>
      </c>
      <c r="AB25" s="5">
        <f t="shared" si="1"/>
        <v>3.2861983954205418</v>
      </c>
      <c r="AC25" s="5">
        <f t="shared" si="2"/>
        <v>3.3147193414754192</v>
      </c>
    </row>
    <row r="26" spans="1:29" x14ac:dyDescent="0.3">
      <c r="A26" s="23">
        <v>23</v>
      </c>
      <c r="B26" s="30">
        <v>6990.8718659999786</v>
      </c>
      <c r="C26" s="30">
        <v>6973.8486019999691</v>
      </c>
      <c r="D26" s="30">
        <v>6976.3871819999786</v>
      </c>
      <c r="E26" s="30">
        <v>6966.5777419999695</v>
      </c>
      <c r="F26" s="30">
        <v>6982.5085489999792</v>
      </c>
      <c r="G26" s="30">
        <v>6993.5874719999683</v>
      </c>
      <c r="H26" s="30">
        <v>6984.156899999979</v>
      </c>
      <c r="I26" s="30">
        <v>7015.1331509999691</v>
      </c>
      <c r="J26" s="30">
        <v>6998.9771369999789</v>
      </c>
      <c r="K26" s="31">
        <v>6986.7702609999697</v>
      </c>
      <c r="L26" s="4"/>
      <c r="M26" s="23">
        <v>23</v>
      </c>
      <c r="N26" s="30">
        <v>2821.4353179999966</v>
      </c>
      <c r="O26" s="30">
        <v>2855.4981859999984</v>
      </c>
      <c r="P26" s="30">
        <v>2842.1952939999942</v>
      </c>
      <c r="Q26" s="30">
        <v>2834.9782759999989</v>
      </c>
      <c r="R26" s="30">
        <v>2854.2697919999973</v>
      </c>
      <c r="S26" s="30">
        <v>2860.7282279999963</v>
      </c>
      <c r="T26" s="30">
        <v>2850.3013569999989</v>
      </c>
      <c r="U26" s="30">
        <v>2848.3481819999965</v>
      </c>
      <c r="V26" s="30">
        <v>2869.7208989999981</v>
      </c>
      <c r="W26" s="31">
        <v>2826.258470999996</v>
      </c>
      <c r="Y26" s="6">
        <f t="array" ref="Y26">AVERAGE(B26:K26/TotalWasteDisposed!B26:K26-Distance!N26:W26/TotalWasteDisposed!N26:W26)</f>
        <v>3.3069814148178396</v>
      </c>
      <c r="Z26" s="5">
        <f t="array" ref="Z26">_xlfn.STDEV.S(B26:K26/TotalWasteDisposed!B26:K26-Distance!N26:W26/TotalWasteDisposed!N26:W26)</f>
        <v>2.3935422708593376E-2</v>
      </c>
      <c r="AA26" s="5">
        <f t="shared" si="0"/>
        <v>1.7121180359587828E-2</v>
      </c>
      <c r="AB26" s="5">
        <f t="shared" si="1"/>
        <v>3.2898602344582519</v>
      </c>
      <c r="AC26" s="5">
        <f t="shared" si="2"/>
        <v>3.3241025951774272</v>
      </c>
    </row>
    <row r="27" spans="1:29" x14ac:dyDescent="0.3">
      <c r="A27" s="23">
        <v>24</v>
      </c>
      <c r="B27" s="30">
        <v>6987.4965829999792</v>
      </c>
      <c r="C27" s="30">
        <v>6956.4429099999688</v>
      </c>
      <c r="D27" s="30">
        <v>6989.4965079999802</v>
      </c>
      <c r="E27" s="30">
        <v>6987.1309929999688</v>
      </c>
      <c r="F27" s="30">
        <v>6988.3016839999791</v>
      </c>
      <c r="G27" s="30">
        <v>6975.2713179999782</v>
      </c>
      <c r="H27" s="30">
        <v>6983.7285569999794</v>
      </c>
      <c r="I27" s="30">
        <v>6975.682612999979</v>
      </c>
      <c r="J27" s="30">
        <v>7003.0470619999796</v>
      </c>
      <c r="K27" s="31">
        <v>6984.2333879999806</v>
      </c>
      <c r="L27" s="4"/>
      <c r="M27" s="23">
        <v>24</v>
      </c>
      <c r="N27" s="30">
        <v>2800.7802959999958</v>
      </c>
      <c r="O27" s="30">
        <v>2839.1832619999959</v>
      </c>
      <c r="P27" s="30">
        <v>2862.8469119999963</v>
      </c>
      <c r="Q27" s="30">
        <v>2850.9166369999975</v>
      </c>
      <c r="R27" s="30">
        <v>2862.6688369999988</v>
      </c>
      <c r="S27" s="30">
        <v>2835.9992399999969</v>
      </c>
      <c r="T27" s="30">
        <v>2843.3734759999975</v>
      </c>
      <c r="U27" s="30">
        <v>2868.4943159999966</v>
      </c>
      <c r="V27" s="30">
        <v>2835.573705999996</v>
      </c>
      <c r="W27" s="31">
        <v>2868.2098329999981</v>
      </c>
      <c r="Y27" s="6">
        <f t="array" ref="Y27">AVERAGE(B27:K27/TotalWasteDisposed!B27:K27-Distance!N27:W27/TotalWasteDisposed!N27:W27)</f>
        <v>3.2963951688422006</v>
      </c>
      <c r="Z27" s="5">
        <f t="array" ref="Z27">_xlfn.STDEV.S(B27:K27/TotalWasteDisposed!B27:K27-Distance!N27:W27/TotalWasteDisposed!N27:W27)</f>
        <v>1.3587081380879601E-2</v>
      </c>
      <c r="AA27" s="5">
        <f t="shared" si="0"/>
        <v>9.7189372301713668E-3</v>
      </c>
      <c r="AB27" s="5">
        <f t="shared" si="1"/>
        <v>3.286676231612029</v>
      </c>
      <c r="AC27" s="5">
        <f t="shared" si="2"/>
        <v>3.3061141060723722</v>
      </c>
    </row>
    <row r="28" spans="1:29" x14ac:dyDescent="0.3">
      <c r="A28" s="23">
        <v>25</v>
      </c>
      <c r="B28" s="30">
        <v>6969.0434859999687</v>
      </c>
      <c r="C28" s="30">
        <v>6993.3681539999689</v>
      </c>
      <c r="D28" s="30">
        <v>6997.9267759999693</v>
      </c>
      <c r="E28" s="30">
        <v>6976.2242549999701</v>
      </c>
      <c r="F28" s="30">
        <v>7004.0141199999689</v>
      </c>
      <c r="G28" s="30">
        <v>6974.7901839999795</v>
      </c>
      <c r="H28" s="30">
        <v>6997.0973339999782</v>
      </c>
      <c r="I28" s="30">
        <v>6966.8549789999779</v>
      </c>
      <c r="J28" s="30">
        <v>6958.3801469999689</v>
      </c>
      <c r="K28" s="31">
        <v>6972.6179719999691</v>
      </c>
      <c r="L28" s="4"/>
      <c r="M28" s="23">
        <v>25</v>
      </c>
      <c r="N28" s="30">
        <v>2841.4673049999983</v>
      </c>
      <c r="O28" s="30">
        <v>2820.1537229999967</v>
      </c>
      <c r="P28" s="30">
        <v>2835.236407999997</v>
      </c>
      <c r="Q28" s="30">
        <v>2842.8364609999967</v>
      </c>
      <c r="R28" s="30">
        <v>2824.1877639999966</v>
      </c>
      <c r="S28" s="30">
        <v>2829.548820999998</v>
      </c>
      <c r="T28" s="30">
        <v>2824.2791089999951</v>
      </c>
      <c r="U28" s="30">
        <v>2820.1878429999965</v>
      </c>
      <c r="V28" s="30">
        <v>2853.9968979999962</v>
      </c>
      <c r="W28" s="31">
        <v>2826.1938589999991</v>
      </c>
      <c r="Y28" s="6">
        <f t="array" ref="Y28">AVERAGE(B28:K28/TotalWasteDisposed!B28:K28-Distance!N28:W28/TotalWasteDisposed!N28:W28)</f>
        <v>3.2968347713694661</v>
      </c>
      <c r="Z28" s="5">
        <f t="array" ref="Z28">_xlfn.STDEV.S(B28:K28/TotalWasteDisposed!B28:K28-Distance!N28:W28/TotalWasteDisposed!N28:W28)</f>
        <v>1.8097274860273297E-2</v>
      </c>
      <c r="AA28" s="5">
        <f t="shared" si="0"/>
        <v>1.2945111129728725E-2</v>
      </c>
      <c r="AB28" s="5">
        <f t="shared" si="1"/>
        <v>3.2838896602397374</v>
      </c>
      <c r="AC28" s="5">
        <f t="shared" si="2"/>
        <v>3.3097798824991949</v>
      </c>
    </row>
    <row r="29" spans="1:29" x14ac:dyDescent="0.3">
      <c r="A29" s="23">
        <v>26</v>
      </c>
      <c r="B29" s="30">
        <v>6994.8770829999694</v>
      </c>
      <c r="C29" s="30">
        <v>6988.2061299999687</v>
      </c>
      <c r="D29" s="30">
        <v>6995.526163999968</v>
      </c>
      <c r="E29" s="30">
        <v>6993.4122509999788</v>
      </c>
      <c r="F29" s="30">
        <v>6991.4491819999785</v>
      </c>
      <c r="G29" s="30">
        <v>6975.4959629999694</v>
      </c>
      <c r="H29" s="30">
        <v>6976.0545749999783</v>
      </c>
      <c r="I29" s="30">
        <v>6984.9453599999797</v>
      </c>
      <c r="J29" s="30">
        <v>6968.4400119999791</v>
      </c>
      <c r="K29" s="31">
        <v>6987.4666819999693</v>
      </c>
      <c r="L29" s="4"/>
      <c r="M29" s="23">
        <v>26</v>
      </c>
      <c r="N29" s="30">
        <v>2823.017120999998</v>
      </c>
      <c r="O29" s="30">
        <v>2849.020188999998</v>
      </c>
      <c r="P29" s="30">
        <v>2848.6850709999972</v>
      </c>
      <c r="Q29" s="30">
        <v>2830.3079009999965</v>
      </c>
      <c r="R29" s="30">
        <v>2828.3763709999962</v>
      </c>
      <c r="S29" s="30">
        <v>2836.0684219999971</v>
      </c>
      <c r="T29" s="30">
        <v>2822.5455869999951</v>
      </c>
      <c r="U29" s="30">
        <v>2843.3961619999964</v>
      </c>
      <c r="V29" s="30">
        <v>2842.8229879999967</v>
      </c>
      <c r="W29" s="31">
        <v>2824.8585519999947</v>
      </c>
      <c r="Y29" s="6">
        <f t="array" ref="Y29">AVERAGE(B29:K29/TotalWasteDisposed!B29:K29-Distance!N29:W29/TotalWasteDisposed!N29:W29)</f>
        <v>3.2943555157631992</v>
      </c>
      <c r="Z29" s="5">
        <f t="array" ref="Z29">_xlfn.STDEV.S(B29:K29/TotalWasteDisposed!B29:K29-Distance!N29:W29/TotalWasteDisposed!N29:W29)</f>
        <v>2.664072644055656E-2</v>
      </c>
      <c r="AA29" s="5">
        <f t="shared" si="0"/>
        <v>1.9056303615454896E-2</v>
      </c>
      <c r="AB29" s="5">
        <f t="shared" si="1"/>
        <v>3.2752992121477442</v>
      </c>
      <c r="AC29" s="5">
        <f t="shared" si="2"/>
        <v>3.3134118193786541</v>
      </c>
    </row>
    <row r="30" spans="1:29" x14ac:dyDescent="0.3">
      <c r="A30" s="23">
        <v>27</v>
      </c>
      <c r="B30" s="30">
        <v>6964.5081649999784</v>
      </c>
      <c r="C30" s="30">
        <v>6969.3229979999687</v>
      </c>
      <c r="D30" s="30">
        <v>7006.5620079999799</v>
      </c>
      <c r="E30" s="30">
        <v>6990.7980059999782</v>
      </c>
      <c r="F30" s="30">
        <v>6971.3331359999793</v>
      </c>
      <c r="G30" s="30">
        <v>6970.2447499999798</v>
      </c>
      <c r="H30" s="30">
        <v>6980.4109909999788</v>
      </c>
      <c r="I30" s="30">
        <v>6981.7283359999683</v>
      </c>
      <c r="J30" s="30">
        <v>6981.196077999979</v>
      </c>
      <c r="K30" s="31">
        <v>6979.4727159999693</v>
      </c>
      <c r="L30" s="4"/>
      <c r="M30" s="23">
        <v>27</v>
      </c>
      <c r="N30" s="30">
        <v>2847.2008309999978</v>
      </c>
      <c r="O30" s="30">
        <v>2843.6352239999969</v>
      </c>
      <c r="P30" s="30">
        <v>2838.6237449999971</v>
      </c>
      <c r="Q30" s="30">
        <v>2849.6402279999947</v>
      </c>
      <c r="R30" s="30">
        <v>2867.6517639999975</v>
      </c>
      <c r="S30" s="30">
        <v>2817.1488669999981</v>
      </c>
      <c r="T30" s="30">
        <v>2836.5573469999958</v>
      </c>
      <c r="U30" s="30">
        <v>2838.4460929999932</v>
      </c>
      <c r="V30" s="30">
        <v>2858.3974659999967</v>
      </c>
      <c r="W30" s="31">
        <v>2848.9355859999969</v>
      </c>
      <c r="Y30" s="6">
        <f t="array" ref="Y30">AVERAGE(B30:K30/TotalWasteDisposed!B30:K30-Distance!N30:W30/TotalWasteDisposed!N30:W30)</f>
        <v>3.2908374661551179</v>
      </c>
      <c r="Z30" s="5">
        <f t="array" ref="Z30">_xlfn.STDEV.S(B30:K30/TotalWasteDisposed!B30:K30-Distance!N30:W30/TotalWasteDisposed!N30:W30)</f>
        <v>2.3649341864069875E-2</v>
      </c>
      <c r="AA30" s="5">
        <f t="shared" si="0"/>
        <v>1.6916544669792741E-2</v>
      </c>
      <c r="AB30" s="5">
        <f t="shared" si="1"/>
        <v>3.2739209214853253</v>
      </c>
      <c r="AC30" s="5">
        <f t="shared" si="2"/>
        <v>3.3077540108249104</v>
      </c>
    </row>
    <row r="31" spans="1:29" x14ac:dyDescent="0.3">
      <c r="A31" s="23">
        <v>28</v>
      </c>
      <c r="B31" s="30">
        <v>8088.4509799999696</v>
      </c>
      <c r="C31" s="30">
        <v>8093.472432999979</v>
      </c>
      <c r="D31" s="30">
        <v>8119.2488199999798</v>
      </c>
      <c r="E31" s="30">
        <v>8128.4422509999804</v>
      </c>
      <c r="F31" s="30">
        <v>8060.6504319999804</v>
      </c>
      <c r="G31" s="30">
        <v>8126.1165109999802</v>
      </c>
      <c r="H31" s="30">
        <v>8126.3046059999806</v>
      </c>
      <c r="I31" s="30">
        <v>8136.1463679999697</v>
      </c>
      <c r="J31" s="30">
        <v>8095.7748009999805</v>
      </c>
      <c r="K31" s="31">
        <v>8125.0439449999903</v>
      </c>
      <c r="L31" s="4"/>
      <c r="M31" s="23">
        <v>28</v>
      </c>
      <c r="N31" s="30">
        <v>1034.6300199999991</v>
      </c>
      <c r="O31" s="30">
        <v>1036.245770999999</v>
      </c>
      <c r="P31" s="30">
        <v>1036.2476749999989</v>
      </c>
      <c r="Q31" s="30">
        <v>1036.2066699999991</v>
      </c>
      <c r="R31" s="30">
        <v>1030.777980999999</v>
      </c>
      <c r="S31" s="30">
        <v>1032.4053359999991</v>
      </c>
      <c r="T31" s="30">
        <v>1034.5311089999991</v>
      </c>
      <c r="U31" s="30">
        <v>1036.994052999999</v>
      </c>
      <c r="V31" s="30">
        <v>1030.6789759999988</v>
      </c>
      <c r="W31" s="31">
        <v>1036.2252569999991</v>
      </c>
      <c r="Y31" s="6">
        <f t="array" ref="Y31">AVERAGE(B31:K31/TotalWasteDisposed!B31:K31-Distance!N31:W31/TotalWasteDisposed!N31:W31)</f>
        <v>4.4856035337958442</v>
      </c>
      <c r="Z31" s="5">
        <f t="array" ref="Z31">_xlfn.STDEV.S(B31:K31/TotalWasteDisposed!B31:K31-Distance!N31:W31/TotalWasteDisposed!N31:W31)</f>
        <v>2.2251851394583386E-2</v>
      </c>
      <c r="AA31" s="5">
        <f t="shared" si="0"/>
        <v>1.5916909665632441E-2</v>
      </c>
      <c r="AB31" s="5">
        <f t="shared" si="1"/>
        <v>4.4696866241302118</v>
      </c>
      <c r="AC31" s="5">
        <f t="shared" si="2"/>
        <v>4.5015204434614766</v>
      </c>
    </row>
    <row r="32" spans="1:29" x14ac:dyDescent="0.3">
      <c r="A32" s="23">
        <v>29</v>
      </c>
      <c r="B32" s="30">
        <v>8089.7154409999803</v>
      </c>
      <c r="C32" s="30">
        <v>8119.6023329999807</v>
      </c>
      <c r="D32" s="30">
        <v>8052.4692779999805</v>
      </c>
      <c r="E32" s="30">
        <v>8126.3183659999904</v>
      </c>
      <c r="F32" s="30">
        <v>8077.5227599999807</v>
      </c>
      <c r="G32" s="30">
        <v>8120.4414409999899</v>
      </c>
      <c r="H32" s="30">
        <v>8113.9516609999791</v>
      </c>
      <c r="I32" s="30">
        <v>8080.9561289999801</v>
      </c>
      <c r="J32" s="30">
        <v>8076.8781369999806</v>
      </c>
      <c r="K32" s="31">
        <v>8066.728539999981</v>
      </c>
      <c r="L32" s="4"/>
      <c r="M32" s="23">
        <v>29</v>
      </c>
      <c r="N32" s="30">
        <v>1032.046881999999</v>
      </c>
      <c r="O32" s="30">
        <v>1036.1038339999991</v>
      </c>
      <c r="P32" s="30">
        <v>1036.592543999998</v>
      </c>
      <c r="Q32" s="30">
        <v>1029.9845139999991</v>
      </c>
      <c r="R32" s="30">
        <v>1036.2252569999991</v>
      </c>
      <c r="S32" s="30">
        <v>1036.2476749999989</v>
      </c>
      <c r="T32" s="30">
        <v>1036.2252569999991</v>
      </c>
      <c r="U32" s="30">
        <v>1032.4053359999991</v>
      </c>
      <c r="V32" s="30">
        <v>1046.5089629999979</v>
      </c>
      <c r="W32" s="31">
        <v>1036.2476749999989</v>
      </c>
      <c r="Y32" s="6">
        <f t="array" ref="Y32">AVERAGE(B32:K32/TotalWasteDisposed!B32:K32-Distance!N32:W32/TotalWasteDisposed!N32:W32)</f>
        <v>4.4693678339585592</v>
      </c>
      <c r="Z32" s="5">
        <f t="array" ref="Z32">_xlfn.STDEV.S(B32:K32/TotalWasteDisposed!B32:K32-Distance!N32:W32/TotalWasteDisposed!N32:W32)</f>
        <v>2.9543504271613785E-2</v>
      </c>
      <c r="AA32" s="5">
        <f t="shared" si="0"/>
        <v>2.1132681517546461E-2</v>
      </c>
      <c r="AB32" s="5">
        <f t="shared" si="1"/>
        <v>4.4482351524410131</v>
      </c>
      <c r="AC32" s="5">
        <f t="shared" si="2"/>
        <v>4.4905005154761053</v>
      </c>
    </row>
    <row r="33" spans="1:29" x14ac:dyDescent="0.3">
      <c r="A33" s="23">
        <v>30</v>
      </c>
      <c r="B33" s="30">
        <v>8085.9351479999805</v>
      </c>
      <c r="C33" s="30">
        <v>8173.238777999979</v>
      </c>
      <c r="D33" s="30">
        <v>8154.7838959999699</v>
      </c>
      <c r="E33" s="30">
        <v>8119.2341039999901</v>
      </c>
      <c r="F33" s="30">
        <v>8162.2689379999802</v>
      </c>
      <c r="G33" s="30">
        <v>8108.3071769999706</v>
      </c>
      <c r="H33" s="30">
        <v>8148.0077389999697</v>
      </c>
      <c r="I33" s="30">
        <v>8099.4291719999801</v>
      </c>
      <c r="J33" s="30">
        <v>8054.2339939999692</v>
      </c>
      <c r="K33" s="31">
        <v>8115.5235599999796</v>
      </c>
      <c r="L33" s="4"/>
      <c r="M33" s="23">
        <v>30</v>
      </c>
      <c r="N33" s="30">
        <v>1034.1418709999989</v>
      </c>
      <c r="O33" s="30">
        <v>1030.8194929999979</v>
      </c>
      <c r="P33" s="30">
        <v>1043.690435999999</v>
      </c>
      <c r="Q33" s="30">
        <v>1036.1262519999989</v>
      </c>
      <c r="R33" s="30">
        <v>1036.994052999999</v>
      </c>
      <c r="S33" s="30">
        <v>1036.2476749999989</v>
      </c>
      <c r="T33" s="30">
        <v>1035.1036029999991</v>
      </c>
      <c r="U33" s="30">
        <v>1038.3734479999989</v>
      </c>
      <c r="V33" s="30">
        <v>1031.7305049999991</v>
      </c>
      <c r="W33" s="31">
        <v>1030.8194929999979</v>
      </c>
      <c r="Y33" s="6">
        <f t="array" ref="Y33">AVERAGE(B33:K33/TotalWasteDisposed!B33:K33-Distance!N33:W33/TotalWasteDisposed!N33:W33)</f>
        <v>4.4928848262169634</v>
      </c>
      <c r="Z33" s="5">
        <f t="array" ref="Z33">_xlfn.STDEV.S(B33:K33/TotalWasteDisposed!B33:K33-Distance!N33:W33/TotalWasteDisposed!N33:W33)</f>
        <v>2.7128076872163492E-2</v>
      </c>
      <c r="AA33" s="5">
        <f t="shared" si="0"/>
        <v>1.9404908891386352E-2</v>
      </c>
      <c r="AB33" s="5">
        <f t="shared" si="1"/>
        <v>4.4734799173255766</v>
      </c>
      <c r="AC33" s="5">
        <f t="shared" si="2"/>
        <v>4.5122897351083502</v>
      </c>
    </row>
    <row r="34" spans="1:29" x14ac:dyDescent="0.3">
      <c r="A34" s="23">
        <v>31</v>
      </c>
      <c r="B34" s="30">
        <v>8169.1741819999797</v>
      </c>
      <c r="C34" s="30">
        <v>8107.0049999999801</v>
      </c>
      <c r="D34" s="30">
        <v>8154.0451269999703</v>
      </c>
      <c r="E34" s="30">
        <v>8131.7782769999812</v>
      </c>
      <c r="F34" s="30">
        <v>8047.2460439999695</v>
      </c>
      <c r="G34" s="30">
        <v>8129.1700959999698</v>
      </c>
      <c r="H34" s="30">
        <v>8071.09800299997</v>
      </c>
      <c r="I34" s="30">
        <v>8187.6634169999597</v>
      </c>
      <c r="J34" s="30">
        <v>8061.9978139999794</v>
      </c>
      <c r="K34" s="31">
        <v>8159.7116849999893</v>
      </c>
      <c r="L34" s="4"/>
      <c r="M34" s="23">
        <v>31</v>
      </c>
      <c r="N34" s="30">
        <v>1032.4053359999991</v>
      </c>
      <c r="O34" s="30">
        <v>1030.1157029999981</v>
      </c>
      <c r="P34" s="30">
        <v>1035.819410999999</v>
      </c>
      <c r="Q34" s="30">
        <v>1035.5728439999989</v>
      </c>
      <c r="R34" s="30">
        <v>1038.3734479999989</v>
      </c>
      <c r="S34" s="30">
        <v>1036.2476749999989</v>
      </c>
      <c r="T34" s="30">
        <v>1035.5728439999989</v>
      </c>
      <c r="U34" s="30">
        <v>1036.2252569999991</v>
      </c>
      <c r="V34" s="30">
        <v>1036.391677999997</v>
      </c>
      <c r="W34" s="31">
        <v>1045.719869999999</v>
      </c>
      <c r="Y34" s="6">
        <f t="array" ref="Y34">AVERAGE(B34:K34/TotalWasteDisposed!B34:K34-Distance!N34:W34/TotalWasteDisposed!N34:W34)</f>
        <v>4.4869546829589471</v>
      </c>
      <c r="Z34" s="5">
        <f t="array" ref="Z34">_xlfn.STDEV.S(B34:K34/TotalWasteDisposed!B34:K34-Distance!N34:W34/TotalWasteDisposed!N34:W34)</f>
        <v>4.5894287778286094E-2</v>
      </c>
      <c r="AA34" s="5">
        <f t="shared" si="0"/>
        <v>3.2828514795552613E-2</v>
      </c>
      <c r="AB34" s="5">
        <f t="shared" si="1"/>
        <v>4.4541261681633948</v>
      </c>
      <c r="AC34" s="5">
        <f t="shared" si="2"/>
        <v>4.5197831977544993</v>
      </c>
    </row>
    <row r="35" spans="1:29" x14ac:dyDescent="0.3">
      <c r="A35" s="23">
        <v>32</v>
      </c>
      <c r="B35" s="30">
        <v>8162.5858439999902</v>
      </c>
      <c r="C35" s="30">
        <v>8145.9101499999697</v>
      </c>
      <c r="D35" s="30">
        <v>8136.9002369999798</v>
      </c>
      <c r="E35" s="30">
        <v>8115.6999819999701</v>
      </c>
      <c r="F35" s="30">
        <v>8087.6063159999794</v>
      </c>
      <c r="G35" s="30">
        <v>8108.9819529999804</v>
      </c>
      <c r="H35" s="30">
        <v>8141.3270809999804</v>
      </c>
      <c r="I35" s="30">
        <v>8065.5307809999704</v>
      </c>
      <c r="J35" s="30">
        <v>8119.6639579999701</v>
      </c>
      <c r="K35" s="31">
        <v>8117.0261739999796</v>
      </c>
      <c r="L35" s="4"/>
      <c r="M35" s="23">
        <v>32</v>
      </c>
      <c r="N35" s="30">
        <v>1036.245770999999</v>
      </c>
      <c r="O35" s="30">
        <v>1030.8194929999979</v>
      </c>
      <c r="P35" s="30">
        <v>1036.245770999999</v>
      </c>
      <c r="Q35" s="30">
        <v>1035.619197999999</v>
      </c>
      <c r="R35" s="30">
        <v>1035.373143999999</v>
      </c>
      <c r="S35" s="30">
        <v>1037.8544369999991</v>
      </c>
      <c r="T35" s="30">
        <v>1030.4399149999988</v>
      </c>
      <c r="U35" s="30">
        <v>1031.7305049999991</v>
      </c>
      <c r="V35" s="30">
        <v>1036.2476749999989</v>
      </c>
      <c r="W35" s="31">
        <v>1036.2476749999989</v>
      </c>
      <c r="Y35" s="6">
        <f t="array" ref="Y35">AVERAGE(B35:K35/TotalWasteDisposed!B35:K35-Distance!N35:W35/TotalWasteDisposed!N35:W35)</f>
        <v>4.4954150978547895</v>
      </c>
      <c r="Z35" s="5">
        <f t="array" ref="Z35">_xlfn.STDEV.S(B35:K35/TotalWasteDisposed!B35:K35-Distance!N35:W35/TotalWasteDisposed!N35:W35)</f>
        <v>2.2474648608199217E-2</v>
      </c>
      <c r="AA35" s="5">
        <f t="shared" si="0"/>
        <v>1.6076278118171226E-2</v>
      </c>
      <c r="AB35" s="5">
        <f t="shared" si="1"/>
        <v>4.4793388197366184</v>
      </c>
      <c r="AC35" s="5">
        <f t="shared" si="2"/>
        <v>4.5114913759729607</v>
      </c>
    </row>
    <row r="36" spans="1:29" x14ac:dyDescent="0.3">
      <c r="A36" s="23">
        <v>33</v>
      </c>
      <c r="B36" s="30">
        <v>8103.1437989999795</v>
      </c>
      <c r="C36" s="30">
        <v>8092.7410239999799</v>
      </c>
      <c r="D36" s="30">
        <v>8060.4158149999803</v>
      </c>
      <c r="E36" s="30">
        <v>8171.8757799999703</v>
      </c>
      <c r="F36" s="30">
        <v>8124.9733119999801</v>
      </c>
      <c r="G36" s="30">
        <v>8123.3387549999798</v>
      </c>
      <c r="H36" s="30">
        <v>8159.6484449999807</v>
      </c>
      <c r="I36" s="30">
        <v>8103.5011949999698</v>
      </c>
      <c r="J36" s="30">
        <v>8127.93054999998</v>
      </c>
      <c r="K36" s="31">
        <v>8078.8033889999706</v>
      </c>
      <c r="L36" s="4"/>
      <c r="M36" s="23">
        <v>33</v>
      </c>
      <c r="N36" s="30">
        <v>1036.2476749999989</v>
      </c>
      <c r="O36" s="30">
        <v>1046.5108669999979</v>
      </c>
      <c r="P36" s="30">
        <v>1035.5728439999989</v>
      </c>
      <c r="Q36" s="30">
        <v>1036.2476749999989</v>
      </c>
      <c r="R36" s="30">
        <v>1032.3643309999991</v>
      </c>
      <c r="S36" s="30">
        <v>1036.994052999999</v>
      </c>
      <c r="T36" s="30">
        <v>1042.1912089999992</v>
      </c>
      <c r="U36" s="30">
        <v>1044.711794999999</v>
      </c>
      <c r="V36" s="30">
        <v>1036.2476749999989</v>
      </c>
      <c r="W36" s="31">
        <v>1036.2066699999991</v>
      </c>
      <c r="Y36" s="6">
        <f t="array" ref="Y36">AVERAGE(B36:K36/TotalWasteDisposed!B36:K36-Distance!N36:W36/TotalWasteDisposed!N36:W36)</f>
        <v>4.4766373622467466</v>
      </c>
      <c r="Z36" s="5">
        <f t="array" ref="Z36">_xlfn.STDEV.S(B36:K36/TotalWasteDisposed!B36:K36-Distance!N36:W36/TotalWasteDisposed!N36:W36)</f>
        <v>3.4083549199937897E-2</v>
      </c>
      <c r="AA36" s="5">
        <f t="shared" si="0"/>
        <v>2.4380208373655083E-2</v>
      </c>
      <c r="AB36" s="5">
        <f t="shared" si="1"/>
        <v>4.4522571538730915</v>
      </c>
      <c r="AC36" s="5">
        <f t="shared" si="2"/>
        <v>4.5010175706204016</v>
      </c>
    </row>
    <row r="37" spans="1:29" x14ac:dyDescent="0.3">
      <c r="A37" s="23">
        <v>34</v>
      </c>
      <c r="B37" s="30">
        <v>8099.4576989999705</v>
      </c>
      <c r="C37" s="30">
        <v>8116.8557889999702</v>
      </c>
      <c r="D37" s="30">
        <v>8115.2595279999596</v>
      </c>
      <c r="E37" s="30">
        <v>8132.1335389999704</v>
      </c>
      <c r="F37" s="30">
        <v>8139.6120939999801</v>
      </c>
      <c r="G37" s="30">
        <v>8127.3225069999698</v>
      </c>
      <c r="H37" s="30">
        <v>8139.6491159999696</v>
      </c>
      <c r="I37" s="30">
        <v>8159.9947379999794</v>
      </c>
      <c r="J37" s="30">
        <v>8075.67964999998</v>
      </c>
      <c r="K37" s="31">
        <v>8119.4512429999804</v>
      </c>
      <c r="L37" s="4"/>
      <c r="M37" s="23">
        <v>34</v>
      </c>
      <c r="N37" s="30">
        <v>1036.1262519999989</v>
      </c>
      <c r="O37" s="30">
        <v>1036.2476749999989</v>
      </c>
      <c r="P37" s="30">
        <v>1036.2476749999989</v>
      </c>
      <c r="Q37" s="30">
        <v>1035.671816999999</v>
      </c>
      <c r="R37" s="30">
        <v>1036.2476749999989</v>
      </c>
      <c r="S37" s="30">
        <v>1035.4566779999991</v>
      </c>
      <c r="T37" s="30">
        <v>1032.0837549999981</v>
      </c>
      <c r="U37" s="30">
        <v>1037.2094069999989</v>
      </c>
      <c r="V37" s="30">
        <v>1036.2476749999989</v>
      </c>
      <c r="W37" s="31">
        <v>1034.5311089999991</v>
      </c>
      <c r="Y37" s="6">
        <f t="array" ref="Y37">AVERAGE(B37:K37/TotalWasteDisposed!B37:K37-Distance!N37:W37/TotalWasteDisposed!N37:W37)</f>
        <v>4.4957341738746806</v>
      </c>
      <c r="Z37" s="5">
        <f t="array" ref="Z37">_xlfn.STDEV.S(B37:K37/TotalWasteDisposed!B37:K37-Distance!N37:W37/TotalWasteDisposed!N37:W37)</f>
        <v>3.1249138400430806E-2</v>
      </c>
      <c r="AA37" s="5">
        <f t="shared" si="0"/>
        <v>2.2352733901934072E-2</v>
      </c>
      <c r="AB37" s="5">
        <f t="shared" si="1"/>
        <v>4.4733814399727461</v>
      </c>
      <c r="AC37" s="5">
        <f t="shared" si="2"/>
        <v>4.518086907776615</v>
      </c>
    </row>
    <row r="38" spans="1:29" x14ac:dyDescent="0.3">
      <c r="A38" s="23">
        <v>35</v>
      </c>
      <c r="B38" s="30">
        <v>8110.1682079999791</v>
      </c>
      <c r="C38" s="30">
        <v>8127.5467399999707</v>
      </c>
      <c r="D38" s="30">
        <v>8074.5187849999802</v>
      </c>
      <c r="E38" s="30">
        <v>8087.0321359999698</v>
      </c>
      <c r="F38" s="30">
        <v>8137.0070789999891</v>
      </c>
      <c r="G38" s="30">
        <v>8134.3945809999695</v>
      </c>
      <c r="H38" s="30">
        <v>8126.2260509999887</v>
      </c>
      <c r="I38" s="30">
        <v>8101.3670929999898</v>
      </c>
      <c r="J38" s="30">
        <v>8083.140611999981</v>
      </c>
      <c r="K38" s="31">
        <v>8130.1823609999792</v>
      </c>
      <c r="L38" s="4"/>
      <c r="M38" s="23">
        <v>35</v>
      </c>
      <c r="N38" s="30">
        <v>1036.2476749999989</v>
      </c>
      <c r="O38" s="30">
        <v>1034.450506999998</v>
      </c>
      <c r="P38" s="30">
        <v>1035.5728439999989</v>
      </c>
      <c r="Q38" s="30">
        <v>1030.482301999999</v>
      </c>
      <c r="R38" s="30">
        <v>1038.3734479999989</v>
      </c>
      <c r="S38" s="30">
        <v>1036.2476749999989</v>
      </c>
      <c r="T38" s="30">
        <v>1030.8194929999979</v>
      </c>
      <c r="U38" s="30">
        <v>1046.5108669999979</v>
      </c>
      <c r="V38" s="30">
        <v>1035.5728439999989</v>
      </c>
      <c r="W38" s="31">
        <v>1036.2476749999989</v>
      </c>
      <c r="Y38" s="6">
        <f t="array" ref="Y38">AVERAGE(B38:K38/TotalWasteDisposed!B38:K38-Distance!N38:W38/TotalWasteDisposed!N38:W38)</f>
        <v>4.4793897390516531</v>
      </c>
      <c r="Z38" s="5">
        <f t="array" ref="Z38">_xlfn.STDEV.S(B38:K38/TotalWasteDisposed!B38:K38-Distance!N38:W38/TotalWasteDisposed!N38:W38)</f>
        <v>2.0711042086259578E-2</v>
      </c>
      <c r="AA38" s="5">
        <f t="shared" si="0"/>
        <v>1.4814757663191621E-2</v>
      </c>
      <c r="AB38" s="5">
        <f t="shared" si="1"/>
        <v>4.4645749813884619</v>
      </c>
      <c r="AC38" s="5">
        <f t="shared" si="2"/>
        <v>4.4942044967148442</v>
      </c>
    </row>
    <row r="39" spans="1:29" x14ac:dyDescent="0.3">
      <c r="A39" s="23">
        <v>36</v>
      </c>
      <c r="B39" s="30">
        <v>8156.9679369999703</v>
      </c>
      <c r="C39" s="30">
        <v>8141.5509139999904</v>
      </c>
      <c r="D39" s="30">
        <v>8152.4953339999702</v>
      </c>
      <c r="E39" s="30">
        <v>8141.0375859999695</v>
      </c>
      <c r="F39" s="30">
        <v>8148.8768639999698</v>
      </c>
      <c r="G39" s="30">
        <v>8115.9788619999808</v>
      </c>
      <c r="H39" s="30">
        <v>8157.0215679999792</v>
      </c>
      <c r="I39" s="30">
        <v>8095.34014999999</v>
      </c>
      <c r="J39" s="30">
        <v>8132.9630319999796</v>
      </c>
      <c r="K39" s="31">
        <v>8071.5101919999697</v>
      </c>
      <c r="L39" s="4"/>
      <c r="M39" s="23">
        <v>36</v>
      </c>
      <c r="N39" s="30">
        <v>1036.2066699999991</v>
      </c>
      <c r="O39" s="30">
        <v>1044.3189129999969</v>
      </c>
      <c r="P39" s="30">
        <v>1036.2476749999989</v>
      </c>
      <c r="Q39" s="30">
        <v>1036.2476749999989</v>
      </c>
      <c r="R39" s="30">
        <v>1036.2476749999989</v>
      </c>
      <c r="S39" s="30">
        <v>1036.2252569999991</v>
      </c>
      <c r="T39" s="30">
        <v>1035.5728439999989</v>
      </c>
      <c r="U39" s="30">
        <v>1031.7800689999981</v>
      </c>
      <c r="V39" s="30">
        <v>1036.2476749999989</v>
      </c>
      <c r="W39" s="31">
        <v>1030.8194929999979</v>
      </c>
      <c r="Y39" s="6">
        <f t="array" ref="Y39">AVERAGE(B39:K39/TotalWasteDisposed!B39:K39-Distance!N39:W39/TotalWasteDisposed!N39:W39)</f>
        <v>4.5040498750792981</v>
      </c>
      <c r="Z39" s="5">
        <f t="array" ref="Z39">_xlfn.STDEV.S(B39:K39/TotalWasteDisposed!B39:K39-Distance!N39:W39/TotalWasteDisposed!N39:W39)</f>
        <v>2.474315413657634E-2</v>
      </c>
      <c r="AA39" s="5">
        <f t="shared" si="0"/>
        <v>1.7698956471126428E-2</v>
      </c>
      <c r="AB39" s="5">
        <f t="shared" si="1"/>
        <v>4.4863509186081716</v>
      </c>
      <c r="AC39" s="5">
        <f t="shared" si="2"/>
        <v>4.5217488315504246</v>
      </c>
    </row>
    <row r="40" spans="1:29" x14ac:dyDescent="0.3">
      <c r="A40" s="23">
        <v>37</v>
      </c>
      <c r="B40" s="30">
        <v>6289.8210319999598</v>
      </c>
      <c r="C40" s="30">
        <v>6267.67852699996</v>
      </c>
      <c r="D40" s="30">
        <v>6285.17718099996</v>
      </c>
      <c r="E40" s="30">
        <v>6260.5981689999599</v>
      </c>
      <c r="F40" s="30">
        <v>6270.9992779999602</v>
      </c>
      <c r="G40" s="30">
        <v>6278.9550859999599</v>
      </c>
      <c r="H40" s="30">
        <v>6279.3515199999592</v>
      </c>
      <c r="I40" s="30">
        <v>6274.9340149999598</v>
      </c>
      <c r="J40" s="30">
        <v>6263.0226019999609</v>
      </c>
      <c r="K40" s="31">
        <v>6272.3707699999595</v>
      </c>
      <c r="L40" s="4"/>
      <c r="M40" s="23">
        <v>37</v>
      </c>
      <c r="N40" s="30">
        <v>2098.873497999999</v>
      </c>
      <c r="O40" s="30">
        <v>2084.170079999999</v>
      </c>
      <c r="P40" s="30">
        <v>2099.2000409999991</v>
      </c>
      <c r="Q40" s="30">
        <v>2113.7642179999989</v>
      </c>
      <c r="R40" s="30">
        <v>2120.2574909999994</v>
      </c>
      <c r="S40" s="30">
        <v>2134.6388149999984</v>
      </c>
      <c r="T40" s="30">
        <v>2109.3041999999982</v>
      </c>
      <c r="U40" s="30">
        <v>2107.7787629999993</v>
      </c>
      <c r="V40" s="30">
        <v>2142.5048209999995</v>
      </c>
      <c r="W40" s="31">
        <v>2096.807448999999</v>
      </c>
      <c r="Y40" s="6">
        <f t="array" ref="Y40">AVERAGE(B40:K40/TotalWasteDisposed!B40:K40-Distance!N40:W40/TotalWasteDisposed!N40:W40)</f>
        <v>2.8138651865629187</v>
      </c>
      <c r="Z40" s="5">
        <f t="array" ref="Z40">_xlfn.STDEV.S(B40:K40/TotalWasteDisposed!B40:K40-Distance!N40:W40/TotalWasteDisposed!N40:W40)</f>
        <v>1.4884479527678371E-2</v>
      </c>
      <c r="AA40" s="5">
        <f t="shared" si="0"/>
        <v>1.0646975474574785E-2</v>
      </c>
      <c r="AB40" s="5">
        <f t="shared" si="1"/>
        <v>2.8032182110883439</v>
      </c>
      <c r="AC40" s="5">
        <f t="shared" si="2"/>
        <v>2.8245121620374936</v>
      </c>
    </row>
    <row r="41" spans="1:29" x14ac:dyDescent="0.3">
      <c r="A41" s="23">
        <v>38</v>
      </c>
      <c r="B41" s="30">
        <v>6273.35413099996</v>
      </c>
      <c r="C41" s="30">
        <v>6265.5078779999603</v>
      </c>
      <c r="D41" s="30">
        <v>6268.9529269999593</v>
      </c>
      <c r="E41" s="30">
        <v>6266.6977119999592</v>
      </c>
      <c r="F41" s="30">
        <v>6267.0415519999606</v>
      </c>
      <c r="G41" s="30">
        <v>6288.9889189999603</v>
      </c>
      <c r="H41" s="30">
        <v>6275.2630199999594</v>
      </c>
      <c r="I41" s="30">
        <v>6265.8717959999594</v>
      </c>
      <c r="J41" s="30">
        <v>6254.6241519999603</v>
      </c>
      <c r="K41" s="31">
        <v>6271.5692519999593</v>
      </c>
      <c r="L41" s="4"/>
      <c r="M41" s="23">
        <v>38</v>
      </c>
      <c r="N41" s="30">
        <v>2095.3158119999989</v>
      </c>
      <c r="O41" s="30">
        <v>2092.5287089999993</v>
      </c>
      <c r="P41" s="30">
        <v>2114.6578369999988</v>
      </c>
      <c r="Q41" s="30">
        <v>2114.211111999999</v>
      </c>
      <c r="R41" s="30">
        <v>2097.2255599999989</v>
      </c>
      <c r="S41" s="30">
        <v>2098.8905559999989</v>
      </c>
      <c r="T41" s="30">
        <v>2100.7592979999981</v>
      </c>
      <c r="U41" s="30">
        <v>2109.1282109999993</v>
      </c>
      <c r="V41" s="30">
        <v>2144.6917179999987</v>
      </c>
      <c r="W41" s="31">
        <v>2152.985032999999</v>
      </c>
      <c r="Y41" s="6">
        <f t="array" ref="Y41">AVERAGE(B41:K41/TotalWasteDisposed!B41:K41-Distance!N41:W41/TotalWasteDisposed!N41:W41)</f>
        <v>2.8083859034985488</v>
      </c>
      <c r="Z41" s="5">
        <f t="array" ref="Z41">_xlfn.STDEV.S(B41:K41/TotalWasteDisposed!B41:K41-Distance!N41:W41/TotalWasteDisposed!N41:W41)</f>
        <v>1.5764476038761785E-2</v>
      </c>
      <c r="AA41" s="5">
        <f t="shared" si="0"/>
        <v>1.1276443320850085E-2</v>
      </c>
      <c r="AB41" s="5">
        <f t="shared" si="1"/>
        <v>2.7971094601776989</v>
      </c>
      <c r="AC41" s="5">
        <f t="shared" si="2"/>
        <v>2.8196623468193986</v>
      </c>
    </row>
    <row r="42" spans="1:29" x14ac:dyDescent="0.3">
      <c r="A42" s="23">
        <v>39</v>
      </c>
      <c r="B42" s="30">
        <v>6288.3075489999592</v>
      </c>
      <c r="C42" s="30">
        <v>6268.9553429999596</v>
      </c>
      <c r="D42" s="30">
        <v>6261.9448239999601</v>
      </c>
      <c r="E42" s="30">
        <v>6247.040907999959</v>
      </c>
      <c r="F42" s="30">
        <v>6272.7776239999603</v>
      </c>
      <c r="G42" s="30">
        <v>6281.3376409999601</v>
      </c>
      <c r="H42" s="30">
        <v>6292.9738469999602</v>
      </c>
      <c r="I42" s="30">
        <v>6289.07064299996</v>
      </c>
      <c r="J42" s="30">
        <v>6260.7888899999598</v>
      </c>
      <c r="K42" s="31">
        <v>6257.865330999959</v>
      </c>
      <c r="L42" s="4"/>
      <c r="M42" s="23">
        <v>39</v>
      </c>
      <c r="N42" s="30">
        <v>2153.7922159999994</v>
      </c>
      <c r="O42" s="30">
        <v>2134.8977619999991</v>
      </c>
      <c r="P42" s="30">
        <v>2108.0156639999991</v>
      </c>
      <c r="Q42" s="30">
        <v>2129.8431929999988</v>
      </c>
      <c r="R42" s="30">
        <v>2143.0315809999993</v>
      </c>
      <c r="S42" s="30">
        <v>2091.739478999998</v>
      </c>
      <c r="T42" s="30">
        <v>2146.4967299999989</v>
      </c>
      <c r="U42" s="30">
        <v>2099.8612979999989</v>
      </c>
      <c r="V42" s="30">
        <v>2143.3850749999992</v>
      </c>
      <c r="W42" s="31">
        <v>2152.269933999999</v>
      </c>
      <c r="Y42" s="6">
        <f t="array" ref="Y42">AVERAGE(B42:K42/TotalWasteDisposed!B42:K42-Distance!N42:W42/TotalWasteDisposed!N42:W42)</f>
        <v>2.8222282270761543</v>
      </c>
      <c r="Z42" s="5">
        <f t="array" ref="Z42">_xlfn.STDEV.S(B42:K42/TotalWasteDisposed!B42:K42-Distance!N42:W42/TotalWasteDisposed!N42:W42)</f>
        <v>1.6577774336683199E-2</v>
      </c>
      <c r="AA42" s="5">
        <f t="shared" si="0"/>
        <v>1.1858201454574585E-2</v>
      </c>
      <c r="AB42" s="5">
        <f t="shared" si="1"/>
        <v>2.8103700256215798</v>
      </c>
      <c r="AC42" s="5">
        <f t="shared" si="2"/>
        <v>2.8340864285307288</v>
      </c>
    </row>
    <row r="43" spans="1:29" x14ac:dyDescent="0.3">
      <c r="A43" s="23">
        <v>40</v>
      </c>
      <c r="B43" s="30">
        <v>6281.0026049999597</v>
      </c>
      <c r="C43" s="30">
        <v>6269.0822519999692</v>
      </c>
      <c r="D43" s="30">
        <v>6287.9998259999602</v>
      </c>
      <c r="E43" s="30">
        <v>6278.6200069999595</v>
      </c>
      <c r="F43" s="30">
        <v>6275.0258029999604</v>
      </c>
      <c r="G43" s="30">
        <v>6267.81010099996</v>
      </c>
      <c r="H43" s="30">
        <v>6267.6138409999594</v>
      </c>
      <c r="I43" s="30">
        <v>6253.55599599996</v>
      </c>
      <c r="J43" s="30">
        <v>6274.0957059999591</v>
      </c>
      <c r="K43" s="31">
        <v>6259.7485069999602</v>
      </c>
      <c r="L43" s="4"/>
      <c r="M43" s="23">
        <v>40</v>
      </c>
      <c r="N43" s="30">
        <v>2155.3752319999994</v>
      </c>
      <c r="O43" s="30">
        <v>2104.7400549999988</v>
      </c>
      <c r="P43" s="30">
        <v>2179.9376949999992</v>
      </c>
      <c r="Q43" s="30">
        <v>2130.484801999999</v>
      </c>
      <c r="R43" s="30">
        <v>2147.1536779999992</v>
      </c>
      <c r="S43" s="30">
        <v>2101.8992869999988</v>
      </c>
      <c r="T43" s="30">
        <v>2146.078907999999</v>
      </c>
      <c r="U43" s="30">
        <v>2114.4196669999978</v>
      </c>
      <c r="V43" s="30">
        <v>2101.7819959999988</v>
      </c>
      <c r="W43" s="31">
        <v>2097.9416399999991</v>
      </c>
      <c r="Y43" s="6">
        <f t="array" ref="Y43">AVERAGE(B43:K43/TotalWasteDisposed!B43:K43-Distance!N43:W43/TotalWasteDisposed!N43:W43)</f>
        <v>2.818467117822129</v>
      </c>
      <c r="Z43" s="5">
        <f t="array" ref="Z43">_xlfn.STDEV.S(B43:K43/TotalWasteDisposed!B43:K43-Distance!N43:W43/TotalWasteDisposed!N43:W43)</f>
        <v>1.724700397977404E-2</v>
      </c>
      <c r="AA43" s="5">
        <f t="shared" si="0"/>
        <v>1.2336906241234869E-2</v>
      </c>
      <c r="AB43" s="5">
        <f t="shared" si="1"/>
        <v>2.8061302115808942</v>
      </c>
      <c r="AC43" s="5">
        <f t="shared" si="2"/>
        <v>2.8308040240633638</v>
      </c>
    </row>
    <row r="44" spans="1:29" x14ac:dyDescent="0.3">
      <c r="A44" s="23">
        <v>41</v>
      </c>
      <c r="B44" s="30">
        <v>6251.2061569999605</v>
      </c>
      <c r="C44" s="30">
        <v>6266.0161019999596</v>
      </c>
      <c r="D44" s="30">
        <v>6258.8327999999601</v>
      </c>
      <c r="E44" s="30">
        <v>6272.3810329999596</v>
      </c>
      <c r="F44" s="30">
        <v>6252.8567859999603</v>
      </c>
      <c r="G44" s="30">
        <v>6268.1541779999607</v>
      </c>
      <c r="H44" s="30">
        <v>6273.5440829999607</v>
      </c>
      <c r="I44" s="30">
        <v>6249.3839949999601</v>
      </c>
      <c r="J44" s="30">
        <v>6278.1051949999601</v>
      </c>
      <c r="K44" s="31">
        <v>6252.6528159999598</v>
      </c>
      <c r="L44" s="4"/>
      <c r="M44" s="23">
        <v>41</v>
      </c>
      <c r="N44" s="30">
        <v>2101.9436669999991</v>
      </c>
      <c r="O44" s="30">
        <v>2112.0348209999979</v>
      </c>
      <c r="P44" s="30">
        <v>2191.7022799999968</v>
      </c>
      <c r="Q44" s="30">
        <v>2147.8829399999977</v>
      </c>
      <c r="R44" s="30">
        <v>2094.7806069999988</v>
      </c>
      <c r="S44" s="30">
        <v>2144.7912989999986</v>
      </c>
      <c r="T44" s="30">
        <v>2134.6388149999984</v>
      </c>
      <c r="U44" s="30">
        <v>2108.0471559999987</v>
      </c>
      <c r="V44" s="30">
        <v>2132.5234729999984</v>
      </c>
      <c r="W44" s="31">
        <v>2159.5142819999992</v>
      </c>
      <c r="Y44" s="6">
        <f t="array" ref="Y44">AVERAGE(B44:K44/TotalWasteDisposed!B44:K44-Distance!N44:W44/TotalWasteDisposed!N44:W44)</f>
        <v>2.806280217112564</v>
      </c>
      <c r="Z44" s="5">
        <f t="array" ref="Z44">_xlfn.STDEV.S(B44:K44/TotalWasteDisposed!B44:K44-Distance!N44:W44/TotalWasteDisposed!N44:W44)</f>
        <v>2.1759108250995758E-2</v>
      </c>
      <c r="AA44" s="5">
        <f t="shared" si="0"/>
        <v>1.5564446943957371E-2</v>
      </c>
      <c r="AB44" s="5">
        <f t="shared" si="1"/>
        <v>2.7907157701686067</v>
      </c>
      <c r="AC44" s="5">
        <f t="shared" si="2"/>
        <v>2.8218446640565213</v>
      </c>
    </row>
    <row r="45" spans="1:29" x14ac:dyDescent="0.3">
      <c r="A45" s="23">
        <v>42</v>
      </c>
      <c r="B45" s="30">
        <v>6283.2583599999598</v>
      </c>
      <c r="C45" s="30">
        <v>6271.2684999999601</v>
      </c>
      <c r="D45" s="30">
        <v>6245.5383779999602</v>
      </c>
      <c r="E45" s="30">
        <v>6272.00764599996</v>
      </c>
      <c r="F45" s="30">
        <v>6282.2748849999598</v>
      </c>
      <c r="G45" s="30">
        <v>6274.523829999961</v>
      </c>
      <c r="H45" s="30">
        <v>6260.4247679999607</v>
      </c>
      <c r="I45" s="30">
        <v>6283.51022499996</v>
      </c>
      <c r="J45" s="30">
        <v>6277.3593679999594</v>
      </c>
      <c r="K45" s="31">
        <v>6255.1426629999596</v>
      </c>
      <c r="L45" s="4"/>
      <c r="M45" s="23">
        <v>42</v>
      </c>
      <c r="N45" s="30">
        <v>2110.4077499999994</v>
      </c>
      <c r="O45" s="30">
        <v>2131.6332789999988</v>
      </c>
      <c r="P45" s="30">
        <v>2137.2816759999978</v>
      </c>
      <c r="Q45" s="30">
        <v>2130.2067479999992</v>
      </c>
      <c r="R45" s="30">
        <v>2101.5145549999988</v>
      </c>
      <c r="S45" s="30">
        <v>2091.576286999999</v>
      </c>
      <c r="T45" s="30">
        <v>2144.3989049999991</v>
      </c>
      <c r="U45" s="30">
        <v>2150.1918469999991</v>
      </c>
      <c r="V45" s="30">
        <v>2167.9450629999983</v>
      </c>
      <c r="W45" s="31">
        <v>2181.7772029999992</v>
      </c>
      <c r="Y45" s="6">
        <f t="array" ref="Y45">AVERAGE(B45:K45/TotalWasteDisposed!B45:K45-Distance!N45:W45/TotalWasteDisposed!N45:W45)</f>
        <v>2.8210908823047927</v>
      </c>
      <c r="Z45" s="5">
        <f t="array" ref="Z45">_xlfn.STDEV.S(B45:K45/TotalWasteDisposed!B45:K45-Distance!N45:W45/TotalWasteDisposed!N45:W45)</f>
        <v>1.4654915607421447E-2</v>
      </c>
      <c r="AA45" s="5">
        <f t="shared" si="0"/>
        <v>1.0482766748009796E-2</v>
      </c>
      <c r="AB45" s="5">
        <f t="shared" si="1"/>
        <v>2.810608115556783</v>
      </c>
      <c r="AC45" s="5">
        <f t="shared" si="2"/>
        <v>2.8315736490528023</v>
      </c>
    </row>
    <row r="46" spans="1:29" x14ac:dyDescent="0.3">
      <c r="A46" s="23">
        <v>43</v>
      </c>
      <c r="B46" s="30">
        <v>6255.7711029999591</v>
      </c>
      <c r="C46" s="30">
        <v>6266.0108829999599</v>
      </c>
      <c r="D46" s="30">
        <v>6255.2762029999594</v>
      </c>
      <c r="E46" s="30">
        <v>6269.1034139999601</v>
      </c>
      <c r="F46" s="30">
        <v>6289.12561799996</v>
      </c>
      <c r="G46" s="30">
        <v>6275.68533999996</v>
      </c>
      <c r="H46" s="30">
        <v>6269.7055249999594</v>
      </c>
      <c r="I46" s="30">
        <v>6275.8592329999601</v>
      </c>
      <c r="J46" s="30">
        <v>6277.8279179999608</v>
      </c>
      <c r="K46" s="31">
        <v>6268.0236879999593</v>
      </c>
      <c r="L46" s="4"/>
      <c r="M46" s="23">
        <v>43</v>
      </c>
      <c r="N46" s="30">
        <v>2119.8328279999992</v>
      </c>
      <c r="O46" s="30">
        <v>2098.8647549999987</v>
      </c>
      <c r="P46" s="30">
        <v>2102.1666849999988</v>
      </c>
      <c r="Q46" s="30">
        <v>2103.1381359999982</v>
      </c>
      <c r="R46" s="30">
        <v>2106.8552909999989</v>
      </c>
      <c r="S46" s="30">
        <v>2093.4085079999991</v>
      </c>
      <c r="T46" s="30">
        <v>2169.9495999999981</v>
      </c>
      <c r="U46" s="30">
        <v>2133.5820029999991</v>
      </c>
      <c r="V46" s="30">
        <v>2133.7284339999978</v>
      </c>
      <c r="W46" s="31">
        <v>2091.701086999999</v>
      </c>
      <c r="Y46" s="6">
        <f t="array" ref="Y46">AVERAGE(B46:K46/TotalWasteDisposed!B46:K46-Distance!N46:W46/TotalWasteDisposed!N46:W46)</f>
        <v>2.8123504465328724</v>
      </c>
      <c r="Z46" s="5">
        <f t="array" ref="Z46">_xlfn.STDEV.S(B46:K46/TotalWasteDisposed!B46:K46-Distance!N46:W46/TotalWasteDisposed!N46:W46)</f>
        <v>1.9572428413814218E-2</v>
      </c>
      <c r="AA46" s="5">
        <f t="shared" si="0"/>
        <v>1.4000299097610042E-2</v>
      </c>
      <c r="AB46" s="5">
        <f t="shared" si="1"/>
        <v>2.7983501474352623</v>
      </c>
      <c r="AC46" s="5">
        <f t="shared" si="2"/>
        <v>2.8263507456304824</v>
      </c>
    </row>
    <row r="47" spans="1:29" x14ac:dyDescent="0.3">
      <c r="A47" s="23">
        <v>44</v>
      </c>
      <c r="B47" s="30">
        <v>6285.7883339999598</v>
      </c>
      <c r="C47" s="30">
        <v>6286.8185249999606</v>
      </c>
      <c r="D47" s="30">
        <v>6234.9161929999591</v>
      </c>
      <c r="E47" s="30">
        <v>6268.9266369999605</v>
      </c>
      <c r="F47" s="30">
        <v>6278.0640589999603</v>
      </c>
      <c r="G47" s="30">
        <v>6267.7816659999608</v>
      </c>
      <c r="H47" s="30">
        <v>6249.2100789999604</v>
      </c>
      <c r="I47" s="30">
        <v>6260.9622159999599</v>
      </c>
      <c r="J47" s="30">
        <v>6280.4329379999599</v>
      </c>
      <c r="K47" s="31">
        <v>6272.4800769999601</v>
      </c>
      <c r="L47" s="4"/>
      <c r="M47" s="23">
        <v>44</v>
      </c>
      <c r="N47" s="30">
        <v>2099.7331689999992</v>
      </c>
      <c r="O47" s="30">
        <v>2113.8029839999999</v>
      </c>
      <c r="P47" s="30">
        <v>2096.7412159999994</v>
      </c>
      <c r="Q47" s="30">
        <v>2099.8003539999986</v>
      </c>
      <c r="R47" s="30">
        <v>2096.2388789999991</v>
      </c>
      <c r="S47" s="30">
        <v>2110.6722179999988</v>
      </c>
      <c r="T47" s="30">
        <v>2147.0679889999992</v>
      </c>
      <c r="U47" s="30">
        <v>2135.9912879999993</v>
      </c>
      <c r="V47" s="30">
        <v>2106.983976999998</v>
      </c>
      <c r="W47" s="31">
        <v>2144.4790059999987</v>
      </c>
      <c r="Y47" s="6">
        <f t="array" ref="Y47">AVERAGE(B47:K47/TotalWasteDisposed!B47:K47-Distance!N47:W47/TotalWasteDisposed!N47:W47)</f>
        <v>2.8103234452534336</v>
      </c>
      <c r="Z47" s="5">
        <f t="array" ref="Z47">_xlfn.STDEV.S(B47:K47/TotalWasteDisposed!B47:K47-Distance!N47:W47/TotalWasteDisposed!N47:W47)</f>
        <v>1.8486451399173633E-2</v>
      </c>
      <c r="AA47" s="5">
        <f t="shared" si="0"/>
        <v>1.3223491912694407E-2</v>
      </c>
      <c r="AB47" s="5">
        <f t="shared" si="1"/>
        <v>2.797099953340739</v>
      </c>
      <c r="AC47" s="5">
        <f t="shared" si="2"/>
        <v>2.8235469371661281</v>
      </c>
    </row>
    <row r="48" spans="1:29" x14ac:dyDescent="0.3">
      <c r="A48" s="23">
        <v>45</v>
      </c>
      <c r="B48" s="30">
        <v>6285.6406659999602</v>
      </c>
      <c r="C48" s="30">
        <v>6281.1496109999607</v>
      </c>
      <c r="D48" s="30">
        <v>6264.8920359999602</v>
      </c>
      <c r="E48" s="30">
        <v>6262.4746719999603</v>
      </c>
      <c r="F48" s="30">
        <v>6279.2011999999595</v>
      </c>
      <c r="G48" s="30">
        <v>6277.9977289999588</v>
      </c>
      <c r="H48" s="30">
        <v>6265.2085189999598</v>
      </c>
      <c r="I48" s="30">
        <v>6269.32735399996</v>
      </c>
      <c r="J48" s="30">
        <v>6270.4942809999602</v>
      </c>
      <c r="K48" s="31">
        <v>6263.9538419999599</v>
      </c>
      <c r="L48" s="4"/>
      <c r="M48" s="23">
        <v>45</v>
      </c>
      <c r="N48" s="30">
        <v>2094.6959359999987</v>
      </c>
      <c r="O48" s="30">
        <v>2097.4226579999986</v>
      </c>
      <c r="P48" s="30">
        <v>2106.243465999999</v>
      </c>
      <c r="Q48" s="30">
        <v>2112.3463019999995</v>
      </c>
      <c r="R48" s="30">
        <v>2148.2338369999989</v>
      </c>
      <c r="S48" s="30">
        <v>2101.4129709999988</v>
      </c>
      <c r="T48" s="30">
        <v>2103.2141709999987</v>
      </c>
      <c r="U48" s="30">
        <v>2101.890625999999</v>
      </c>
      <c r="V48" s="30">
        <v>2102.0567199999991</v>
      </c>
      <c r="W48" s="31">
        <v>2135.0146069999978</v>
      </c>
      <c r="Y48" s="6">
        <f t="array" ref="Y48">AVERAGE(B48:K48/TotalWasteDisposed!B48:K48-Distance!N48:W48/TotalWasteDisposed!N48:W48)</f>
        <v>2.8164544897923767</v>
      </c>
      <c r="Z48" s="5">
        <f t="array" ref="Z48">_xlfn.STDEV.S(B48:K48/TotalWasteDisposed!B48:K48-Distance!N48:W48/TotalWasteDisposed!N48:W48)</f>
        <v>1.3568231917370131E-2</v>
      </c>
      <c r="AA48" s="5">
        <f t="shared" si="0"/>
        <v>9.705454073080046E-3</v>
      </c>
      <c r="AB48" s="5">
        <f t="shared" si="1"/>
        <v>2.8067490357192968</v>
      </c>
      <c r="AC48" s="5">
        <f t="shared" si="2"/>
        <v>2.8261599438654565</v>
      </c>
    </row>
    <row r="49" spans="1:29" x14ac:dyDescent="0.3">
      <c r="A49" s="23">
        <v>46</v>
      </c>
      <c r="B49" s="30">
        <v>6869.9034309999788</v>
      </c>
      <c r="C49" s="30">
        <v>6866.8639049999783</v>
      </c>
      <c r="D49" s="30">
        <v>6876.4737049999794</v>
      </c>
      <c r="E49" s="30">
        <v>6871.3573519999791</v>
      </c>
      <c r="F49" s="30">
        <v>6886.6268129999698</v>
      </c>
      <c r="G49" s="30">
        <v>6877.7140499999787</v>
      </c>
      <c r="H49" s="30">
        <v>6867.1579949999787</v>
      </c>
      <c r="I49" s="30">
        <v>6879.5724899999777</v>
      </c>
      <c r="J49" s="30">
        <v>6885.5264329999791</v>
      </c>
      <c r="K49" s="31">
        <v>6880.031090999968</v>
      </c>
      <c r="L49" s="4"/>
      <c r="M49" s="23">
        <v>46</v>
      </c>
      <c r="N49" s="30">
        <v>2982.9410849999963</v>
      </c>
      <c r="O49" s="30">
        <v>2970.1015259999958</v>
      </c>
      <c r="P49" s="30">
        <v>3013.5238509999963</v>
      </c>
      <c r="Q49" s="30">
        <v>2999.0103949999971</v>
      </c>
      <c r="R49" s="30">
        <v>2996.0394989999972</v>
      </c>
      <c r="S49" s="30">
        <v>3022.0952679999964</v>
      </c>
      <c r="T49" s="30">
        <v>3010.7679739999985</v>
      </c>
      <c r="U49" s="30">
        <v>3001.3936319999993</v>
      </c>
      <c r="V49" s="30">
        <v>3003.5877949999954</v>
      </c>
      <c r="W49" s="31">
        <v>3005.6530599999978</v>
      </c>
      <c r="Y49" s="6">
        <f t="array" ref="Y49">AVERAGE(B49:K49/TotalWasteDisposed!B49:K49-Distance!N49:W49/TotalWasteDisposed!N49:W49)</f>
        <v>3.6151868379217502</v>
      </c>
      <c r="Z49" s="5">
        <f t="array" ref="Z49">_xlfn.STDEV.S(B49:K49/TotalWasteDisposed!B49:K49-Distance!N49:W49/TotalWasteDisposed!N49:W49)</f>
        <v>1.6870741966431332E-2</v>
      </c>
      <c r="AA49" s="5">
        <f t="shared" si="0"/>
        <v>1.2067763311472057E-2</v>
      </c>
      <c r="AB49" s="5">
        <f t="shared" si="1"/>
        <v>3.6031190746102784</v>
      </c>
      <c r="AC49" s="5">
        <f t="shared" si="2"/>
        <v>3.6272546012332221</v>
      </c>
    </row>
    <row r="50" spans="1:29" x14ac:dyDescent="0.3">
      <c r="A50" s="23">
        <v>47</v>
      </c>
      <c r="B50" s="30">
        <v>6875.7339439999787</v>
      </c>
      <c r="C50" s="30">
        <v>6868.6652529999792</v>
      </c>
      <c r="D50" s="30">
        <v>6873.2726639999782</v>
      </c>
      <c r="E50" s="30">
        <v>6884.28866499998</v>
      </c>
      <c r="F50" s="30">
        <v>6881.6636899999785</v>
      </c>
      <c r="G50" s="30">
        <v>6879.3814659999789</v>
      </c>
      <c r="H50" s="30">
        <v>6885.1205969999792</v>
      </c>
      <c r="I50" s="30">
        <v>6883.5660529999786</v>
      </c>
      <c r="J50" s="30">
        <v>6870.2327339999774</v>
      </c>
      <c r="K50" s="31">
        <v>6880.6734049999695</v>
      </c>
      <c r="L50" s="4"/>
      <c r="M50" s="23">
        <v>47</v>
      </c>
      <c r="N50" s="30">
        <v>2994.8430699999963</v>
      </c>
      <c r="O50" s="30">
        <v>3029.2404519999973</v>
      </c>
      <c r="P50" s="30">
        <v>3011.6151969999955</v>
      </c>
      <c r="Q50" s="30">
        <v>3004.063933999998</v>
      </c>
      <c r="R50" s="30">
        <v>3001.4512309999977</v>
      </c>
      <c r="S50" s="30">
        <v>3009.1471449999981</v>
      </c>
      <c r="T50" s="30">
        <v>3053.8778759999982</v>
      </c>
      <c r="U50" s="30">
        <v>3003.3540989999979</v>
      </c>
      <c r="V50" s="30">
        <v>2989.725216999997</v>
      </c>
      <c r="W50" s="31">
        <v>3012.9394969999953</v>
      </c>
      <c r="Y50" s="6">
        <f t="array" ref="Y50">AVERAGE(B50:K50/TotalWasteDisposed!B50:K50-Distance!N50:W50/TotalWasteDisposed!N50:W50)</f>
        <v>3.6138543331855741</v>
      </c>
      <c r="Z50" s="5">
        <f t="array" ref="Z50">_xlfn.STDEV.S(B50:K50/TotalWasteDisposed!B50:K50-Distance!N50:W50/TotalWasteDisposed!N50:W50)</f>
        <v>1.5206151604608059E-2</v>
      </c>
      <c r="AA50" s="5">
        <f t="shared" si="0"/>
        <v>1.0877069829406427E-2</v>
      </c>
      <c r="AB50" s="5">
        <f t="shared" si="1"/>
        <v>3.6029772633561676</v>
      </c>
      <c r="AC50" s="5">
        <f t="shared" si="2"/>
        <v>3.6247314030149806</v>
      </c>
    </row>
    <row r="51" spans="1:29" x14ac:dyDescent="0.3">
      <c r="A51" s="23">
        <v>48</v>
      </c>
      <c r="B51" s="30">
        <v>6881.2662979999805</v>
      </c>
      <c r="C51" s="30">
        <v>6877.5899969999691</v>
      </c>
      <c r="D51" s="30">
        <v>6874.1126049999784</v>
      </c>
      <c r="E51" s="30">
        <v>6868.8390319999799</v>
      </c>
      <c r="F51" s="30">
        <v>6879.4646439999788</v>
      </c>
      <c r="G51" s="30">
        <v>6875.40449299998</v>
      </c>
      <c r="H51" s="30">
        <v>6876.2931309999694</v>
      </c>
      <c r="I51" s="30">
        <v>6868.2053239999786</v>
      </c>
      <c r="J51" s="30">
        <v>6870.1566639999792</v>
      </c>
      <c r="K51" s="31">
        <v>6876.4528629999786</v>
      </c>
      <c r="L51" s="4"/>
      <c r="M51" s="23">
        <v>48</v>
      </c>
      <c r="N51" s="30">
        <v>2987.3620629999982</v>
      </c>
      <c r="O51" s="30">
        <v>3009.0039419999971</v>
      </c>
      <c r="P51" s="30">
        <v>2980.0791489999983</v>
      </c>
      <c r="Q51" s="30">
        <v>2971.6089769999971</v>
      </c>
      <c r="R51" s="30">
        <v>2997.170366999997</v>
      </c>
      <c r="S51" s="30">
        <v>2989.6605749999967</v>
      </c>
      <c r="T51" s="30">
        <v>3007.1874559999965</v>
      </c>
      <c r="U51" s="30">
        <v>2996.1718389999978</v>
      </c>
      <c r="V51" s="30">
        <v>2974.2568429999965</v>
      </c>
      <c r="W51" s="31">
        <v>2995.7846699999959</v>
      </c>
      <c r="Y51" s="6">
        <f t="array" ref="Y51">AVERAGE(B51:K51/TotalWasteDisposed!B51:K51-Distance!N51:W51/TotalWasteDisposed!N51:W51)</f>
        <v>3.6236847645986772</v>
      </c>
      <c r="Z51" s="5">
        <f t="array" ref="Z51">_xlfn.STDEV.S(B51:K51/TotalWasteDisposed!B51:K51-Distance!N51:W51/TotalWasteDisposed!N51:W51)</f>
        <v>1.1727497933165741E-2</v>
      </c>
      <c r="AA51" s="5">
        <f t="shared" si="0"/>
        <v>8.3887637885056588E-3</v>
      </c>
      <c r="AB51" s="5">
        <f t="shared" si="1"/>
        <v>3.6152960008101713</v>
      </c>
      <c r="AC51" s="5">
        <f t="shared" si="2"/>
        <v>3.632073528387183</v>
      </c>
    </row>
    <row r="52" spans="1:29" x14ac:dyDescent="0.3">
      <c r="A52" s="23">
        <v>49</v>
      </c>
      <c r="B52" s="30">
        <v>6871.3066209999688</v>
      </c>
      <c r="C52" s="30">
        <v>6856.3283559999691</v>
      </c>
      <c r="D52" s="30">
        <v>6872.0572189999784</v>
      </c>
      <c r="E52" s="30">
        <v>6870.5753679999789</v>
      </c>
      <c r="F52" s="30">
        <v>6878.1968819999802</v>
      </c>
      <c r="G52" s="30">
        <v>6870.0581909999783</v>
      </c>
      <c r="H52" s="30">
        <v>6858.3791829999691</v>
      </c>
      <c r="I52" s="30">
        <v>6872.759528999979</v>
      </c>
      <c r="J52" s="30">
        <v>6875.6434119999794</v>
      </c>
      <c r="K52" s="31">
        <v>6875.6012559999799</v>
      </c>
      <c r="L52" s="4"/>
      <c r="M52" s="23">
        <v>49</v>
      </c>
      <c r="N52" s="30">
        <v>2974.3375129999968</v>
      </c>
      <c r="O52" s="30">
        <v>2996.4120939999984</v>
      </c>
      <c r="P52" s="30">
        <v>2940.044724999997</v>
      </c>
      <c r="Q52" s="30">
        <v>3001.3982159999969</v>
      </c>
      <c r="R52" s="30">
        <v>3003.3008229999973</v>
      </c>
      <c r="S52" s="30">
        <v>2976.6025979999963</v>
      </c>
      <c r="T52" s="30">
        <v>2980.5662129999973</v>
      </c>
      <c r="U52" s="30">
        <v>2980.354992999999</v>
      </c>
      <c r="V52" s="30">
        <v>2996.1544069999982</v>
      </c>
      <c r="W52" s="31">
        <v>2971.583545999998</v>
      </c>
      <c r="Y52" s="6">
        <f t="array" ref="Y52">AVERAGE(B52:K52/TotalWasteDisposed!B52:K52-Distance!N52:W52/TotalWasteDisposed!N52:W52)</f>
        <v>3.6281336346249753</v>
      </c>
      <c r="Z52" s="5">
        <f t="array" ref="Z52">_xlfn.STDEV.S(B52:K52/TotalWasteDisposed!B52:K52-Distance!N52:W52/TotalWasteDisposed!N52:W52)</f>
        <v>1.4240025784467305E-2</v>
      </c>
      <c r="AA52" s="5">
        <f t="shared" si="0"/>
        <v>1.0185993067651731E-2</v>
      </c>
      <c r="AB52" s="5">
        <f t="shared" si="1"/>
        <v>3.6179476415573237</v>
      </c>
      <c r="AC52" s="5">
        <f t="shared" si="2"/>
        <v>3.6383196276926268</v>
      </c>
    </row>
    <row r="53" spans="1:29" x14ac:dyDescent="0.3">
      <c r="A53" s="23">
        <v>50</v>
      </c>
      <c r="B53" s="30">
        <v>6881.0377909999788</v>
      </c>
      <c r="C53" s="30">
        <v>6879.9440029999787</v>
      </c>
      <c r="D53" s="30">
        <v>6873.1283079999694</v>
      </c>
      <c r="E53" s="30">
        <v>6886.403186999979</v>
      </c>
      <c r="F53" s="30">
        <v>6876.0354769999703</v>
      </c>
      <c r="G53" s="30">
        <v>6876.3019859999695</v>
      </c>
      <c r="H53" s="30">
        <v>6886.8221999999796</v>
      </c>
      <c r="I53" s="30">
        <v>6879.8505419999792</v>
      </c>
      <c r="J53" s="30">
        <v>6872.383805999978</v>
      </c>
      <c r="K53" s="31">
        <v>6875.5080429999789</v>
      </c>
      <c r="L53" s="4"/>
      <c r="M53" s="23">
        <v>50</v>
      </c>
      <c r="N53" s="30">
        <v>2985.0758069999974</v>
      </c>
      <c r="O53" s="30">
        <v>2996.2999699999973</v>
      </c>
      <c r="P53" s="30">
        <v>3002.2767899999967</v>
      </c>
      <c r="Q53" s="30">
        <v>2973.6338999999962</v>
      </c>
      <c r="R53" s="30">
        <v>2990.5877079999964</v>
      </c>
      <c r="S53" s="30">
        <v>2978.7850099999982</v>
      </c>
      <c r="T53" s="30">
        <v>3001.357142999997</v>
      </c>
      <c r="U53" s="30">
        <v>2997.0025359999972</v>
      </c>
      <c r="V53" s="30">
        <v>2983.0340419999975</v>
      </c>
      <c r="W53" s="31">
        <v>3009.3897089999959</v>
      </c>
      <c r="Y53" s="6">
        <f t="array" ref="Y53">AVERAGE(B53:K53/TotalWasteDisposed!B53:K53-Distance!N53:W53/TotalWasteDisposed!N53:W53)</f>
        <v>3.6269063983513421</v>
      </c>
      <c r="Z53" s="5">
        <f t="array" ref="Z53">_xlfn.STDEV.S(B53:K53/TotalWasteDisposed!B53:K53-Distance!N53:W53/TotalWasteDisposed!N53:W53)</f>
        <v>1.2845344203983981E-2</v>
      </c>
      <c r="AA53" s="5">
        <f t="shared" si="0"/>
        <v>9.1883672820382983E-3</v>
      </c>
      <c r="AB53" s="5">
        <f t="shared" si="1"/>
        <v>3.617718031069304</v>
      </c>
      <c r="AC53" s="5">
        <f t="shared" si="2"/>
        <v>3.6360947656333802</v>
      </c>
    </row>
    <row r="54" spans="1:29" x14ac:dyDescent="0.3">
      <c r="A54" s="23">
        <v>51</v>
      </c>
      <c r="B54" s="30">
        <v>6867.0722179999793</v>
      </c>
      <c r="C54" s="30">
        <v>6868.955966999978</v>
      </c>
      <c r="D54" s="30">
        <v>6868.5589999999793</v>
      </c>
      <c r="E54" s="30">
        <v>6877.3382949999786</v>
      </c>
      <c r="F54" s="30">
        <v>6881.710536999979</v>
      </c>
      <c r="G54" s="30">
        <v>6879.0844079999797</v>
      </c>
      <c r="H54" s="30">
        <v>6878.75784999998</v>
      </c>
      <c r="I54" s="30">
        <v>6867.763026999979</v>
      </c>
      <c r="J54" s="30">
        <v>6885.2151689999682</v>
      </c>
      <c r="K54" s="31">
        <v>6876.1769989999784</v>
      </c>
      <c r="L54" s="4"/>
      <c r="M54" s="23">
        <v>51</v>
      </c>
      <c r="N54" s="30">
        <v>3022.5589019999957</v>
      </c>
      <c r="O54" s="30">
        <v>2995.3741189999978</v>
      </c>
      <c r="P54" s="30">
        <v>3002.1631689999967</v>
      </c>
      <c r="Q54" s="30">
        <v>2987.5804909999979</v>
      </c>
      <c r="R54" s="30">
        <v>2945.8387849999967</v>
      </c>
      <c r="S54" s="30">
        <v>2994.6056809999959</v>
      </c>
      <c r="T54" s="30">
        <v>2953.5881049999971</v>
      </c>
      <c r="U54" s="30">
        <v>2995.3519289999986</v>
      </c>
      <c r="V54" s="30">
        <v>2986.2259819999958</v>
      </c>
      <c r="W54" s="31">
        <v>2995.0369719999976</v>
      </c>
      <c r="Y54" s="6">
        <f t="array" ref="Y54">AVERAGE(B54:K54/TotalWasteDisposed!B54:K54-Distance!N54:W54/TotalWasteDisposed!N54:W54)</f>
        <v>3.6245380686286901</v>
      </c>
      <c r="Z54" s="5">
        <f t="array" ref="Z54">_xlfn.STDEV.S(B54:K54/TotalWasteDisposed!B54:K54-Distance!N54:W54/TotalWasteDisposed!N54:W54)</f>
        <v>1.9377195115397872E-2</v>
      </c>
      <c r="AA54" s="5">
        <f t="shared" si="0"/>
        <v>1.3860647312259144E-2</v>
      </c>
      <c r="AB54" s="5">
        <f t="shared" si="1"/>
        <v>3.610677421316431</v>
      </c>
      <c r="AC54" s="5">
        <f t="shared" si="2"/>
        <v>3.6383987159409492</v>
      </c>
    </row>
    <row r="55" spans="1:29" x14ac:dyDescent="0.3">
      <c r="A55" s="23">
        <v>52</v>
      </c>
      <c r="B55" s="30">
        <v>6867.9152019999801</v>
      </c>
      <c r="C55" s="30">
        <v>6874.6599369999785</v>
      </c>
      <c r="D55" s="30">
        <v>6872.9235229999795</v>
      </c>
      <c r="E55" s="30">
        <v>6879.765011999978</v>
      </c>
      <c r="F55" s="30">
        <v>6877.6757309999784</v>
      </c>
      <c r="G55" s="30">
        <v>6875.7616819999694</v>
      </c>
      <c r="H55" s="30">
        <v>6859.4095909999778</v>
      </c>
      <c r="I55" s="30">
        <v>6877.1339039999802</v>
      </c>
      <c r="J55" s="30">
        <v>6876.844818999979</v>
      </c>
      <c r="K55" s="31">
        <v>6881.8129659999795</v>
      </c>
      <c r="L55" s="4"/>
      <c r="M55" s="23">
        <v>52</v>
      </c>
      <c r="N55" s="30">
        <v>2997.6303899999953</v>
      </c>
      <c r="O55" s="30">
        <v>2997.4111289999964</v>
      </c>
      <c r="P55" s="30">
        <v>3014.4348169999967</v>
      </c>
      <c r="Q55" s="30">
        <v>3013.8807709999978</v>
      </c>
      <c r="R55" s="30">
        <v>2978.4077249999955</v>
      </c>
      <c r="S55" s="30">
        <v>2980.8355049999964</v>
      </c>
      <c r="T55" s="30">
        <v>3035.4450289999972</v>
      </c>
      <c r="U55" s="30">
        <v>3000.7332949999991</v>
      </c>
      <c r="V55" s="30">
        <v>2980.3858649999984</v>
      </c>
      <c r="W55" s="31">
        <v>3011.3978139999972</v>
      </c>
      <c r="Y55" s="6">
        <f t="array" ref="Y55">AVERAGE(B55:K55/TotalWasteDisposed!B55:K55-Distance!N55:W55/TotalWasteDisposed!N55:W55)</f>
        <v>3.6196111914495339</v>
      </c>
      <c r="Z55" s="5">
        <f t="array" ref="Z55">_xlfn.STDEV.S(B55:K55/TotalWasteDisposed!B55:K55-Distance!N55:W55/TotalWasteDisposed!N55:W55)</f>
        <v>2.0881769713669854E-2</v>
      </c>
      <c r="AA55" s="5">
        <f t="shared" si="0"/>
        <v>1.4936880365466119E-2</v>
      </c>
      <c r="AB55" s="5">
        <f t="shared" si="1"/>
        <v>3.604674311084068</v>
      </c>
      <c r="AC55" s="5">
        <f t="shared" si="2"/>
        <v>3.6345480718149998</v>
      </c>
    </row>
    <row r="56" spans="1:29" x14ac:dyDescent="0.3">
      <c r="A56" s="23">
        <v>53</v>
      </c>
      <c r="B56" s="30">
        <v>6874.4261409999799</v>
      </c>
      <c r="C56" s="30">
        <v>6880.9032769999794</v>
      </c>
      <c r="D56" s="30">
        <v>6884.7078149999788</v>
      </c>
      <c r="E56" s="30">
        <v>6864.5475299999789</v>
      </c>
      <c r="F56" s="30">
        <v>6877.156136999969</v>
      </c>
      <c r="G56" s="30">
        <v>6886.5226029999785</v>
      </c>
      <c r="H56" s="30">
        <v>6870.7688119999693</v>
      </c>
      <c r="I56" s="30">
        <v>6864.2063429999789</v>
      </c>
      <c r="J56" s="30">
        <v>6874.511191999969</v>
      </c>
      <c r="K56" s="31">
        <v>6880.4824399999789</v>
      </c>
      <c r="L56" s="4"/>
      <c r="M56" s="23">
        <v>53</v>
      </c>
      <c r="N56" s="30">
        <v>3007.2378139999964</v>
      </c>
      <c r="O56" s="30">
        <v>2978.633462999996</v>
      </c>
      <c r="P56" s="30">
        <v>2992.0433139999959</v>
      </c>
      <c r="Q56" s="30">
        <v>2988.9005419999958</v>
      </c>
      <c r="R56" s="30">
        <v>2997.3561379999978</v>
      </c>
      <c r="S56" s="30">
        <v>3011.8941419999969</v>
      </c>
      <c r="T56" s="30">
        <v>3006.4069109999973</v>
      </c>
      <c r="U56" s="30">
        <v>2987.0682279999969</v>
      </c>
      <c r="V56" s="30">
        <v>2985.8907469999958</v>
      </c>
      <c r="W56" s="31">
        <v>2981.4726059999971</v>
      </c>
      <c r="Y56" s="6">
        <f t="array" ref="Y56">AVERAGE(B56:K56/TotalWasteDisposed!B56:K56-Distance!N56:W56/TotalWasteDisposed!N56:W56)</f>
        <v>3.6227968913719764</v>
      </c>
      <c r="Z56" s="5">
        <f t="array" ref="Z56">_xlfn.STDEV.S(B56:K56/TotalWasteDisposed!B56:K56-Distance!N56:W56/TotalWasteDisposed!N56:W56)</f>
        <v>1.4542888702955467E-2</v>
      </c>
      <c r="AA56" s="5">
        <f t="shared" si="0"/>
        <v>1.0402633095897618E-2</v>
      </c>
      <c r="AB56" s="5">
        <f t="shared" si="1"/>
        <v>3.6123942582760789</v>
      </c>
      <c r="AC56" s="5">
        <f t="shared" si="2"/>
        <v>3.6331995244678739</v>
      </c>
    </row>
    <row r="57" spans="1:29" x14ac:dyDescent="0.3">
      <c r="A57" s="23">
        <v>54</v>
      </c>
      <c r="B57" s="30">
        <v>6882.436494999969</v>
      </c>
      <c r="C57" s="30">
        <v>6880.7725189999692</v>
      </c>
      <c r="D57" s="30">
        <v>6875.1935519999788</v>
      </c>
      <c r="E57" s="30">
        <v>6886.0961609999795</v>
      </c>
      <c r="F57" s="30">
        <v>6870.3082059999788</v>
      </c>
      <c r="G57" s="30">
        <v>6878.4129719999783</v>
      </c>
      <c r="H57" s="30">
        <v>6882.9668039999688</v>
      </c>
      <c r="I57" s="30">
        <v>6875.3941179999783</v>
      </c>
      <c r="J57" s="30">
        <v>6877.273654999979</v>
      </c>
      <c r="K57" s="31">
        <v>6862.817751999979</v>
      </c>
      <c r="L57" s="4"/>
      <c r="M57" s="23">
        <v>54</v>
      </c>
      <c r="N57" s="30">
        <v>3008.0037179999968</v>
      </c>
      <c r="O57" s="30">
        <v>2970.4102579999981</v>
      </c>
      <c r="P57" s="30">
        <v>3031.6395409999977</v>
      </c>
      <c r="Q57" s="30">
        <v>2982.8741389999955</v>
      </c>
      <c r="R57" s="30">
        <v>2991.4787709999964</v>
      </c>
      <c r="S57" s="30">
        <v>2989.6861709999962</v>
      </c>
      <c r="T57" s="30">
        <v>3000.7616079999957</v>
      </c>
      <c r="U57" s="30">
        <v>2988.7259869999966</v>
      </c>
      <c r="V57" s="30">
        <v>2982.0865109999963</v>
      </c>
      <c r="W57" s="31">
        <v>2973.5237539999935</v>
      </c>
      <c r="Y57" s="6">
        <f t="array" ref="Y57">AVERAGE(B57:K57/TotalWasteDisposed!B57:K57-Distance!N57:W57/TotalWasteDisposed!N57:W57)</f>
        <v>3.6259304118458764</v>
      </c>
      <c r="Z57" s="5">
        <f t="array" ref="Z57">_xlfn.STDEV.S(B57:K57/TotalWasteDisposed!B57:K57-Distance!N57:W57/TotalWasteDisposed!N57:W57)</f>
        <v>1.0453132889988956E-2</v>
      </c>
      <c r="AA57" s="5">
        <f t="shared" si="0"/>
        <v>7.4772012891164063E-3</v>
      </c>
      <c r="AB57" s="5">
        <f t="shared" si="1"/>
        <v>3.6184532105567602</v>
      </c>
      <c r="AC57" s="5">
        <f t="shared" si="2"/>
        <v>3.6334076131349926</v>
      </c>
    </row>
    <row r="58" spans="1:29" x14ac:dyDescent="0.3">
      <c r="A58" s="23">
        <v>55</v>
      </c>
      <c r="B58" s="30">
        <v>7984.030035999991</v>
      </c>
      <c r="C58" s="30">
        <v>7940.7143079999696</v>
      </c>
      <c r="D58" s="30">
        <v>7939.2620659999602</v>
      </c>
      <c r="E58" s="30">
        <v>7943.8976519999796</v>
      </c>
      <c r="F58" s="30">
        <v>7924.8120739999704</v>
      </c>
      <c r="G58" s="30">
        <v>7917.6317409999792</v>
      </c>
      <c r="H58" s="30">
        <v>7921.7479679999697</v>
      </c>
      <c r="I58" s="30">
        <v>7884.8591689999803</v>
      </c>
      <c r="J58" s="30">
        <v>7922.7796439999802</v>
      </c>
      <c r="K58" s="31">
        <v>7906.2782049999796</v>
      </c>
      <c r="L58" s="4"/>
      <c r="M58" s="23">
        <v>55</v>
      </c>
      <c r="N58" s="30">
        <v>1095.80682</v>
      </c>
      <c r="O58" s="30">
        <v>1076.7570779999999</v>
      </c>
      <c r="P58" s="30">
        <v>1041.581543999999</v>
      </c>
      <c r="Q58" s="30">
        <v>997.11383199999898</v>
      </c>
      <c r="R58" s="30">
        <v>1151.632224</v>
      </c>
      <c r="S58" s="30">
        <v>1107.1475429999991</v>
      </c>
      <c r="T58" s="30">
        <v>1120.7528659999989</v>
      </c>
      <c r="U58" s="30">
        <v>1100.7193109999998</v>
      </c>
      <c r="V58" s="30">
        <v>1070.9607289999981</v>
      </c>
      <c r="W58" s="31">
        <v>1068.3245309999988</v>
      </c>
      <c r="Y58" s="6">
        <f t="array" ref="Y58">AVERAGE(B58:K58/TotalWasteDisposed!B58:K58-Distance!N58:W58/TotalWasteDisposed!N58:W58)</f>
        <v>4.4760939661750374</v>
      </c>
      <c r="Z58" s="5">
        <f t="array" ref="Z58">_xlfn.STDEV.S(B58:K58/TotalWasteDisposed!B58:K58-Distance!N58:W58/TotalWasteDisposed!N58:W58)</f>
        <v>3.2324714745794694E-2</v>
      </c>
      <c r="AA58" s="5">
        <f t="shared" si="0"/>
        <v>2.3122101413161268E-2</v>
      </c>
      <c r="AB58" s="5">
        <f t="shared" si="1"/>
        <v>4.4529718647618761</v>
      </c>
      <c r="AC58" s="5">
        <f t="shared" si="2"/>
        <v>4.4992160675881987</v>
      </c>
    </row>
    <row r="59" spans="1:29" x14ac:dyDescent="0.3">
      <c r="A59" s="23">
        <v>56</v>
      </c>
      <c r="B59" s="30">
        <v>7948.1860779999797</v>
      </c>
      <c r="C59" s="30">
        <v>7971.1524569999801</v>
      </c>
      <c r="D59" s="30">
        <v>7920.9916269999703</v>
      </c>
      <c r="E59" s="30">
        <v>7908.7145229999805</v>
      </c>
      <c r="F59" s="30">
        <v>7933.9230529999704</v>
      </c>
      <c r="G59" s="30">
        <v>7958.9221419999685</v>
      </c>
      <c r="H59" s="30">
        <v>7969.246603999969</v>
      </c>
      <c r="I59" s="30">
        <v>7958.4525659999708</v>
      </c>
      <c r="J59" s="30">
        <v>7922.8471939999699</v>
      </c>
      <c r="K59" s="31">
        <v>7963.1625809999796</v>
      </c>
      <c r="L59" s="4"/>
      <c r="M59" s="23">
        <v>56</v>
      </c>
      <c r="N59" s="30">
        <v>1010.4665849999981</v>
      </c>
      <c r="O59" s="30">
        <v>995.54274199999907</v>
      </c>
      <c r="P59" s="30">
        <v>1098.802398</v>
      </c>
      <c r="Q59" s="30">
        <v>991.64828299999897</v>
      </c>
      <c r="R59" s="30">
        <v>1065.6873259999991</v>
      </c>
      <c r="S59" s="30">
        <v>1099.2751880000001</v>
      </c>
      <c r="T59" s="30">
        <v>1099.5540009999991</v>
      </c>
      <c r="U59" s="30">
        <v>992.76259599999901</v>
      </c>
      <c r="V59" s="30">
        <v>1099.5540009999991</v>
      </c>
      <c r="W59" s="31">
        <v>954.34259199999894</v>
      </c>
      <c r="Y59" s="6">
        <f t="array" ref="Y59">AVERAGE(B59:K59/TotalWasteDisposed!B59:K59-Distance!N59:W59/TotalWasteDisposed!N59:W59)</f>
        <v>4.5001750596935892</v>
      </c>
      <c r="Z59" s="5">
        <f t="array" ref="Z59">_xlfn.STDEV.S(B59:K59/TotalWasteDisposed!B59:K59-Distance!N59:W59/TotalWasteDisposed!N59:W59)</f>
        <v>3.5596648617231288E-2</v>
      </c>
      <c r="AA59" s="5">
        <f t="shared" si="0"/>
        <v>2.5462539291344139E-2</v>
      </c>
      <c r="AB59" s="5">
        <f t="shared" si="1"/>
        <v>4.4747125204022451</v>
      </c>
      <c r="AC59" s="5">
        <f t="shared" si="2"/>
        <v>4.5256375989849333</v>
      </c>
    </row>
    <row r="60" spans="1:29" x14ac:dyDescent="0.3">
      <c r="A60" s="23">
        <v>57</v>
      </c>
      <c r="B60" s="30">
        <v>7915.53673599998</v>
      </c>
      <c r="C60" s="30">
        <v>7903.8056529999794</v>
      </c>
      <c r="D60" s="30">
        <v>7946.2381249999798</v>
      </c>
      <c r="E60" s="30">
        <v>7904.2205469999799</v>
      </c>
      <c r="F60" s="30">
        <v>7939.4615749999803</v>
      </c>
      <c r="G60" s="30">
        <v>7935.4883939999709</v>
      </c>
      <c r="H60" s="30">
        <v>7951.2820699999802</v>
      </c>
      <c r="I60" s="30">
        <v>7917.8032599999797</v>
      </c>
      <c r="J60" s="30">
        <v>7966.2047069999808</v>
      </c>
      <c r="K60" s="31">
        <v>7927.9196609999799</v>
      </c>
      <c r="L60" s="4"/>
      <c r="M60" s="23">
        <v>57</v>
      </c>
      <c r="N60" s="30">
        <v>1127.3200079999999</v>
      </c>
      <c r="O60" s="30">
        <v>963.20643299999892</v>
      </c>
      <c r="P60" s="30">
        <v>963.49557199999913</v>
      </c>
      <c r="Q60" s="30">
        <v>1048.841455999999</v>
      </c>
      <c r="R60" s="30">
        <v>1075.61113</v>
      </c>
      <c r="S60" s="30">
        <v>1091.6219759999999</v>
      </c>
      <c r="T60" s="30">
        <v>1054.0501069999968</v>
      </c>
      <c r="U60" s="30">
        <v>1075.3128909999989</v>
      </c>
      <c r="V60" s="30">
        <v>1099.772784</v>
      </c>
      <c r="W60" s="31">
        <v>1076.7570779999999</v>
      </c>
      <c r="Y60" s="6">
        <f t="array" ref="Y60">AVERAGE(B60:K60/TotalWasteDisposed!B60:K60-Distance!N60:W60/TotalWasteDisposed!N60:W60)</f>
        <v>4.4885412768685642</v>
      </c>
      <c r="Z60" s="5">
        <f t="array" ref="Z60">_xlfn.STDEV.S(B60:K60/TotalWasteDisposed!B60:K60-Distance!N60:W60/TotalWasteDisposed!N60:W60)</f>
        <v>2.6364080878513621E-2</v>
      </c>
      <c r="AA60" s="5">
        <f t="shared" si="0"/>
        <v>1.8858417051215687E-2</v>
      </c>
      <c r="AB60" s="5">
        <f t="shared" si="1"/>
        <v>4.4696828598173486</v>
      </c>
      <c r="AC60" s="5">
        <f t="shared" si="2"/>
        <v>4.5073996939197798</v>
      </c>
    </row>
    <row r="61" spans="1:29" x14ac:dyDescent="0.3">
      <c r="A61" s="23">
        <v>58</v>
      </c>
      <c r="B61" s="30">
        <v>7930.3124149999803</v>
      </c>
      <c r="C61" s="30">
        <v>7919.8094119999805</v>
      </c>
      <c r="D61" s="30">
        <v>7938.9980839999807</v>
      </c>
      <c r="E61" s="30">
        <v>7923.6379199999801</v>
      </c>
      <c r="F61" s="30">
        <v>7952.5413719999797</v>
      </c>
      <c r="G61" s="30">
        <v>7938.7052149999699</v>
      </c>
      <c r="H61" s="30">
        <v>7911.9685469999895</v>
      </c>
      <c r="I61" s="30">
        <v>7955.8798809999807</v>
      </c>
      <c r="J61" s="30">
        <v>7901.3449859999801</v>
      </c>
      <c r="K61" s="31">
        <v>7949.1431839999605</v>
      </c>
      <c r="L61" s="4"/>
      <c r="M61" s="23">
        <v>58</v>
      </c>
      <c r="N61" s="30">
        <v>1013.273915999999</v>
      </c>
      <c r="O61" s="30">
        <v>1039.891713999999</v>
      </c>
      <c r="P61" s="30">
        <v>1097.0584299999991</v>
      </c>
      <c r="Q61" s="30">
        <v>1077.4313269999989</v>
      </c>
      <c r="R61" s="30">
        <v>1066.444391999999</v>
      </c>
      <c r="S61" s="30">
        <v>1045.846571999999</v>
      </c>
      <c r="T61" s="30">
        <v>1007.799909999999</v>
      </c>
      <c r="U61" s="30">
        <v>968.95592299999885</v>
      </c>
      <c r="V61" s="30">
        <v>1043.6416439999989</v>
      </c>
      <c r="W61" s="31">
        <v>963.04956899999911</v>
      </c>
      <c r="Y61" s="6">
        <f t="array" ref="Y61">AVERAGE(B61:K61/TotalWasteDisposed!B61:K61-Distance!N61:W61/TotalWasteDisposed!N61:W61)</f>
        <v>4.4954531959036075</v>
      </c>
      <c r="Z61" s="5">
        <f t="array" ref="Z61">_xlfn.STDEV.S(B61:K61/TotalWasteDisposed!B61:K61-Distance!N61:W61/TotalWasteDisposed!N61:W61)</f>
        <v>3.7894321585563134E-2</v>
      </c>
      <c r="AA61" s="5">
        <f t="shared" si="0"/>
        <v>2.7106081324300823E-2</v>
      </c>
      <c r="AB61" s="5">
        <f t="shared" si="1"/>
        <v>4.4683471145793066</v>
      </c>
      <c r="AC61" s="5">
        <f t="shared" si="2"/>
        <v>4.5225592772279084</v>
      </c>
    </row>
    <row r="62" spans="1:29" x14ac:dyDescent="0.3">
      <c r="A62" s="23">
        <v>59</v>
      </c>
      <c r="B62" s="30">
        <v>7947.6883859999798</v>
      </c>
      <c r="C62" s="30">
        <v>7959.5029609999892</v>
      </c>
      <c r="D62" s="30">
        <v>7945.7807369999809</v>
      </c>
      <c r="E62" s="30">
        <v>7962.54031999996</v>
      </c>
      <c r="F62" s="30">
        <v>7912.5711069999807</v>
      </c>
      <c r="G62" s="30">
        <v>7899.80790599997</v>
      </c>
      <c r="H62" s="30">
        <v>7896.4245699999792</v>
      </c>
      <c r="I62" s="30">
        <v>7927.2384829999701</v>
      </c>
      <c r="J62" s="30">
        <v>7901.7499699999707</v>
      </c>
      <c r="K62" s="31">
        <v>7955.8174749999698</v>
      </c>
      <c r="L62" s="4"/>
      <c r="M62" s="23">
        <v>59</v>
      </c>
      <c r="N62" s="30">
        <v>1066.444391999999</v>
      </c>
      <c r="O62" s="30">
        <v>1095.0895760000001</v>
      </c>
      <c r="P62" s="30">
        <v>1043.825577999999</v>
      </c>
      <c r="Q62" s="30">
        <v>1073.800453999997</v>
      </c>
      <c r="R62" s="30">
        <v>1097.7940039999989</v>
      </c>
      <c r="S62" s="30">
        <v>1125.486310999999</v>
      </c>
      <c r="T62" s="30">
        <v>1011.2839169999979</v>
      </c>
      <c r="U62" s="30">
        <v>1067.596010999999</v>
      </c>
      <c r="V62" s="30">
        <v>996.60612499999911</v>
      </c>
      <c r="W62" s="31">
        <v>1074.340989999999</v>
      </c>
      <c r="Y62" s="6">
        <f t="array" ref="Y62">AVERAGE(B62:K62/TotalWasteDisposed!B62:K62-Distance!N62:W62/TotalWasteDisposed!N62:W62)</f>
        <v>4.4940184614369798</v>
      </c>
      <c r="Z62" s="5">
        <f t="array" ref="Z62">_xlfn.STDEV.S(B62:K62/TotalWasteDisposed!B62:K62-Distance!N62:W62/TotalWasteDisposed!N62:W62)</f>
        <v>2.1843808924110336E-2</v>
      </c>
      <c r="AA62" s="5">
        <f t="shared" si="0"/>
        <v>1.562503394585112E-2</v>
      </c>
      <c r="AB62" s="5">
        <f t="shared" si="1"/>
        <v>4.4783934274911283</v>
      </c>
      <c r="AC62" s="5">
        <f t="shared" si="2"/>
        <v>4.5096434953828313</v>
      </c>
    </row>
    <row r="63" spans="1:29" x14ac:dyDescent="0.3">
      <c r="A63" s="23">
        <v>60</v>
      </c>
      <c r="B63" s="30">
        <v>7972.7205609999692</v>
      </c>
      <c r="C63" s="30">
        <v>7922.9971319999695</v>
      </c>
      <c r="D63" s="30">
        <v>7923.7087119999705</v>
      </c>
      <c r="E63" s="30">
        <v>7934.3618309999893</v>
      </c>
      <c r="F63" s="30">
        <v>7980.9927249999801</v>
      </c>
      <c r="G63" s="30">
        <v>7938.0754529999813</v>
      </c>
      <c r="H63" s="30">
        <v>7983.9770289999797</v>
      </c>
      <c r="I63" s="30">
        <v>7960.6471109999802</v>
      </c>
      <c r="J63" s="30">
        <v>7955.6930859999602</v>
      </c>
      <c r="K63" s="31">
        <v>7921.6105099999804</v>
      </c>
      <c r="L63" s="4"/>
      <c r="M63" s="23">
        <v>60</v>
      </c>
      <c r="N63" s="30">
        <v>1099.055783</v>
      </c>
      <c r="O63" s="30">
        <v>1100.161094999999</v>
      </c>
      <c r="P63" s="30">
        <v>1119.9290319999989</v>
      </c>
      <c r="Q63" s="30">
        <v>1075.969951999999</v>
      </c>
      <c r="R63" s="30">
        <v>1002.462208999999</v>
      </c>
      <c r="S63" s="30">
        <v>1076.8559229999989</v>
      </c>
      <c r="T63" s="30">
        <v>1102.6577149999989</v>
      </c>
      <c r="U63" s="30">
        <v>1031.0359569999989</v>
      </c>
      <c r="V63" s="30">
        <v>1032.4118549999989</v>
      </c>
      <c r="W63" s="31">
        <v>1078.0895769999991</v>
      </c>
      <c r="Y63" s="6">
        <f t="array" ref="Y63">AVERAGE(B63:K63/TotalWasteDisposed!B63:K63-Distance!N63:W63/TotalWasteDisposed!N63:W63)</f>
        <v>4.4998810291321005</v>
      </c>
      <c r="Z63" s="5">
        <f t="array" ref="Z63">_xlfn.STDEV.S(B63:K63/TotalWasteDisposed!B63:K63-Distance!N63:W63/TotalWasteDisposed!N63:W63)</f>
        <v>2.477464233508336E-2</v>
      </c>
      <c r="AA63" s="5">
        <f t="shared" si="0"/>
        <v>1.7721480206445445E-2</v>
      </c>
      <c r="AB63" s="5">
        <f t="shared" si="1"/>
        <v>4.4821595489256554</v>
      </c>
      <c r="AC63" s="5">
        <f t="shared" si="2"/>
        <v>4.5176025093385457</v>
      </c>
    </row>
    <row r="64" spans="1:29" x14ac:dyDescent="0.3">
      <c r="A64" s="23">
        <v>61</v>
      </c>
      <c r="B64" s="30">
        <v>7895.9157849999792</v>
      </c>
      <c r="C64" s="30">
        <v>7967.3376419999804</v>
      </c>
      <c r="D64" s="30">
        <v>7909.8259749999797</v>
      </c>
      <c r="E64" s="30">
        <v>7897.8540969999704</v>
      </c>
      <c r="F64" s="30">
        <v>7909.5292389999695</v>
      </c>
      <c r="G64" s="30">
        <v>7939.0207369999807</v>
      </c>
      <c r="H64" s="30">
        <v>7958.0742299999902</v>
      </c>
      <c r="I64" s="30">
        <v>7873.1607799999711</v>
      </c>
      <c r="J64" s="30">
        <v>7903.3883929999793</v>
      </c>
      <c r="K64" s="31">
        <v>7920.93483499998</v>
      </c>
      <c r="L64" s="4"/>
      <c r="M64" s="23">
        <v>61</v>
      </c>
      <c r="N64" s="30">
        <v>1098.3092080000001</v>
      </c>
      <c r="O64" s="30">
        <v>963.04956899999911</v>
      </c>
      <c r="P64" s="30">
        <v>1077.0319539999989</v>
      </c>
      <c r="Q64" s="30">
        <v>1099.573363</v>
      </c>
      <c r="R64" s="30">
        <v>1120.404937999999</v>
      </c>
      <c r="S64" s="30">
        <v>1048.204365999999</v>
      </c>
      <c r="T64" s="30">
        <v>1047.0760659999989</v>
      </c>
      <c r="U64" s="30">
        <v>996.54798899999901</v>
      </c>
      <c r="V64" s="30">
        <v>1075.61113</v>
      </c>
      <c r="W64" s="31">
        <v>985.48623799999802</v>
      </c>
      <c r="Y64" s="6">
        <f t="array" ref="Y64">AVERAGE(B64:K64/TotalWasteDisposed!B64:K64-Distance!N64:W64/TotalWasteDisposed!N64:W64)</f>
        <v>4.4796329674847488</v>
      </c>
      <c r="Z64" s="5">
        <f t="array" ref="Z64">_xlfn.STDEV.S(B64:K64/TotalWasteDisposed!B64:K64-Distance!N64:W64/TotalWasteDisposed!N64:W64)</f>
        <v>3.7686700560219479E-2</v>
      </c>
      <c r="AA64" s="5">
        <f t="shared" si="0"/>
        <v>2.6957568508603817E-2</v>
      </c>
      <c r="AB64" s="5">
        <f t="shared" si="1"/>
        <v>4.4526753989761447</v>
      </c>
      <c r="AC64" s="5">
        <f t="shared" si="2"/>
        <v>4.5065905359933529</v>
      </c>
    </row>
    <row r="65" spans="1:29" x14ac:dyDescent="0.3">
      <c r="A65" s="23">
        <v>62</v>
      </c>
      <c r="B65" s="30">
        <v>7940.205459999991</v>
      </c>
      <c r="C65" s="30">
        <v>7931.6823889999696</v>
      </c>
      <c r="D65" s="30">
        <v>7940.22281199997</v>
      </c>
      <c r="E65" s="30">
        <v>7945.6023399999813</v>
      </c>
      <c r="F65" s="30">
        <v>7929.6274039999798</v>
      </c>
      <c r="G65" s="30">
        <v>7927.8064449999692</v>
      </c>
      <c r="H65" s="30">
        <v>7947.9878599999702</v>
      </c>
      <c r="I65" s="30">
        <v>7899.2767589999703</v>
      </c>
      <c r="J65" s="30">
        <v>7916.4886889999907</v>
      </c>
      <c r="K65" s="31">
        <v>7911.9658759999811</v>
      </c>
      <c r="L65" s="4"/>
      <c r="M65" s="23">
        <v>62</v>
      </c>
      <c r="N65" s="30">
        <v>1070.7767949999991</v>
      </c>
      <c r="O65" s="30">
        <v>968.96378899999786</v>
      </c>
      <c r="P65" s="30">
        <v>1066.9844349999989</v>
      </c>
      <c r="Q65" s="30">
        <v>1058.014931999998</v>
      </c>
      <c r="R65" s="30">
        <v>1067.6038769999991</v>
      </c>
      <c r="S65" s="30">
        <v>1075.61113</v>
      </c>
      <c r="T65" s="30">
        <v>996.54798899999901</v>
      </c>
      <c r="U65" s="30">
        <v>997.42299099999798</v>
      </c>
      <c r="V65" s="30">
        <v>1098.802398</v>
      </c>
      <c r="W65" s="31">
        <v>963.10770499999899</v>
      </c>
      <c r="Y65" s="6">
        <f t="array" ref="Y65">AVERAGE(B65:K65/TotalWasteDisposed!B65:K65-Distance!N65:W65/TotalWasteDisposed!N65:W65)</f>
        <v>4.5007175398597976</v>
      </c>
      <c r="Z65" s="5">
        <f t="array" ref="Z65">_xlfn.STDEV.S(B65:K65/TotalWasteDisposed!B65:K65-Distance!N65:W65/TotalWasteDisposed!N65:W65)</f>
        <v>2.6491671397592429E-2</v>
      </c>
      <c r="AA65" s="5">
        <f t="shared" si="0"/>
        <v>1.894968346902319E-2</v>
      </c>
      <c r="AB65" s="5">
        <f t="shared" si="1"/>
        <v>4.4817678563907748</v>
      </c>
      <c r="AC65" s="5">
        <f t="shared" si="2"/>
        <v>4.5196672233288204</v>
      </c>
    </row>
    <row r="66" spans="1:29" x14ac:dyDescent="0.3">
      <c r="A66" s="23">
        <v>63</v>
      </c>
      <c r="B66" s="30">
        <v>7952.1408159999801</v>
      </c>
      <c r="C66" s="30">
        <v>7957.2465079999902</v>
      </c>
      <c r="D66" s="30">
        <v>7954.4888719999708</v>
      </c>
      <c r="E66" s="30">
        <v>7908.9922009999709</v>
      </c>
      <c r="F66" s="30">
        <v>7949.1639709999799</v>
      </c>
      <c r="G66" s="30">
        <v>7925.5194179999808</v>
      </c>
      <c r="H66" s="30">
        <v>7972.031510999981</v>
      </c>
      <c r="I66" s="30">
        <v>7946.0091229999898</v>
      </c>
      <c r="J66" s="30">
        <v>7892.5219689999703</v>
      </c>
      <c r="K66" s="31">
        <v>7923.8304519999692</v>
      </c>
      <c r="L66" s="4"/>
      <c r="M66" s="23">
        <v>63</v>
      </c>
      <c r="N66" s="30">
        <v>996.03418899999895</v>
      </c>
      <c r="O66" s="30">
        <v>963.04956899999911</v>
      </c>
      <c r="P66" s="30">
        <v>1048.150042999999</v>
      </c>
      <c r="Q66" s="30">
        <v>1099.455156</v>
      </c>
      <c r="R66" s="30">
        <v>1097.873875</v>
      </c>
      <c r="S66" s="30">
        <v>1099.4146049999988</v>
      </c>
      <c r="T66" s="30">
        <v>1056.4955659999969</v>
      </c>
      <c r="U66" s="30">
        <v>1119.2607839999991</v>
      </c>
      <c r="V66" s="30">
        <v>1007.251605999999</v>
      </c>
      <c r="W66" s="31">
        <v>1097.0584299999991</v>
      </c>
      <c r="Y66" s="6">
        <f t="array" ref="Y66">AVERAGE(B66:K66/TotalWasteDisposed!B66:K66-Distance!N66:W66/TotalWasteDisposed!N66:W66)</f>
        <v>4.495667464394427</v>
      </c>
      <c r="Z66" s="5">
        <f t="array" ref="Z66">_xlfn.STDEV.S(B66:K66/TotalWasteDisposed!B66:K66-Distance!N66:W66/TotalWasteDisposed!N66:W66)</f>
        <v>3.9666745792194702E-2</v>
      </c>
      <c r="AA66" s="5">
        <f t="shared" si="0"/>
        <v>2.8373909132687239E-2</v>
      </c>
      <c r="AB66" s="5">
        <f t="shared" si="1"/>
        <v>4.4672935552617394</v>
      </c>
      <c r="AC66" s="5">
        <f t="shared" si="2"/>
        <v>4.5240413735271146</v>
      </c>
    </row>
    <row r="67" spans="1:29" x14ac:dyDescent="0.3">
      <c r="A67" s="23">
        <v>64</v>
      </c>
      <c r="B67" s="30">
        <v>6139.4106209999609</v>
      </c>
      <c r="C67" s="30">
        <v>6137.0682309999602</v>
      </c>
      <c r="D67" s="30">
        <v>6139.3269629999595</v>
      </c>
      <c r="E67" s="30">
        <v>6140.7642309999701</v>
      </c>
      <c r="F67" s="30">
        <v>6156.3251619999601</v>
      </c>
      <c r="G67" s="30">
        <v>6146.0198439999604</v>
      </c>
      <c r="H67" s="30">
        <v>6139.5775319999593</v>
      </c>
      <c r="I67" s="30">
        <v>6143.8712569999589</v>
      </c>
      <c r="J67" s="30">
        <v>6141.9524179999607</v>
      </c>
      <c r="K67" s="31">
        <v>6134.4268429999602</v>
      </c>
      <c r="L67" s="4"/>
      <c r="M67" s="23">
        <v>64</v>
      </c>
      <c r="N67" s="30">
        <v>2213.7139099999977</v>
      </c>
      <c r="O67" s="30">
        <v>2147.6014969999978</v>
      </c>
      <c r="P67" s="30">
        <v>2109.5006139999987</v>
      </c>
      <c r="Q67" s="30">
        <v>2118.5405659999983</v>
      </c>
      <c r="R67" s="30">
        <v>2104.4574609999968</v>
      </c>
      <c r="S67" s="30">
        <v>2050.6267829999993</v>
      </c>
      <c r="T67" s="30">
        <v>2134.122073999999</v>
      </c>
      <c r="U67" s="30">
        <v>2134.3928489999989</v>
      </c>
      <c r="V67" s="30">
        <v>2237.2943709999981</v>
      </c>
      <c r="W67" s="31">
        <v>2159.2996349999989</v>
      </c>
      <c r="Y67" s="6">
        <f t="array" ref="Y67">AVERAGE(B67:K67/TotalWasteDisposed!B67:K67-Distance!N67:W67/TotalWasteDisposed!N67:W67)</f>
        <v>3.0016018655102989</v>
      </c>
      <c r="Z67" s="5">
        <f t="array" ref="Z67">_xlfn.STDEV.S(B67:K67/TotalWasteDisposed!B67:K67-Distance!N67:W67/TotalWasteDisposed!N67:W67)</f>
        <v>2.6917132064346431E-2</v>
      </c>
      <c r="AA67" s="5">
        <f t="shared" si="0"/>
        <v>1.9254018550132514E-2</v>
      </c>
      <c r="AB67" s="5">
        <f t="shared" si="1"/>
        <v>2.9823478469601663</v>
      </c>
      <c r="AC67" s="5">
        <f t="shared" si="2"/>
        <v>3.0208558840604316</v>
      </c>
    </row>
    <row r="68" spans="1:29" x14ac:dyDescent="0.3">
      <c r="A68" s="23">
        <v>65</v>
      </c>
      <c r="B68" s="30">
        <v>6141.9244359999602</v>
      </c>
      <c r="C68" s="30">
        <v>6137.4805699999706</v>
      </c>
      <c r="D68" s="30">
        <v>6142.2106209999602</v>
      </c>
      <c r="E68" s="30">
        <v>6142.8196759999601</v>
      </c>
      <c r="F68" s="30">
        <v>6142.5109149999698</v>
      </c>
      <c r="G68" s="30">
        <v>6141.5833919999695</v>
      </c>
      <c r="H68" s="30">
        <v>6133.8298119999599</v>
      </c>
      <c r="I68" s="30">
        <v>6140.2362069999699</v>
      </c>
      <c r="J68" s="30">
        <v>6141.3035029999592</v>
      </c>
      <c r="K68" s="31">
        <v>6134.3928099999594</v>
      </c>
      <c r="L68" s="4"/>
      <c r="M68" s="23">
        <v>65</v>
      </c>
      <c r="N68" s="30">
        <v>2148.2753979999979</v>
      </c>
      <c r="O68" s="30">
        <v>2165.536150999998</v>
      </c>
      <c r="P68" s="30">
        <v>2123.9396019999981</v>
      </c>
      <c r="Q68" s="30">
        <v>2111.9147549999989</v>
      </c>
      <c r="R68" s="30">
        <v>2120.5877159999991</v>
      </c>
      <c r="S68" s="30">
        <v>2131.3002929999989</v>
      </c>
      <c r="T68" s="30">
        <v>2131.4791739999987</v>
      </c>
      <c r="U68" s="30">
        <v>2136.1746509999989</v>
      </c>
      <c r="V68" s="30">
        <v>2226.0499519999967</v>
      </c>
      <c r="W68" s="31">
        <v>2166.6654799999978</v>
      </c>
      <c r="Y68" s="6">
        <f t="array" ref="Y68">AVERAGE(B68:K68/TotalWasteDisposed!B68:K68-Distance!N68:W68/TotalWasteDisposed!N68:W68)</f>
        <v>2.9866736409936663</v>
      </c>
      <c r="Z68" s="5">
        <f t="array" ref="Z68">_xlfn.STDEV.S(B68:K68/TotalWasteDisposed!B68:K68-Distance!N68:W68/TotalWasteDisposed!N68:W68)</f>
        <v>2.162667976652758E-2</v>
      </c>
      <c r="AA68" s="5">
        <f t="shared" si="0"/>
        <v>1.5469719894640941E-2</v>
      </c>
      <c r="AB68" s="5">
        <f t="shared" si="1"/>
        <v>2.9712039210990255</v>
      </c>
      <c r="AC68" s="5">
        <f t="shared" si="2"/>
        <v>3.002143360888307</v>
      </c>
    </row>
    <row r="69" spans="1:29" x14ac:dyDescent="0.3">
      <c r="A69" s="23">
        <v>66</v>
      </c>
      <c r="B69" s="30">
        <v>6133.3281269999597</v>
      </c>
      <c r="C69" s="30">
        <v>6154.19570199996</v>
      </c>
      <c r="D69" s="30">
        <v>6136.7576889999609</v>
      </c>
      <c r="E69" s="30">
        <v>6143.1547179999598</v>
      </c>
      <c r="F69" s="30">
        <v>6141.4912789999607</v>
      </c>
      <c r="G69" s="30">
        <v>6139.8175289999599</v>
      </c>
      <c r="H69" s="30">
        <v>6157.5577619999694</v>
      </c>
      <c r="I69" s="30">
        <v>6140.51918199997</v>
      </c>
      <c r="J69" s="30">
        <v>6159.7986999999594</v>
      </c>
      <c r="K69" s="31">
        <v>6141.1418809999705</v>
      </c>
      <c r="L69" s="4"/>
      <c r="M69" s="23">
        <v>66</v>
      </c>
      <c r="N69" s="30">
        <v>2110.1584709999952</v>
      </c>
      <c r="O69" s="30">
        <v>2092.7761749999981</v>
      </c>
      <c r="P69" s="30">
        <v>2121.8226339999969</v>
      </c>
      <c r="Q69" s="30">
        <v>2131.986531999999</v>
      </c>
      <c r="R69" s="30">
        <v>2123.9519</v>
      </c>
      <c r="S69" s="30">
        <v>2164.7889729999993</v>
      </c>
      <c r="T69" s="30">
        <v>2132.0345279999992</v>
      </c>
      <c r="U69" s="30">
        <v>2141.057655999999</v>
      </c>
      <c r="V69" s="30">
        <v>2208.022027999999</v>
      </c>
      <c r="W69" s="31">
        <v>2144.5384919999997</v>
      </c>
      <c r="Y69" s="6">
        <f t="array" ref="Y69">AVERAGE(B69:K69/TotalWasteDisposed!B69:K69-Distance!N69:W69/TotalWasteDisposed!N69:W69)</f>
        <v>2.9870452196503097</v>
      </c>
      <c r="Z69" s="5">
        <f t="array" ref="Z69">_xlfn.STDEV.S(B69:K69/TotalWasteDisposed!B69:K69-Distance!N69:W69/TotalWasteDisposed!N69:W69)</f>
        <v>3.1407644727989709E-2</v>
      </c>
      <c r="AA69" s="5">
        <f t="shared" ref="AA69:AA84" si="3">2.262*Z69/SQRT(10)</f>
        <v>2.2466114620349274E-2</v>
      </c>
      <c r="AB69" s="5">
        <f t="shared" ref="AB69:AB84" si="4">Y69-AA69</f>
        <v>2.9645791050299604</v>
      </c>
      <c r="AC69" s="5">
        <f t="shared" ref="AC69:AC84" si="5">Y69+AA69</f>
        <v>3.009511334270659</v>
      </c>
    </row>
    <row r="70" spans="1:29" x14ac:dyDescent="0.3">
      <c r="A70" s="23">
        <v>67</v>
      </c>
      <c r="B70" s="30">
        <v>6154.1541979999602</v>
      </c>
      <c r="C70" s="30">
        <v>6140.7093829999703</v>
      </c>
      <c r="D70" s="30">
        <v>6141.2015939999601</v>
      </c>
      <c r="E70" s="30">
        <v>6130.0875329999599</v>
      </c>
      <c r="F70" s="30">
        <v>6139.4936989999596</v>
      </c>
      <c r="G70" s="30">
        <v>6130.1075989999599</v>
      </c>
      <c r="H70" s="30">
        <v>6141.2256199999701</v>
      </c>
      <c r="I70" s="30">
        <v>6129.1951919999601</v>
      </c>
      <c r="J70" s="30">
        <v>6133.6801409999598</v>
      </c>
      <c r="K70" s="31">
        <v>6155.0665859999699</v>
      </c>
      <c r="L70" s="4"/>
      <c r="M70" s="23">
        <v>67</v>
      </c>
      <c r="N70" s="30">
        <v>2105.171429999999</v>
      </c>
      <c r="O70" s="30">
        <v>2170.2599649999988</v>
      </c>
      <c r="P70" s="30">
        <v>2138.5002279999976</v>
      </c>
      <c r="Q70" s="30">
        <v>2126.842948999999</v>
      </c>
      <c r="R70" s="30">
        <v>2135.4427250000003</v>
      </c>
      <c r="S70" s="30">
        <v>2059.7415389999987</v>
      </c>
      <c r="T70" s="30">
        <v>2122.801341999997</v>
      </c>
      <c r="U70" s="30">
        <v>2130.2612379999991</v>
      </c>
      <c r="V70" s="30">
        <v>2155.8898779999981</v>
      </c>
      <c r="W70" s="31">
        <v>2122.3802630000005</v>
      </c>
      <c r="Y70" s="6">
        <f t="array" ref="Y70">AVERAGE(B70:K70/TotalWasteDisposed!B70:K70-Distance!N70:W70/TotalWasteDisposed!N70:W70)</f>
        <v>2.9817867568656364</v>
      </c>
      <c r="Z70" s="5">
        <f t="array" ref="Z70">_xlfn.STDEV.S(B70:K70/TotalWasteDisposed!B70:K70-Distance!N70:W70/TotalWasteDisposed!N70:W70)</f>
        <v>2.2731764854290015E-2</v>
      </c>
      <c r="AA70" s="5">
        <f t="shared" si="3"/>
        <v>1.6260195221967363E-2</v>
      </c>
      <c r="AB70" s="5">
        <f t="shared" si="4"/>
        <v>2.965526561643669</v>
      </c>
      <c r="AC70" s="5">
        <f t="shared" si="5"/>
        <v>2.9980469520876039</v>
      </c>
    </row>
    <row r="71" spans="1:29" x14ac:dyDescent="0.3">
      <c r="A71" s="23">
        <v>68</v>
      </c>
      <c r="B71" s="30">
        <v>6144.6635399999595</v>
      </c>
      <c r="C71" s="30">
        <v>6130.92192599997</v>
      </c>
      <c r="D71" s="30">
        <v>6141.2615089999599</v>
      </c>
      <c r="E71" s="30">
        <v>6138.84963899996</v>
      </c>
      <c r="F71" s="30">
        <v>6144.4241589999701</v>
      </c>
      <c r="G71" s="30">
        <v>6139.8506789999701</v>
      </c>
      <c r="H71" s="30">
        <v>6157.3480219999692</v>
      </c>
      <c r="I71" s="30">
        <v>6166.6002629999603</v>
      </c>
      <c r="J71" s="30">
        <v>6144.20460799996</v>
      </c>
      <c r="K71" s="31">
        <v>6136.8422469999596</v>
      </c>
      <c r="L71" s="4"/>
      <c r="M71" s="23">
        <v>68</v>
      </c>
      <c r="N71" s="30">
        <v>2121.9962759999971</v>
      </c>
      <c r="O71" s="30">
        <v>2145.9275729999981</v>
      </c>
      <c r="P71" s="30">
        <v>2252.1600869999993</v>
      </c>
      <c r="Q71" s="30">
        <v>2109.0772049999978</v>
      </c>
      <c r="R71" s="30">
        <v>2164.2072679999992</v>
      </c>
      <c r="S71" s="30">
        <v>2123.3165369999983</v>
      </c>
      <c r="T71" s="30">
        <v>2134.3302219999991</v>
      </c>
      <c r="U71" s="30">
        <v>2100.057464999998</v>
      </c>
      <c r="V71" s="30">
        <v>2124.8631500000001</v>
      </c>
      <c r="W71" s="31">
        <v>2131.4118759999965</v>
      </c>
      <c r="Y71" s="6">
        <f t="array" ref="Y71">AVERAGE(B71:K71/TotalWasteDisposed!B71:K71-Distance!N71:W71/TotalWasteDisposed!N71:W71)</f>
        <v>2.9903417885947645</v>
      </c>
      <c r="Z71" s="5">
        <f t="array" ref="Z71">_xlfn.STDEV.S(B71:K71/TotalWasteDisposed!B71:K71-Distance!N71:W71/TotalWasteDisposed!N71:W71)</f>
        <v>2.7072782474251742E-2</v>
      </c>
      <c r="AA71" s="5">
        <f t="shared" si="3"/>
        <v>1.9365356410068275E-2</v>
      </c>
      <c r="AB71" s="5">
        <f t="shared" si="4"/>
        <v>2.9709764321846963</v>
      </c>
      <c r="AC71" s="5">
        <f t="shared" si="5"/>
        <v>3.0097071450048327</v>
      </c>
    </row>
    <row r="72" spans="1:29" x14ac:dyDescent="0.3">
      <c r="A72" s="23">
        <v>69</v>
      </c>
      <c r="B72" s="30">
        <v>6156.3679279999606</v>
      </c>
      <c r="C72" s="30">
        <v>6140.7013419999694</v>
      </c>
      <c r="D72" s="30">
        <v>6140.8238519999704</v>
      </c>
      <c r="E72" s="30">
        <v>6140.6129259999598</v>
      </c>
      <c r="F72" s="30">
        <v>6144.8978789999601</v>
      </c>
      <c r="G72" s="30">
        <v>6141.0868449999598</v>
      </c>
      <c r="H72" s="30">
        <v>6142.6729589999604</v>
      </c>
      <c r="I72" s="30">
        <v>6129.2619959999702</v>
      </c>
      <c r="J72" s="30">
        <v>6145.2514569999694</v>
      </c>
      <c r="K72" s="31">
        <v>6139.1467239999602</v>
      </c>
      <c r="L72" s="4"/>
      <c r="M72" s="23">
        <v>69</v>
      </c>
      <c r="N72" s="30">
        <v>2099.6733089999989</v>
      </c>
      <c r="O72" s="30">
        <v>2148.865882999999</v>
      </c>
      <c r="P72" s="30">
        <v>2094.1511709999968</v>
      </c>
      <c r="Q72" s="30">
        <v>2098.9980439999981</v>
      </c>
      <c r="R72" s="30">
        <v>2105.3038849999989</v>
      </c>
      <c r="S72" s="30">
        <v>2148.4126610000003</v>
      </c>
      <c r="T72" s="30">
        <v>2148.9903829999994</v>
      </c>
      <c r="U72" s="30">
        <v>2165.544464999999</v>
      </c>
      <c r="V72" s="30">
        <v>2141.8068159999971</v>
      </c>
      <c r="W72" s="31">
        <v>2116.6099879999979</v>
      </c>
      <c r="Y72" s="6">
        <f t="array" ref="Y72">AVERAGE(B72:K72/TotalWasteDisposed!B72:K72-Distance!N72:W72/TotalWasteDisposed!N72:W72)</f>
        <v>2.9871211863365845</v>
      </c>
      <c r="Z72" s="5">
        <f t="array" ref="Z72">_xlfn.STDEV.S(B72:K72/TotalWasteDisposed!B72:K72-Distance!N72:W72/TotalWasteDisposed!N72:W72)</f>
        <v>3.3465757095086347E-2</v>
      </c>
      <c r="AA72" s="5">
        <f t="shared" si="3"/>
        <v>2.3938297228793818E-2</v>
      </c>
      <c r="AB72" s="5">
        <f t="shared" si="4"/>
        <v>2.9631828891077907</v>
      </c>
      <c r="AC72" s="5">
        <f t="shared" si="5"/>
        <v>3.0110594835653783</v>
      </c>
    </row>
    <row r="73" spans="1:29" x14ac:dyDescent="0.3">
      <c r="A73" s="23">
        <v>70</v>
      </c>
      <c r="B73" s="30">
        <v>6133.1413839999605</v>
      </c>
      <c r="C73" s="30">
        <v>6151.7073799999598</v>
      </c>
      <c r="D73" s="30">
        <v>6141.1374939999596</v>
      </c>
      <c r="E73" s="30">
        <v>6140.1805519999598</v>
      </c>
      <c r="F73" s="30">
        <v>6133.9205769999598</v>
      </c>
      <c r="G73" s="30">
        <v>6139.7664519999607</v>
      </c>
      <c r="H73" s="30">
        <v>6141.5509279999696</v>
      </c>
      <c r="I73" s="30">
        <v>6146.7946399999601</v>
      </c>
      <c r="J73" s="30">
        <v>6145.255842999959</v>
      </c>
      <c r="K73" s="31">
        <v>6157.4244819999603</v>
      </c>
      <c r="L73" s="4"/>
      <c r="M73" s="23">
        <v>70</v>
      </c>
      <c r="N73" s="30">
        <v>2235.1524089999998</v>
      </c>
      <c r="O73" s="30">
        <v>2148.5307099999982</v>
      </c>
      <c r="P73" s="30">
        <v>2094.721518999997</v>
      </c>
      <c r="Q73" s="30">
        <v>2148.2981929999987</v>
      </c>
      <c r="R73" s="30">
        <v>2132.7857549999999</v>
      </c>
      <c r="S73" s="30">
        <v>2206.4174750000002</v>
      </c>
      <c r="T73" s="30">
        <v>2239.3535739999988</v>
      </c>
      <c r="U73" s="30">
        <v>2120.5446749999969</v>
      </c>
      <c r="V73" s="30">
        <v>2134.487380999999</v>
      </c>
      <c r="W73" s="31">
        <v>2103.5859649999989</v>
      </c>
      <c r="Y73" s="6">
        <f t="array" ref="Y73">AVERAGE(B73:K73/TotalWasteDisposed!B73:K73-Distance!N73:W73/TotalWasteDisposed!N73:W73)</f>
        <v>3.0041378367078755</v>
      </c>
      <c r="Z73" s="5">
        <f t="array" ref="Z73">_xlfn.STDEV.S(B73:K73/TotalWasteDisposed!B73:K73-Distance!N73:W73/TotalWasteDisposed!N73:W73)</f>
        <v>2.9041035021370381E-2</v>
      </c>
      <c r="AA73" s="5">
        <f t="shared" si="3"/>
        <v>2.077326164168709E-2</v>
      </c>
      <c r="AB73" s="5">
        <f t="shared" si="4"/>
        <v>2.9833645750661884</v>
      </c>
      <c r="AC73" s="5">
        <f t="shared" si="5"/>
        <v>3.0249110983495626</v>
      </c>
    </row>
    <row r="74" spans="1:29" x14ac:dyDescent="0.3">
      <c r="A74" s="23">
        <v>71</v>
      </c>
      <c r="B74" s="30">
        <v>6144.9335779999601</v>
      </c>
      <c r="C74" s="30">
        <v>6138.73728999996</v>
      </c>
      <c r="D74" s="30">
        <v>6138.6367389999705</v>
      </c>
      <c r="E74" s="30">
        <v>6133.3297989999601</v>
      </c>
      <c r="F74" s="30">
        <v>6117.5102669999596</v>
      </c>
      <c r="G74" s="30">
        <v>6142.0524419999601</v>
      </c>
      <c r="H74" s="30">
        <v>6155.2407039999598</v>
      </c>
      <c r="I74" s="30">
        <v>6143.7637689999701</v>
      </c>
      <c r="J74" s="30">
        <v>6138.5961009999701</v>
      </c>
      <c r="K74" s="31">
        <v>6139.0096299999605</v>
      </c>
      <c r="L74" s="4"/>
      <c r="M74" s="23">
        <v>71</v>
      </c>
      <c r="N74" s="30">
        <v>2124.4040560000003</v>
      </c>
      <c r="O74" s="30">
        <v>2191.9524979999978</v>
      </c>
      <c r="P74" s="30">
        <v>2247.7915069999981</v>
      </c>
      <c r="Q74" s="30">
        <v>2128.274669999998</v>
      </c>
      <c r="R74" s="30">
        <v>2111.8785939999989</v>
      </c>
      <c r="S74" s="30">
        <v>2122.9500759999969</v>
      </c>
      <c r="T74" s="30">
        <v>2131.3002929999989</v>
      </c>
      <c r="U74" s="30">
        <v>2111.2343149999997</v>
      </c>
      <c r="V74" s="30">
        <v>2180.8495069999981</v>
      </c>
      <c r="W74" s="31">
        <v>2162.4550309999968</v>
      </c>
      <c r="Y74" s="6">
        <f t="array" ref="Y74">AVERAGE(B74:K74/TotalWasteDisposed!B74:K74-Distance!N74:W74/TotalWasteDisposed!N74:W74)</f>
        <v>2.9870779454395757</v>
      </c>
      <c r="Z74" s="5">
        <f t="array" ref="Z74">_xlfn.STDEV.S(B74:K74/TotalWasteDisposed!B74:K74-Distance!N74:W74/TotalWasteDisposed!N74:W74)</f>
        <v>3.1810705493762116E-2</v>
      </c>
      <c r="AA74" s="5">
        <f t="shared" si="3"/>
        <v>2.2754426890856425E-2</v>
      </c>
      <c r="AB74" s="5">
        <f t="shared" si="4"/>
        <v>2.9643235185487193</v>
      </c>
      <c r="AC74" s="5">
        <f t="shared" si="5"/>
        <v>3.0098323723304321</v>
      </c>
    </row>
    <row r="75" spans="1:29" x14ac:dyDescent="0.3">
      <c r="A75" s="23">
        <v>72</v>
      </c>
      <c r="B75" s="30">
        <v>6139.5128169999698</v>
      </c>
      <c r="C75" s="30">
        <v>6131.0503839999692</v>
      </c>
      <c r="D75" s="30">
        <v>6137.9539109999696</v>
      </c>
      <c r="E75" s="30">
        <v>6158.7948569999699</v>
      </c>
      <c r="F75" s="30">
        <v>6156.8679249999605</v>
      </c>
      <c r="G75" s="30">
        <v>6136.1928359999602</v>
      </c>
      <c r="H75" s="30">
        <v>6147.4287519999598</v>
      </c>
      <c r="I75" s="30">
        <v>6140.5678579999712</v>
      </c>
      <c r="J75" s="30">
        <v>6141.7531939999599</v>
      </c>
      <c r="K75" s="31">
        <v>6142.2081779999698</v>
      </c>
      <c r="L75" s="4"/>
      <c r="M75" s="23">
        <v>72</v>
      </c>
      <c r="N75" s="30">
        <v>2119.180879999999</v>
      </c>
      <c r="O75" s="30">
        <v>2215.1837769999997</v>
      </c>
      <c r="P75" s="30">
        <v>2111.8973839999981</v>
      </c>
      <c r="Q75" s="30">
        <v>2191.8394359999993</v>
      </c>
      <c r="R75" s="30">
        <v>2150.9105269999991</v>
      </c>
      <c r="S75" s="30">
        <v>2222.3675809999991</v>
      </c>
      <c r="T75" s="30">
        <v>2132.233788999999</v>
      </c>
      <c r="U75" s="30">
        <v>2036.5981949999998</v>
      </c>
      <c r="V75" s="30">
        <v>2110.4053159999989</v>
      </c>
      <c r="W75" s="31">
        <v>2146.3517229999989</v>
      </c>
      <c r="Y75" s="6">
        <f t="array" ref="Y75">AVERAGE(B75:K75/TotalWasteDisposed!B75:K75-Distance!N75:W75/TotalWasteDisposed!N75:W75)</f>
        <v>3.0141030825470247</v>
      </c>
      <c r="Z75" s="5">
        <f t="array" ref="Z75">_xlfn.STDEV.S(B75:K75/TotalWasteDisposed!B75:K75-Distance!N75:W75/TotalWasteDisposed!N75:W75)</f>
        <v>3.0754037832083438E-2</v>
      </c>
      <c r="AA75" s="5">
        <f t="shared" si="3"/>
        <v>2.1998584897339035E-2</v>
      </c>
      <c r="AB75" s="5">
        <f t="shared" si="4"/>
        <v>2.9921044976496858</v>
      </c>
      <c r="AC75" s="5">
        <f t="shared" si="5"/>
        <v>3.0361016674443637</v>
      </c>
    </row>
    <row r="76" spans="1:29" x14ac:dyDescent="0.3">
      <c r="A76" s="23">
        <v>73</v>
      </c>
      <c r="B76" s="30">
        <v>6714.0382879999806</v>
      </c>
      <c r="C76" s="30">
        <v>6693.5661919999793</v>
      </c>
      <c r="D76" s="30">
        <v>6698.1555899999794</v>
      </c>
      <c r="E76" s="30">
        <v>6693.1696579999789</v>
      </c>
      <c r="F76" s="30">
        <v>6692.6066929999779</v>
      </c>
      <c r="G76" s="30">
        <v>6670.8375799999794</v>
      </c>
      <c r="H76" s="30">
        <v>6695.4169099999799</v>
      </c>
      <c r="I76" s="30">
        <v>6686.0770979999797</v>
      </c>
      <c r="J76" s="30">
        <v>6702.2771939999784</v>
      </c>
      <c r="K76" s="31">
        <v>6716.394600999979</v>
      </c>
      <c r="L76" s="4"/>
      <c r="M76" s="23">
        <v>73</v>
      </c>
      <c r="N76" s="30">
        <v>2699.8986369999948</v>
      </c>
      <c r="O76" s="30">
        <v>2721.9973719999962</v>
      </c>
      <c r="P76" s="30">
        <v>2673.5494389999953</v>
      </c>
      <c r="Q76" s="30">
        <v>2637.3570409999961</v>
      </c>
      <c r="R76" s="30">
        <v>2711.5991349999972</v>
      </c>
      <c r="S76" s="30">
        <v>2708.9509729999972</v>
      </c>
      <c r="T76" s="30">
        <v>2660.1340969999969</v>
      </c>
      <c r="U76" s="30">
        <v>2675.9954209999969</v>
      </c>
      <c r="V76" s="30">
        <v>2709.579089999997</v>
      </c>
      <c r="W76" s="31">
        <v>2678.4609829999977</v>
      </c>
      <c r="Y76" s="6">
        <f t="array" ref="Y76">AVERAGE(B76:K76/TotalWasteDisposed!B76:K76-Distance!N76:W76/TotalWasteDisposed!N76:W76)</f>
        <v>3.6842566723513266</v>
      </c>
      <c r="Z76" s="5">
        <f t="array" ref="Z76">_xlfn.STDEV.S(B76:K76/TotalWasteDisposed!B76:K76-Distance!N76:W76/TotalWasteDisposed!N76:W76)</f>
        <v>1.8434548137567452E-2</v>
      </c>
      <c r="AA76" s="5">
        <f t="shared" si="3"/>
        <v>1.3186365135614707E-2</v>
      </c>
      <c r="AB76" s="5">
        <f t="shared" si="4"/>
        <v>3.6710703072157118</v>
      </c>
      <c r="AC76" s="5">
        <f t="shared" si="5"/>
        <v>3.6974430374869414</v>
      </c>
    </row>
    <row r="77" spans="1:29" x14ac:dyDescent="0.3">
      <c r="A77" s="23">
        <v>74</v>
      </c>
      <c r="B77" s="30">
        <v>6700.8136999999788</v>
      </c>
      <c r="C77" s="30">
        <v>6694.4278029999787</v>
      </c>
      <c r="D77" s="30">
        <v>6673.8132299999788</v>
      </c>
      <c r="E77" s="30">
        <v>6691.4391729999797</v>
      </c>
      <c r="F77" s="30">
        <v>6697.7190849999797</v>
      </c>
      <c r="G77" s="30">
        <v>6663.0567199999787</v>
      </c>
      <c r="H77" s="30">
        <v>6700.695338999979</v>
      </c>
      <c r="I77" s="30">
        <v>6674.613648999979</v>
      </c>
      <c r="J77" s="30">
        <v>6692.9948129999784</v>
      </c>
      <c r="K77" s="31">
        <v>6678.7518699999791</v>
      </c>
      <c r="L77" s="4"/>
      <c r="M77" s="23">
        <v>74</v>
      </c>
      <c r="N77" s="30">
        <v>2693.9919829999949</v>
      </c>
      <c r="O77" s="30">
        <v>2678.6322199999972</v>
      </c>
      <c r="P77" s="30">
        <v>2695.1226149999966</v>
      </c>
      <c r="Q77" s="30">
        <v>2674.3875889999963</v>
      </c>
      <c r="R77" s="30">
        <v>2709.110155999997</v>
      </c>
      <c r="S77" s="30">
        <v>2673.7254299999977</v>
      </c>
      <c r="T77" s="30">
        <v>2668.4498879999951</v>
      </c>
      <c r="U77" s="30">
        <v>2707.2814369999965</v>
      </c>
      <c r="V77" s="30">
        <v>2660.9257479999969</v>
      </c>
      <c r="W77" s="31">
        <v>2677.6315899999972</v>
      </c>
      <c r="Y77" s="6">
        <f t="array" ref="Y77">AVERAGE(B77:K77/TotalWasteDisposed!B77:K77-Distance!N77:W77/TotalWasteDisposed!N77:W77)</f>
        <v>3.6769139720737258</v>
      </c>
      <c r="Z77" s="5">
        <f t="array" ref="Z77">_xlfn.STDEV.S(B77:K77/TotalWasteDisposed!B77:K77-Distance!N77:W77/TotalWasteDisposed!N77:W77)</f>
        <v>1.4915657733652988E-2</v>
      </c>
      <c r="AA77" s="5">
        <f t="shared" si="3"/>
        <v>1.0669277470001345E-2</v>
      </c>
      <c r="AB77" s="5">
        <f t="shared" si="4"/>
        <v>3.6662446946037246</v>
      </c>
      <c r="AC77" s="5">
        <f t="shared" si="5"/>
        <v>3.6875832495437271</v>
      </c>
    </row>
    <row r="78" spans="1:29" x14ac:dyDescent="0.3">
      <c r="A78" s="23">
        <v>75</v>
      </c>
      <c r="B78" s="30">
        <v>6691.4070839999795</v>
      </c>
      <c r="C78" s="30">
        <v>6663.0929659999783</v>
      </c>
      <c r="D78" s="30">
        <v>6711.1419669999786</v>
      </c>
      <c r="E78" s="30">
        <v>6701.001761999978</v>
      </c>
      <c r="F78" s="30">
        <v>6692.6327819999797</v>
      </c>
      <c r="G78" s="30">
        <v>6688.8047369999786</v>
      </c>
      <c r="H78" s="30">
        <v>6676.1714599999787</v>
      </c>
      <c r="I78" s="30">
        <v>6696.507951999979</v>
      </c>
      <c r="J78" s="30">
        <v>6672.346384999978</v>
      </c>
      <c r="K78" s="31">
        <v>6701.5115989999786</v>
      </c>
      <c r="L78" s="4"/>
      <c r="M78" s="23">
        <v>75</v>
      </c>
      <c r="N78" s="30">
        <v>2695.9800089999972</v>
      </c>
      <c r="O78" s="30">
        <v>2692.7772689999952</v>
      </c>
      <c r="P78" s="30">
        <v>2687.3981429999963</v>
      </c>
      <c r="Q78" s="30">
        <v>2706.6642599999964</v>
      </c>
      <c r="R78" s="30">
        <v>2681.5734049999969</v>
      </c>
      <c r="S78" s="30">
        <v>2681.7053339999979</v>
      </c>
      <c r="T78" s="30">
        <v>2672.6124319999949</v>
      </c>
      <c r="U78" s="30">
        <v>2705.3975479999958</v>
      </c>
      <c r="V78" s="30">
        <v>2702.0269079999971</v>
      </c>
      <c r="W78" s="31">
        <v>2661.6628609999962</v>
      </c>
      <c r="Y78" s="6">
        <f t="array" ref="Y78">AVERAGE(B78:K78/TotalWasteDisposed!B78:K78-Distance!N78:W78/TotalWasteDisposed!N78:W78)</f>
        <v>3.6784998419778874</v>
      </c>
      <c r="Z78" s="5">
        <f t="array" ref="Z78">_xlfn.STDEV.S(B78:K78/TotalWasteDisposed!B78:K78-Distance!N78:W78/TotalWasteDisposed!N78:W78)</f>
        <v>2.2234473765503814E-2</v>
      </c>
      <c r="AA78" s="5">
        <f t="shared" si="3"/>
        <v>1.590447932231594E-2</v>
      </c>
      <c r="AB78" s="5">
        <f t="shared" si="4"/>
        <v>3.6625953626555714</v>
      </c>
      <c r="AC78" s="5">
        <f t="shared" si="5"/>
        <v>3.6944043213002034</v>
      </c>
    </row>
    <row r="79" spans="1:29" x14ac:dyDescent="0.3">
      <c r="A79" s="23">
        <v>76</v>
      </c>
      <c r="B79" s="30">
        <v>6705.1792609999784</v>
      </c>
      <c r="C79" s="30">
        <v>6682.8289789999781</v>
      </c>
      <c r="D79" s="30">
        <v>6697.7222909999782</v>
      </c>
      <c r="E79" s="30">
        <v>6678.634039999979</v>
      </c>
      <c r="F79" s="30">
        <v>6719.2279249999792</v>
      </c>
      <c r="G79" s="30">
        <v>6678.0972899999788</v>
      </c>
      <c r="H79" s="30">
        <v>6665.1122939999786</v>
      </c>
      <c r="I79" s="30">
        <v>6677.4164609999789</v>
      </c>
      <c r="J79" s="30">
        <v>6671.877798999978</v>
      </c>
      <c r="K79" s="31">
        <v>6663.8564379999789</v>
      </c>
      <c r="L79" s="4"/>
      <c r="M79" s="23">
        <v>76</v>
      </c>
      <c r="N79" s="30">
        <v>2708.1747879999966</v>
      </c>
      <c r="O79" s="30">
        <v>2684.415589999996</v>
      </c>
      <c r="P79" s="30">
        <v>2723.146821999997</v>
      </c>
      <c r="Q79" s="30">
        <v>2708.216245999995</v>
      </c>
      <c r="R79" s="30">
        <v>2673.7631349999965</v>
      </c>
      <c r="S79" s="30">
        <v>2696.2092389999957</v>
      </c>
      <c r="T79" s="30">
        <v>2697.5644309999971</v>
      </c>
      <c r="U79" s="30">
        <v>2683.8190709999958</v>
      </c>
      <c r="V79" s="30">
        <v>2710.2986919999967</v>
      </c>
      <c r="W79" s="31">
        <v>2695.1019679999972</v>
      </c>
      <c r="Y79" s="6">
        <f t="array" ref="Y79">AVERAGE(B79:K79/TotalWasteDisposed!B79:K79-Distance!N79:W79/TotalWasteDisposed!N79:W79)</f>
        <v>3.6697543828668282</v>
      </c>
      <c r="Z79" s="5">
        <f t="array" ref="Z79">_xlfn.STDEV.S(B79:K79/TotalWasteDisposed!B79:K79-Distance!N79:W79/TotalWasteDisposed!N79:W79)</f>
        <v>1.7263646326629127E-2</v>
      </c>
      <c r="AA79" s="5">
        <f t="shared" si="3"/>
        <v>1.2348810631877214E-2</v>
      </c>
      <c r="AB79" s="5">
        <f t="shared" si="4"/>
        <v>3.6574055722349508</v>
      </c>
      <c r="AC79" s="5">
        <f t="shared" si="5"/>
        <v>3.6821031934987056</v>
      </c>
    </row>
    <row r="80" spans="1:29" x14ac:dyDescent="0.3">
      <c r="A80" s="23">
        <v>77</v>
      </c>
      <c r="B80" s="30">
        <v>6680.3071419999796</v>
      </c>
      <c r="C80" s="30">
        <v>6677.8792989999793</v>
      </c>
      <c r="D80" s="30">
        <v>6677.1494799999791</v>
      </c>
      <c r="E80" s="30">
        <v>6664.8265179999789</v>
      </c>
      <c r="F80" s="30">
        <v>6667.7319019999786</v>
      </c>
      <c r="G80" s="30">
        <v>6662.4201239999784</v>
      </c>
      <c r="H80" s="30">
        <v>6681.6580649999787</v>
      </c>
      <c r="I80" s="30">
        <v>6665.6516169999786</v>
      </c>
      <c r="J80" s="30">
        <v>6685.1128339999796</v>
      </c>
      <c r="K80" s="31">
        <v>6678.5043069999783</v>
      </c>
      <c r="L80" s="4"/>
      <c r="M80" s="23">
        <v>77</v>
      </c>
      <c r="N80" s="30">
        <v>2679.4634939999974</v>
      </c>
      <c r="O80" s="30">
        <v>2683.2591919999977</v>
      </c>
      <c r="P80" s="30">
        <v>2676.951726999996</v>
      </c>
      <c r="Q80" s="30">
        <v>2622.9445899999969</v>
      </c>
      <c r="R80" s="30">
        <v>2724.5677909999977</v>
      </c>
      <c r="S80" s="30">
        <v>2677.8547569999951</v>
      </c>
      <c r="T80" s="30">
        <v>2720.8805869999974</v>
      </c>
      <c r="U80" s="30">
        <v>2759.1811889999949</v>
      </c>
      <c r="V80" s="30">
        <v>2712.696001999997</v>
      </c>
      <c r="W80" s="31">
        <v>2695.207032999997</v>
      </c>
      <c r="Y80" s="6">
        <f t="array" ref="Y80">AVERAGE(B80:K80/TotalWasteDisposed!B80:K80-Distance!N80:W80/TotalWasteDisposed!N80:W80)</f>
        <v>3.6678696278794631</v>
      </c>
      <c r="Z80" s="5">
        <f t="array" ref="Z80">_xlfn.STDEV.S(B80:K80/TotalWasteDisposed!B80:K80-Distance!N80:W80/TotalWasteDisposed!N80:W80)</f>
        <v>1.9466332442407197E-2</v>
      </c>
      <c r="AA80" s="5">
        <f t="shared" si="3"/>
        <v>1.3924407884657573E-2</v>
      </c>
      <c r="AB80" s="5">
        <f t="shared" si="4"/>
        <v>3.6539452199948057</v>
      </c>
      <c r="AC80" s="5">
        <f t="shared" si="5"/>
        <v>3.6817940357641206</v>
      </c>
    </row>
    <row r="81" spans="1:29" x14ac:dyDescent="0.3">
      <c r="A81" s="23">
        <v>78</v>
      </c>
      <c r="B81" s="30">
        <v>6693.2587369999783</v>
      </c>
      <c r="C81" s="30">
        <v>6678.7546679999787</v>
      </c>
      <c r="D81" s="30">
        <v>6717.0194159999792</v>
      </c>
      <c r="E81" s="30">
        <v>6669.6829299999781</v>
      </c>
      <c r="F81" s="30">
        <v>6667.8068299999795</v>
      </c>
      <c r="G81" s="30">
        <v>6681.429415999979</v>
      </c>
      <c r="H81" s="30">
        <v>6658.3300959999788</v>
      </c>
      <c r="I81" s="30">
        <v>6706.5029499999791</v>
      </c>
      <c r="J81" s="30">
        <v>6664.9917189999787</v>
      </c>
      <c r="K81" s="31">
        <v>6681.3382059999785</v>
      </c>
      <c r="L81" s="4"/>
      <c r="M81" s="23">
        <v>78</v>
      </c>
      <c r="N81" s="30">
        <v>2713.0574819999965</v>
      </c>
      <c r="O81" s="30">
        <v>2678.3637059999965</v>
      </c>
      <c r="P81" s="30">
        <v>2668.2960159999961</v>
      </c>
      <c r="Q81" s="30">
        <v>2708.6621999999961</v>
      </c>
      <c r="R81" s="30">
        <v>2731.5150159999971</v>
      </c>
      <c r="S81" s="30">
        <v>2684.3444239999958</v>
      </c>
      <c r="T81" s="30">
        <v>2702.1392529999971</v>
      </c>
      <c r="U81" s="30">
        <v>2674.8064459999969</v>
      </c>
      <c r="V81" s="30">
        <v>2703.0211109999968</v>
      </c>
      <c r="W81" s="31">
        <v>2725.4629699999955</v>
      </c>
      <c r="Y81" s="6">
        <f t="array" ref="Y81">AVERAGE(B81:K81/TotalWasteDisposed!B81:K81-Distance!N81:W81/TotalWasteDisposed!N81:W81)</f>
        <v>3.672436418140085</v>
      </c>
      <c r="Z81" s="5">
        <f t="array" ref="Z81">_xlfn.STDEV.S(B81:K81/TotalWasteDisposed!B81:K81-Distance!N81:W81/TotalWasteDisposed!N81:W81)</f>
        <v>1.4687455885689954E-2</v>
      </c>
      <c r="AA81" s="5">
        <f t="shared" si="3"/>
        <v>1.0506043043564263E-2</v>
      </c>
      <c r="AB81" s="5">
        <f t="shared" si="4"/>
        <v>3.6619303750965209</v>
      </c>
      <c r="AC81" s="5">
        <f t="shared" si="5"/>
        <v>3.6829424611836492</v>
      </c>
    </row>
    <row r="82" spans="1:29" x14ac:dyDescent="0.3">
      <c r="A82" s="23">
        <v>79</v>
      </c>
      <c r="B82" s="30">
        <v>6680.7290539999785</v>
      </c>
      <c r="C82" s="30">
        <v>6662.9045529999785</v>
      </c>
      <c r="D82" s="30">
        <v>6684.6646279999786</v>
      </c>
      <c r="E82" s="30">
        <v>6714.9836269999787</v>
      </c>
      <c r="F82" s="30">
        <v>6670.8604619999787</v>
      </c>
      <c r="G82" s="30">
        <v>6695.3688939999793</v>
      </c>
      <c r="H82" s="30">
        <v>6671.2510619999784</v>
      </c>
      <c r="I82" s="30">
        <v>6707.0775029999786</v>
      </c>
      <c r="J82" s="30">
        <v>6677.4110929999788</v>
      </c>
      <c r="K82" s="31">
        <v>6684.1700239999791</v>
      </c>
      <c r="L82" s="4"/>
      <c r="M82" s="23">
        <v>79</v>
      </c>
      <c r="N82" s="30">
        <v>2645.0276559999966</v>
      </c>
      <c r="O82" s="30">
        <v>2709.7318629999963</v>
      </c>
      <c r="P82" s="30">
        <v>2658.0686439999981</v>
      </c>
      <c r="Q82" s="30">
        <v>2707.7217839999948</v>
      </c>
      <c r="R82" s="30">
        <v>2773.7918719999971</v>
      </c>
      <c r="S82" s="30">
        <v>2710.8366379999966</v>
      </c>
      <c r="T82" s="30">
        <v>2706.7616099999964</v>
      </c>
      <c r="U82" s="30">
        <v>2708.2169889999959</v>
      </c>
      <c r="V82" s="30">
        <v>2676.0636819999972</v>
      </c>
      <c r="W82" s="31">
        <v>2707.6392779999969</v>
      </c>
      <c r="Y82" s="6">
        <f t="array" ref="Y82">AVERAGE(B82:K82/TotalWasteDisposed!B82:K82-Distance!N82:W82/TotalWasteDisposed!N82:W82)</f>
        <v>3.6751354372310026</v>
      </c>
      <c r="Z82" s="5">
        <f t="array" ref="Z82">_xlfn.STDEV.S(B82:K82/TotalWasteDisposed!B82:K82-Distance!N82:W82/TotalWasteDisposed!N82:W82)</f>
        <v>1.7277317284989466E-2</v>
      </c>
      <c r="AA82" s="5">
        <f t="shared" si="3"/>
        <v>1.2358589566915271E-2</v>
      </c>
      <c r="AB82" s="5">
        <f t="shared" si="4"/>
        <v>3.6627768476640874</v>
      </c>
      <c r="AC82" s="5">
        <f t="shared" si="5"/>
        <v>3.6874940267979177</v>
      </c>
    </row>
    <row r="83" spans="1:29" x14ac:dyDescent="0.3">
      <c r="A83" s="23">
        <v>80</v>
      </c>
      <c r="B83" s="30">
        <v>6681.8815999999779</v>
      </c>
      <c r="C83" s="30">
        <v>6687.425017999979</v>
      </c>
      <c r="D83" s="30">
        <v>6691.5755289999797</v>
      </c>
      <c r="E83" s="30">
        <v>6647.5771879999793</v>
      </c>
      <c r="F83" s="30">
        <v>6702.5349559999786</v>
      </c>
      <c r="G83" s="30">
        <v>6689.8382789999787</v>
      </c>
      <c r="H83" s="30">
        <v>6691.873317999979</v>
      </c>
      <c r="I83" s="30">
        <v>6679.1407149999786</v>
      </c>
      <c r="J83" s="30">
        <v>6682.9087799999788</v>
      </c>
      <c r="K83" s="31">
        <v>6676.9542989999791</v>
      </c>
      <c r="L83" s="4"/>
      <c r="M83" s="23">
        <v>80</v>
      </c>
      <c r="N83" s="30">
        <v>2691.6827169999979</v>
      </c>
      <c r="O83" s="30">
        <v>2667.556722999997</v>
      </c>
      <c r="P83" s="30">
        <v>2684.8661239999951</v>
      </c>
      <c r="Q83" s="30">
        <v>2719.9784539999978</v>
      </c>
      <c r="R83" s="30">
        <v>2698.7131759999975</v>
      </c>
      <c r="S83" s="30">
        <v>2675.5196099999957</v>
      </c>
      <c r="T83" s="30">
        <v>2662.6317869999971</v>
      </c>
      <c r="U83" s="30">
        <v>2689.2440099999963</v>
      </c>
      <c r="V83" s="30">
        <v>2692.1671299999971</v>
      </c>
      <c r="W83" s="31">
        <v>2719.1270589999967</v>
      </c>
      <c r="Y83" s="6">
        <f t="array" ref="Y83">AVERAGE(B83:K83/TotalWasteDisposed!B83:K83-Distance!N83:W83/TotalWasteDisposed!N83:W83)</f>
        <v>3.6679309225035501</v>
      </c>
      <c r="Z83" s="5">
        <f t="array" ref="Z83">_xlfn.STDEV.S(B83:K83/TotalWasteDisposed!B83:K83-Distance!N83:W83/TotalWasteDisposed!N83:W83)</f>
        <v>1.0341361572321156E-2</v>
      </c>
      <c r="AA83" s="5">
        <f t="shared" si="3"/>
        <v>7.3972504600829103E-3</v>
      </c>
      <c r="AB83" s="5">
        <f t="shared" si="4"/>
        <v>3.6605336720434671</v>
      </c>
      <c r="AC83" s="5">
        <f t="shared" si="5"/>
        <v>3.6753281729636331</v>
      </c>
    </row>
    <row r="84" spans="1:29" x14ac:dyDescent="0.3">
      <c r="A84" s="26">
        <v>81</v>
      </c>
      <c r="B84" s="32">
        <v>6678.9695109999784</v>
      </c>
      <c r="C84" s="32">
        <v>6713.0286149999793</v>
      </c>
      <c r="D84" s="32">
        <v>6709.6910569999791</v>
      </c>
      <c r="E84" s="32">
        <v>6687.3071669999799</v>
      </c>
      <c r="F84" s="32">
        <v>6694.993817999979</v>
      </c>
      <c r="G84" s="32">
        <v>6664.8845619999784</v>
      </c>
      <c r="H84" s="32">
        <v>6707.7089969999788</v>
      </c>
      <c r="I84" s="32">
        <v>6681.806669999979</v>
      </c>
      <c r="J84" s="32">
        <v>6681.1467699999785</v>
      </c>
      <c r="K84" s="33">
        <v>6685.5135279999795</v>
      </c>
      <c r="L84" s="4"/>
      <c r="M84" s="26">
        <v>81</v>
      </c>
      <c r="N84" s="32">
        <v>2679.3211779999956</v>
      </c>
      <c r="O84" s="32">
        <v>2732.6196999999975</v>
      </c>
      <c r="P84" s="32">
        <v>2767.7218959999977</v>
      </c>
      <c r="Q84" s="32">
        <v>2721.4189359999968</v>
      </c>
      <c r="R84" s="32">
        <v>2712.5315649999975</v>
      </c>
      <c r="S84" s="32">
        <v>2732.651004999997</v>
      </c>
      <c r="T84" s="32">
        <v>2697.5225679999953</v>
      </c>
      <c r="U84" s="32">
        <v>2669.440449999996</v>
      </c>
      <c r="V84" s="32">
        <v>2688.0712959999946</v>
      </c>
      <c r="W84" s="33">
        <v>2661.1399099999967</v>
      </c>
      <c r="Y84" s="6">
        <f t="array" ref="Y84">AVERAGE(B84:K84/TotalWasteDisposed!B84:K84-Distance!N84:W84/TotalWasteDisposed!N84:W84)</f>
        <v>3.6755620444749924</v>
      </c>
      <c r="Z84" s="5">
        <f t="array" ref="Z84">_xlfn.STDEV.S(B84:K84/TotalWasteDisposed!B84:K84-Distance!N84:W84/TotalWasteDisposed!N84:W84)</f>
        <v>9.6892499410894846E-3</v>
      </c>
      <c r="AA84" s="5">
        <f t="shared" si="3"/>
        <v>6.9307903106703827E-3</v>
      </c>
      <c r="AB84" s="5">
        <f t="shared" si="4"/>
        <v>3.668631254164322</v>
      </c>
      <c r="AC84" s="5">
        <f t="shared" si="5"/>
        <v>3.6824928347856627</v>
      </c>
    </row>
  </sheetData>
  <mergeCells count="2">
    <mergeCell ref="B2:K2"/>
    <mergeCell ref="N2: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F7F1-21C4-473E-9BC4-D267DAE92977}">
  <dimension ref="A1:AE84"/>
  <sheetViews>
    <sheetView tabSelected="1" workbookViewId="0">
      <selection activeCell="P12" sqref="P12"/>
    </sheetView>
  </sheetViews>
  <sheetFormatPr defaultRowHeight="14.4" x14ac:dyDescent="0.3"/>
  <cols>
    <col min="12" max="12" width="4.88671875" customWidth="1"/>
    <col min="26" max="26" width="11.109375" bestFit="1" customWidth="1"/>
  </cols>
  <sheetData>
    <row r="1" spans="1:31" x14ac:dyDescent="0.3">
      <c r="A1" s="15" t="s">
        <v>1</v>
      </c>
      <c r="B1" s="16"/>
      <c r="C1" s="16"/>
      <c r="D1" s="16"/>
      <c r="E1" s="16"/>
      <c r="F1" s="16"/>
      <c r="G1" s="16"/>
      <c r="H1" s="16"/>
      <c r="I1" s="16"/>
      <c r="J1" s="16"/>
      <c r="K1" s="17"/>
      <c r="L1" s="16"/>
      <c r="M1" s="15" t="s">
        <v>2</v>
      </c>
      <c r="N1" s="16"/>
      <c r="O1" s="16"/>
      <c r="P1" s="16"/>
      <c r="Q1" s="16"/>
      <c r="R1" s="16"/>
      <c r="S1" s="16"/>
      <c r="T1" s="16"/>
      <c r="U1" s="16"/>
      <c r="V1" s="16"/>
      <c r="W1" s="17"/>
    </row>
    <row r="2" spans="1:31" x14ac:dyDescent="0.3">
      <c r="A2" s="18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20"/>
      <c r="L2" s="29"/>
      <c r="M2" s="18"/>
      <c r="N2" s="19" t="s">
        <v>0</v>
      </c>
      <c r="O2" s="19"/>
      <c r="P2" s="19"/>
      <c r="Q2" s="19"/>
      <c r="R2" s="19"/>
      <c r="S2" s="19"/>
      <c r="T2" s="19"/>
      <c r="U2" s="19"/>
      <c r="V2" s="19"/>
      <c r="W2" s="20"/>
    </row>
    <row r="3" spans="1:31" x14ac:dyDescent="0.3">
      <c r="A3" s="21" t="s">
        <v>19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22">
        <v>10</v>
      </c>
      <c r="L3" s="13"/>
      <c r="M3" s="21" t="s">
        <v>19</v>
      </c>
      <c r="N3" s="13">
        <v>1</v>
      </c>
      <c r="O3" s="13">
        <v>2</v>
      </c>
      <c r="P3" s="13">
        <v>3</v>
      </c>
      <c r="Q3" s="13">
        <v>4</v>
      </c>
      <c r="R3" s="13">
        <v>5</v>
      </c>
      <c r="S3" s="13">
        <v>6</v>
      </c>
      <c r="T3" s="13">
        <v>7</v>
      </c>
      <c r="U3" s="13">
        <v>8</v>
      </c>
      <c r="V3" s="13">
        <v>9</v>
      </c>
      <c r="W3" s="22">
        <v>10</v>
      </c>
      <c r="Y3" s="7" t="s">
        <v>3</v>
      </c>
      <c r="Z3" s="7" t="s">
        <v>4</v>
      </c>
      <c r="AA3" s="7" t="s">
        <v>5</v>
      </c>
      <c r="AB3" s="7" t="s">
        <v>6</v>
      </c>
      <c r="AC3" s="7" t="s">
        <v>7</v>
      </c>
    </row>
    <row r="4" spans="1:31" x14ac:dyDescent="0.3">
      <c r="A4" s="23">
        <v>1</v>
      </c>
      <c r="B4" s="24">
        <v>7136.839564583981</v>
      </c>
      <c r="C4" s="24">
        <v>7213.0228244929604</v>
      </c>
      <c r="D4" s="24">
        <v>7182.9020132409796</v>
      </c>
      <c r="E4" s="24">
        <v>7181.8685790109794</v>
      </c>
      <c r="F4" s="24">
        <v>7194.4135683529694</v>
      </c>
      <c r="G4" s="24">
        <v>7193.6086648279907</v>
      </c>
      <c r="H4" s="24">
        <v>7185.1425296359594</v>
      </c>
      <c r="I4" s="24">
        <v>7182.4505476999593</v>
      </c>
      <c r="J4" s="24">
        <v>7171.0327462379601</v>
      </c>
      <c r="K4" s="25">
        <v>7150.4620997819802</v>
      </c>
      <c r="L4" s="3"/>
      <c r="M4" s="23">
        <v>1</v>
      </c>
      <c r="N4" s="24">
        <v>905.56590053054003</v>
      </c>
      <c r="O4" s="24">
        <v>924.71634775499706</v>
      </c>
      <c r="P4" s="24">
        <v>917.07873115899611</v>
      </c>
      <c r="Q4" s="24">
        <v>916.46823533299607</v>
      </c>
      <c r="R4" s="24">
        <v>917.73432461499601</v>
      </c>
      <c r="S4" s="24">
        <v>913.65789230499593</v>
      </c>
      <c r="T4" s="24">
        <v>921.37324059799607</v>
      </c>
      <c r="U4" s="24">
        <v>921.45463615499705</v>
      </c>
      <c r="V4" s="24">
        <v>917.36124806899602</v>
      </c>
      <c r="W4" s="25">
        <v>912.07046700099602</v>
      </c>
      <c r="Y4" s="6">
        <f t="array" ref="Y4">AVERAGE(B4:K4/TotalWasteDisposed!B4:K4-'CO2'!N4:W4/TotalWasteDisposed!N4:W4)</f>
        <v>3.6052127449913507</v>
      </c>
      <c r="Z4" s="5">
        <f t="array" ref="Z4">_xlfn.STDEV.S(B4:K4/TotalWasteDisposed!B4:K4-'CO2'!N4:W4/TotalWasteDisposed!N4:W4)</f>
        <v>1.3716998049284236E-2</v>
      </c>
      <c r="AA4" s="5">
        <f>2.262*Z4/SQRT(10)</f>
        <v>9.8118675593555638E-3</v>
      </c>
      <c r="AB4" s="5">
        <f>Y4-AA4</f>
        <v>3.5954008774319952</v>
      </c>
      <c r="AC4" s="5">
        <f>Y4+AA4</f>
        <v>3.6150246125507062</v>
      </c>
    </row>
    <row r="5" spans="1:31" x14ac:dyDescent="0.3">
      <c r="A5" s="23">
        <v>2</v>
      </c>
      <c r="B5" s="24">
        <v>7185.9840974969593</v>
      </c>
      <c r="C5" s="24">
        <v>7186.4995662679603</v>
      </c>
      <c r="D5" s="24">
        <v>7186.3495081139699</v>
      </c>
      <c r="E5" s="24">
        <v>7162.9220727529791</v>
      </c>
      <c r="F5" s="24">
        <v>7170.8654908239596</v>
      </c>
      <c r="G5" s="24">
        <v>7222.7437851999603</v>
      </c>
      <c r="H5" s="24">
        <v>7154.2997914769603</v>
      </c>
      <c r="I5" s="24">
        <v>7203.1110671949791</v>
      </c>
      <c r="J5" s="24">
        <v>7157.99428403398</v>
      </c>
      <c r="K5" s="25">
        <v>7166.4868044519608</v>
      </c>
      <c r="L5" s="3"/>
      <c r="M5" s="23">
        <v>2</v>
      </c>
      <c r="N5" s="24">
        <v>917.17780174199595</v>
      </c>
      <c r="O5" s="24">
        <v>916.46823533299607</v>
      </c>
      <c r="P5" s="24">
        <v>918.65907076499604</v>
      </c>
      <c r="Q5" s="24">
        <v>916.46823533299607</v>
      </c>
      <c r="R5" s="24">
        <v>916.46823533299607</v>
      </c>
      <c r="S5" s="24">
        <v>916.46823533299607</v>
      </c>
      <c r="T5" s="24">
        <v>916.46823533299607</v>
      </c>
      <c r="U5" s="24">
        <v>917.06041898399599</v>
      </c>
      <c r="V5" s="24">
        <v>917.14618174399789</v>
      </c>
      <c r="W5" s="25">
        <v>916.46823533299607</v>
      </c>
      <c r="Y5" s="6">
        <f t="array" ref="Y5">AVERAGE(B5:K5/TotalWasteDisposed!B5:K5-'CO2'!N5:W5/TotalWasteDisposed!N5:W5)</f>
        <v>3.604068582731113</v>
      </c>
      <c r="Z5" s="5">
        <f t="array" ref="Z5">_xlfn.STDEV.S(B5:K5/TotalWasteDisposed!B5:K5-'CO2'!N5:W5/TotalWasteDisposed!N5:W5)</f>
        <v>1.9136812734713269E-2</v>
      </c>
      <c r="AA5" s="5">
        <f t="shared" ref="AA5:AA68" si="0">2.262*Z5/SQRT(10)</f>
        <v>1.3688700062984513E-2</v>
      </c>
      <c r="AB5" s="5">
        <f t="shared" ref="AB5:AB68" si="1">Y5-AA5</f>
        <v>3.5903798826681284</v>
      </c>
      <c r="AC5" s="5">
        <f t="shared" ref="AC5:AC68" si="2">Y5+AA5</f>
        <v>3.6177572827940976</v>
      </c>
    </row>
    <row r="6" spans="1:31" x14ac:dyDescent="0.3">
      <c r="A6" s="23">
        <v>3</v>
      </c>
      <c r="B6" s="24">
        <v>7201.2002007719802</v>
      </c>
      <c r="C6" s="24">
        <v>7181.9354630999596</v>
      </c>
      <c r="D6" s="24">
        <v>7184.5481165089705</v>
      </c>
      <c r="E6" s="24">
        <v>7148.4350614549703</v>
      </c>
      <c r="F6" s="24">
        <v>7193.0796240089703</v>
      </c>
      <c r="G6" s="24">
        <v>7198.9419028579705</v>
      </c>
      <c r="H6" s="24">
        <v>7194.6701316009794</v>
      </c>
      <c r="I6" s="24">
        <v>7151.8427601509793</v>
      </c>
      <c r="J6" s="24">
        <v>7187.6608382009599</v>
      </c>
      <c r="K6" s="25">
        <v>7179.3929995439703</v>
      </c>
      <c r="L6" s="3"/>
      <c r="M6" s="23">
        <v>3</v>
      </c>
      <c r="N6" s="24">
        <v>915.45792056399591</v>
      </c>
      <c r="O6" s="24">
        <v>917.41312275699602</v>
      </c>
      <c r="P6" s="24">
        <v>861.47351633699691</v>
      </c>
      <c r="Q6" s="24">
        <v>911.94908479299704</v>
      </c>
      <c r="R6" s="24">
        <v>912.07046700099602</v>
      </c>
      <c r="S6" s="24">
        <v>922.57731702099704</v>
      </c>
      <c r="T6" s="24">
        <v>922.93801485499705</v>
      </c>
      <c r="U6" s="24">
        <v>917.14618174399789</v>
      </c>
      <c r="V6" s="24">
        <v>916.6853442999959</v>
      </c>
      <c r="W6" s="25">
        <v>912.07046700099602</v>
      </c>
      <c r="Y6" s="6">
        <f t="array" ref="Y6">AVERAGE(B6:K6/TotalWasteDisposed!B6:K6-'CO2'!N6:W6/TotalWasteDisposed!N6:W6)</f>
        <v>3.6112341960030738</v>
      </c>
      <c r="Z6" s="5">
        <f t="array" ref="Z6">_xlfn.STDEV.S(B6:K6/TotalWasteDisposed!B6:K6-'CO2'!N6:W6/TotalWasteDisposed!N6:W6)</f>
        <v>2.1924718873878344E-2</v>
      </c>
      <c r="AA6" s="5">
        <f t="shared" si="0"/>
        <v>1.5682909416016345E-2</v>
      </c>
      <c r="AB6" s="5">
        <f t="shared" si="1"/>
        <v>3.5955512865870576</v>
      </c>
      <c r="AC6" s="5">
        <f t="shared" si="2"/>
        <v>3.6269171054190901</v>
      </c>
    </row>
    <row r="7" spans="1:31" x14ac:dyDescent="0.3">
      <c r="A7" s="23">
        <v>4</v>
      </c>
      <c r="B7" s="24">
        <v>7148.8157888669593</v>
      </c>
      <c r="C7" s="24">
        <v>7194.4503578369604</v>
      </c>
      <c r="D7" s="24">
        <v>7210.5658538219895</v>
      </c>
      <c r="E7" s="24">
        <v>7162.3699845909705</v>
      </c>
      <c r="F7" s="24">
        <v>7181.3698973349601</v>
      </c>
      <c r="G7" s="24">
        <v>7204.2759594059598</v>
      </c>
      <c r="H7" s="24">
        <v>7176.3762786769603</v>
      </c>
      <c r="I7" s="24">
        <v>7180.2811579769896</v>
      </c>
      <c r="J7" s="24">
        <v>7170.1971908729793</v>
      </c>
      <c r="K7" s="25">
        <v>7143.9378658599708</v>
      </c>
      <c r="L7" s="3"/>
      <c r="M7" s="23">
        <v>4</v>
      </c>
      <c r="N7" s="24">
        <v>915.57709367599614</v>
      </c>
      <c r="O7" s="24">
        <v>911.75429795999696</v>
      </c>
      <c r="P7" s="24">
        <v>916.46823533299607</v>
      </c>
      <c r="Q7" s="24">
        <v>916.46823533299607</v>
      </c>
      <c r="R7" s="24">
        <v>916.46823533299607</v>
      </c>
      <c r="S7" s="24">
        <v>921.34421725399591</v>
      </c>
      <c r="T7" s="24">
        <v>915.79143866799586</v>
      </c>
      <c r="U7" s="24">
        <v>861.60885365399713</v>
      </c>
      <c r="V7" s="24">
        <v>865.53117706799708</v>
      </c>
      <c r="W7" s="25">
        <v>921.29049496199605</v>
      </c>
      <c r="Y7" s="6">
        <f t="array" ref="Y7">AVERAGE(B7:K7/TotalWasteDisposed!B7:K7-'CO2'!N7:W7/TotalWasteDisposed!N7:W7)</f>
        <v>3.6148874789054575</v>
      </c>
      <c r="Z7" s="5">
        <f t="array" ref="Z7">_xlfn.STDEV.S(B7:K7/TotalWasteDisposed!B7:K7-'CO2'!N7:W7/TotalWasteDisposed!N7:W7)</f>
        <v>2.7748065399418102E-2</v>
      </c>
      <c r="AA7" s="5">
        <f t="shared" si="0"/>
        <v>1.9848391153021547E-2</v>
      </c>
      <c r="AB7" s="5">
        <f t="shared" si="1"/>
        <v>3.5950390877524359</v>
      </c>
      <c r="AC7" s="5">
        <f t="shared" si="2"/>
        <v>3.6347358700584791</v>
      </c>
    </row>
    <row r="8" spans="1:31" x14ac:dyDescent="0.3">
      <c r="A8" s="23">
        <v>5</v>
      </c>
      <c r="B8" s="24">
        <v>7152.3546850759694</v>
      </c>
      <c r="C8" s="24">
        <v>7159.8853122009696</v>
      </c>
      <c r="D8" s="24">
        <v>7158.3481994329595</v>
      </c>
      <c r="E8" s="24">
        <v>7151.9489599839808</v>
      </c>
      <c r="F8" s="24">
        <v>7168.3692319899601</v>
      </c>
      <c r="G8" s="24">
        <v>7178.1898564889807</v>
      </c>
      <c r="H8" s="24">
        <v>7204.1329106059602</v>
      </c>
      <c r="I8" s="24">
        <v>7236.3984565669598</v>
      </c>
      <c r="J8" s="24">
        <v>7183.8585398299901</v>
      </c>
      <c r="K8" s="25">
        <v>7168.9115220859694</v>
      </c>
      <c r="L8" s="3"/>
      <c r="M8" s="23">
        <v>5</v>
      </c>
      <c r="N8" s="24">
        <v>901.64084494520205</v>
      </c>
      <c r="O8" s="24">
        <v>916.46823533299607</v>
      </c>
      <c r="P8" s="24">
        <v>917.51001190099601</v>
      </c>
      <c r="Q8" s="24">
        <v>920.23799061499801</v>
      </c>
      <c r="R8" s="24">
        <v>916.46823533299607</v>
      </c>
      <c r="S8" s="24">
        <v>911.65523869099809</v>
      </c>
      <c r="T8" s="24">
        <v>918.19856824499595</v>
      </c>
      <c r="U8" s="24">
        <v>916.22273210299602</v>
      </c>
      <c r="V8" s="24">
        <v>916.46823533299607</v>
      </c>
      <c r="W8" s="25">
        <v>916.46823533299607</v>
      </c>
      <c r="X8" s="3"/>
      <c r="Y8" s="6">
        <f t="array" ref="Y8">AVERAGE(B8:K8/TotalWasteDisposed!B8:K8-'CO2'!N8:W8/TotalWasteDisposed!N8:W8)</f>
        <v>3.6089902915963337</v>
      </c>
      <c r="Z8" s="5">
        <f t="array" ref="Z8">_xlfn.STDEV.S(B8:K8/TotalWasteDisposed!B8:K8-'CO2'!N8:W8/TotalWasteDisposed!N8:W8)</f>
        <v>1.9186278818304314E-2</v>
      </c>
      <c r="AA8" s="5">
        <f t="shared" si="0"/>
        <v>1.37240835090659E-2</v>
      </c>
      <c r="AB8" s="5">
        <f t="shared" si="1"/>
        <v>3.5952662080872679</v>
      </c>
      <c r="AC8" s="5">
        <f t="shared" si="2"/>
        <v>3.6227143751053994</v>
      </c>
    </row>
    <row r="9" spans="1:31" x14ac:dyDescent="0.3">
      <c r="A9" s="23">
        <v>6</v>
      </c>
      <c r="B9" s="24">
        <v>7146.0139191319604</v>
      </c>
      <c r="C9" s="24">
        <v>7176.2069952019792</v>
      </c>
      <c r="D9" s="24">
        <v>7164.1328654989693</v>
      </c>
      <c r="E9" s="24">
        <v>7145.7127083259893</v>
      </c>
      <c r="F9" s="24">
        <v>7179.6594118879693</v>
      </c>
      <c r="G9" s="24">
        <v>7188.8097702099603</v>
      </c>
      <c r="H9" s="24">
        <v>7152.2155663399899</v>
      </c>
      <c r="I9" s="24">
        <v>7163.8549644509894</v>
      </c>
      <c r="J9" s="24">
        <v>7152.4015485669797</v>
      </c>
      <c r="K9" s="25">
        <v>7195.8437405669802</v>
      </c>
      <c r="L9" s="3"/>
      <c r="M9" s="23">
        <v>6</v>
      </c>
      <c r="N9" s="24">
        <v>916.46823533299607</v>
      </c>
      <c r="O9" s="24">
        <v>917.06041898399599</v>
      </c>
      <c r="P9" s="24">
        <v>911.75429795999696</v>
      </c>
      <c r="Q9" s="24">
        <v>922.39338084699693</v>
      </c>
      <c r="R9" s="24">
        <v>922.47377122499699</v>
      </c>
      <c r="S9" s="24">
        <v>912.09994875999701</v>
      </c>
      <c r="T9" s="24">
        <v>922.49641272299698</v>
      </c>
      <c r="U9" s="24">
        <v>916.46823533299607</v>
      </c>
      <c r="V9" s="24">
        <v>918.55395859399596</v>
      </c>
      <c r="W9" s="25">
        <v>916.46823533299607</v>
      </c>
      <c r="X9" s="3"/>
      <c r="Y9" s="6">
        <f t="array" ref="Y9">AVERAGE(B9:K9/TotalWasteDisposed!B9:K9-'CO2'!N9:W9/TotalWasteDisposed!N9:W9)</f>
        <v>3.5972915775558603</v>
      </c>
      <c r="Z9" s="5">
        <f t="array" ref="Z9">_xlfn.STDEV.S(B9:K9/TotalWasteDisposed!B9:K9-'CO2'!N9:W9/TotalWasteDisposed!N9:W9)</f>
        <v>2.848941954491829E-2</v>
      </c>
      <c r="AA9" s="5">
        <f t="shared" si="0"/>
        <v>2.0378687116037061E-2</v>
      </c>
      <c r="AB9" s="5">
        <f t="shared" si="1"/>
        <v>3.5769128904398233</v>
      </c>
      <c r="AC9" s="5">
        <f t="shared" si="2"/>
        <v>3.6176702646718972</v>
      </c>
    </row>
    <row r="10" spans="1:31" x14ac:dyDescent="0.3">
      <c r="A10" s="23">
        <v>7</v>
      </c>
      <c r="B10" s="24">
        <v>7191.386786529959</v>
      </c>
      <c r="C10" s="24">
        <v>7151.9850929419699</v>
      </c>
      <c r="D10" s="24">
        <v>7164.9861425329909</v>
      </c>
      <c r="E10" s="24">
        <v>7188.8479302779606</v>
      </c>
      <c r="F10" s="24">
        <v>7149.5617070669605</v>
      </c>
      <c r="G10" s="24">
        <v>7164.1431815999595</v>
      </c>
      <c r="H10" s="24">
        <v>7157.64528078897</v>
      </c>
      <c r="I10" s="24">
        <v>7186.1291483259793</v>
      </c>
      <c r="J10" s="24">
        <v>7149.0074762779604</v>
      </c>
      <c r="K10" s="25">
        <v>7151.36956495496</v>
      </c>
      <c r="L10" s="3"/>
      <c r="M10" s="23">
        <v>7</v>
      </c>
      <c r="N10" s="24">
        <v>905.39194714053997</v>
      </c>
      <c r="O10" s="24">
        <v>920.79803751999589</v>
      </c>
      <c r="P10" s="24">
        <v>916.46823533299607</v>
      </c>
      <c r="Q10" s="24">
        <v>916.46823533299607</v>
      </c>
      <c r="R10" s="24">
        <v>862.39744390899602</v>
      </c>
      <c r="S10" s="24">
        <v>922.47377122499699</v>
      </c>
      <c r="T10" s="24">
        <v>915.28396717399596</v>
      </c>
      <c r="U10" s="24">
        <v>918.50820679799608</v>
      </c>
      <c r="V10" s="24">
        <v>913.80079991299704</v>
      </c>
      <c r="W10" s="25">
        <v>918.50820679799608</v>
      </c>
      <c r="X10" s="3"/>
      <c r="Y10" s="6">
        <f t="array" ref="Y10">AVERAGE(B10:K10/TotalWasteDisposed!B10:K10-'CO2'!N10:W10/TotalWasteDisposed!N10:W10)</f>
        <v>3.5967835412505309</v>
      </c>
      <c r="Z10" s="5">
        <f t="array" ref="Z10">_xlfn.STDEV.S(B10:K10/TotalWasteDisposed!B10:K10-'CO2'!N10:W10/TotalWasteDisposed!N10:W10)</f>
        <v>2.7161318106305732E-2</v>
      </c>
      <c r="AA10" s="5">
        <f t="shared" si="0"/>
        <v>1.94286865857289E-2</v>
      </c>
      <c r="AB10" s="5">
        <f t="shared" si="1"/>
        <v>3.5773548546648022</v>
      </c>
      <c r="AC10" s="5">
        <f t="shared" si="2"/>
        <v>3.6162122278362596</v>
      </c>
      <c r="AD10" s="3"/>
      <c r="AE10" s="3"/>
    </row>
    <row r="11" spans="1:31" x14ac:dyDescent="0.3">
      <c r="A11" s="23">
        <v>8</v>
      </c>
      <c r="B11" s="24">
        <v>7214.936328264961</v>
      </c>
      <c r="C11" s="24">
        <v>7189.0994502099902</v>
      </c>
      <c r="D11" s="24">
        <v>7175.4610592399904</v>
      </c>
      <c r="E11" s="24">
        <v>7196.4898130359597</v>
      </c>
      <c r="F11" s="24">
        <v>7177.9146518449606</v>
      </c>
      <c r="G11" s="24">
        <v>7165.5228433809898</v>
      </c>
      <c r="H11" s="24">
        <v>7196.2615328909596</v>
      </c>
      <c r="I11" s="24">
        <v>7163.3120533859801</v>
      </c>
      <c r="J11" s="24">
        <v>7143.6115588549892</v>
      </c>
      <c r="K11" s="25">
        <v>7167.0811763129805</v>
      </c>
      <c r="L11" s="3"/>
      <c r="M11" s="23">
        <v>8</v>
      </c>
      <c r="N11" s="24">
        <v>920.90620434599714</v>
      </c>
      <c r="O11" s="24">
        <v>913.11224356899595</v>
      </c>
      <c r="P11" s="24">
        <v>860.66785267799696</v>
      </c>
      <c r="Q11" s="24">
        <v>916.46823533299607</v>
      </c>
      <c r="R11" s="24">
        <v>917.51218202599603</v>
      </c>
      <c r="S11" s="24">
        <v>861.16031011999701</v>
      </c>
      <c r="T11" s="24">
        <v>921.29049496199605</v>
      </c>
      <c r="U11" s="24">
        <v>917.06041898399599</v>
      </c>
      <c r="V11" s="24">
        <v>911.94908479299704</v>
      </c>
      <c r="W11" s="25">
        <v>916.46823533299607</v>
      </c>
      <c r="Y11" s="6">
        <f t="array" ref="Y11">AVERAGE(B11:K11/TotalWasteDisposed!B11:K11-'CO2'!N11:W11/TotalWasteDisposed!N11:W11)</f>
        <v>3.6207980008772034</v>
      </c>
      <c r="Z11" s="5">
        <f t="array" ref="Z11">_xlfn.STDEV.S(B11:K11/TotalWasteDisposed!B11:K11-'CO2'!N11:W11/TotalWasteDisposed!N11:W11)</f>
        <v>1.6842124832358224E-2</v>
      </c>
      <c r="AA11" s="5">
        <f t="shared" si="0"/>
        <v>1.2047293269233601E-2</v>
      </c>
      <c r="AB11" s="5">
        <f t="shared" si="1"/>
        <v>3.6087507076079697</v>
      </c>
      <c r="AC11" s="5">
        <f t="shared" si="2"/>
        <v>3.6328452941464371</v>
      </c>
    </row>
    <row r="12" spans="1:31" x14ac:dyDescent="0.3">
      <c r="A12" s="23">
        <v>9</v>
      </c>
      <c r="B12" s="24">
        <v>7169.3417336109596</v>
      </c>
      <c r="C12" s="24">
        <v>7200.723249088961</v>
      </c>
      <c r="D12" s="24">
        <v>7182.3975477429894</v>
      </c>
      <c r="E12" s="24">
        <v>7184.9489202689692</v>
      </c>
      <c r="F12" s="24">
        <v>7177.47157108797</v>
      </c>
      <c r="G12" s="24">
        <v>7186.9315080569595</v>
      </c>
      <c r="H12" s="24">
        <v>7219.6457681759593</v>
      </c>
      <c r="I12" s="24">
        <v>7176.8058065239793</v>
      </c>
      <c r="J12" s="24">
        <v>7139.8420238039907</v>
      </c>
      <c r="K12" s="25">
        <v>7140.9722738529599</v>
      </c>
      <c r="L12" s="3"/>
      <c r="M12" s="23">
        <v>9</v>
      </c>
      <c r="N12" s="24">
        <v>912.8420975289979</v>
      </c>
      <c r="O12" s="24">
        <v>916.46823533299607</v>
      </c>
      <c r="P12" s="24">
        <v>921.29049496199605</v>
      </c>
      <c r="Q12" s="24">
        <v>917.51218202599603</v>
      </c>
      <c r="R12" s="24">
        <v>920.83638977599696</v>
      </c>
      <c r="S12" s="24">
        <v>917.17780174199595</v>
      </c>
      <c r="T12" s="24">
        <v>923.48733398099705</v>
      </c>
      <c r="U12" s="24">
        <v>860.45384522099596</v>
      </c>
      <c r="V12" s="24">
        <v>916.46823533299607</v>
      </c>
      <c r="W12" s="25">
        <v>916.36917606399606</v>
      </c>
      <c r="Y12" s="6">
        <f t="array" ref="Y12">AVERAGE(B12:K12/TotalWasteDisposed!B12:K12-'CO2'!N12:W12/TotalWasteDisposed!N12:W12)</f>
        <v>3.6071830661380062</v>
      </c>
      <c r="Z12" s="5">
        <f t="array" ref="Z12">_xlfn.STDEV.S(B12:K12/TotalWasteDisposed!B12:K12-'CO2'!N12:W12/TotalWasteDisposed!N12:W12)</f>
        <v>2.491995924245257E-2</v>
      </c>
      <c r="AA12" s="5">
        <f t="shared" si="0"/>
        <v>1.7825426437546373E-2</v>
      </c>
      <c r="AB12" s="5">
        <f t="shared" si="1"/>
        <v>3.5893576397004598</v>
      </c>
      <c r="AC12" s="5">
        <f t="shared" si="2"/>
        <v>3.6250084925755526</v>
      </c>
    </row>
    <row r="13" spans="1:31" x14ac:dyDescent="0.3">
      <c r="A13" s="23">
        <v>10</v>
      </c>
      <c r="B13" s="24">
        <v>5824.3129462959896</v>
      </c>
      <c r="C13" s="24">
        <v>5828.7970859669904</v>
      </c>
      <c r="D13" s="24">
        <v>5831.5405722339901</v>
      </c>
      <c r="E13" s="24">
        <v>5819.0031121319898</v>
      </c>
      <c r="F13" s="24">
        <v>5832.4032491999897</v>
      </c>
      <c r="G13" s="24">
        <v>5830.6709978889894</v>
      </c>
      <c r="H13" s="24">
        <v>5843.6448268559898</v>
      </c>
      <c r="I13" s="24">
        <v>5828.4895635529901</v>
      </c>
      <c r="J13" s="24">
        <v>5825.0719341879903</v>
      </c>
      <c r="K13" s="25">
        <v>5830.4814842439901</v>
      </c>
      <c r="L13" s="3"/>
      <c r="M13" s="23">
        <v>10</v>
      </c>
      <c r="N13" s="24">
        <v>1969.7705167499939</v>
      </c>
      <c r="O13" s="24">
        <v>1875.696253937992</v>
      </c>
      <c r="P13" s="24">
        <v>1964.2963813899939</v>
      </c>
      <c r="Q13" s="24">
        <v>1967.3471845219958</v>
      </c>
      <c r="R13" s="24">
        <v>1933.868773849993</v>
      </c>
      <c r="S13" s="24">
        <v>1936.7165820979942</v>
      </c>
      <c r="T13" s="24">
        <v>1962.952518599996</v>
      </c>
      <c r="U13" s="24">
        <v>1945.0921842539951</v>
      </c>
      <c r="V13" s="24">
        <v>1936.206032408993</v>
      </c>
      <c r="W13" s="25">
        <v>1934.0867376819931</v>
      </c>
      <c r="Y13" s="6">
        <f t="array" ref="Y13">AVERAGE(B13:K13/TotalWasteDisposed!B13:K13-'CO2'!N13:W13/TotalWasteDisposed!N13:W13)</f>
        <v>2.2350567898720355</v>
      </c>
      <c r="Z13" s="5">
        <f t="array" ref="Z13">_xlfn.STDEV.S(B13:K13/TotalWasteDisposed!B13:K13-'CO2'!N13:W13/TotalWasteDisposed!N13:W13)</f>
        <v>1.9276550035604679E-2</v>
      </c>
      <c r="AA13" s="5">
        <f t="shared" si="0"/>
        <v>1.3788655161361149E-2</v>
      </c>
      <c r="AB13" s="5">
        <f t="shared" si="1"/>
        <v>2.2212681347106744</v>
      </c>
      <c r="AC13" s="5">
        <f t="shared" si="2"/>
        <v>2.2488454450333966</v>
      </c>
    </row>
    <row r="14" spans="1:31" x14ac:dyDescent="0.3">
      <c r="A14" s="23">
        <v>11</v>
      </c>
      <c r="B14" s="24">
        <v>5844.3779669699907</v>
      </c>
      <c r="C14" s="24">
        <v>5810.1137049539902</v>
      </c>
      <c r="D14" s="24">
        <v>5822.0468629059906</v>
      </c>
      <c r="E14" s="24">
        <v>5832.8565759469902</v>
      </c>
      <c r="F14" s="24">
        <v>5814.5394634949898</v>
      </c>
      <c r="G14" s="24">
        <v>5821.45289640999</v>
      </c>
      <c r="H14" s="24">
        <v>5848.9329133349902</v>
      </c>
      <c r="I14" s="24">
        <v>5842.9692063529901</v>
      </c>
      <c r="J14" s="24">
        <v>5812.5844880039895</v>
      </c>
      <c r="K14" s="25">
        <v>5831.6773658639895</v>
      </c>
      <c r="L14" s="3"/>
      <c r="M14" s="23">
        <v>11</v>
      </c>
      <c r="N14" s="24">
        <v>1937.4946521409931</v>
      </c>
      <c r="O14" s="24">
        <v>1935.907844956992</v>
      </c>
      <c r="P14" s="24">
        <v>1944.3613413679939</v>
      </c>
      <c r="Q14" s="24">
        <v>1922.9274235349931</v>
      </c>
      <c r="R14" s="24">
        <v>1935.9462141139938</v>
      </c>
      <c r="S14" s="24">
        <v>1939.9510956329927</v>
      </c>
      <c r="T14" s="24">
        <v>1964.763325947994</v>
      </c>
      <c r="U14" s="24">
        <v>1937.1032187239921</v>
      </c>
      <c r="V14" s="24">
        <v>1902.131152790992</v>
      </c>
      <c r="W14" s="25">
        <v>1932.8665765049932</v>
      </c>
      <c r="Y14" s="6">
        <f t="array" ref="Y14">AVERAGE(B14:K14/TotalWasteDisposed!B14:K14-'CO2'!N14:W14/TotalWasteDisposed!N14:W14)</f>
        <v>2.2478697506874719</v>
      </c>
      <c r="Z14" s="5">
        <f t="array" ref="Z14">_xlfn.STDEV.S(B14:K14/TotalWasteDisposed!B14:K14-'CO2'!N14:W14/TotalWasteDisposed!N14:W14)</f>
        <v>1.5510986089553321E-2</v>
      </c>
      <c r="AA14" s="5">
        <f t="shared" si="0"/>
        <v>1.1095120133347626E-2</v>
      </c>
      <c r="AB14" s="5">
        <f t="shared" si="1"/>
        <v>2.2367746305541241</v>
      </c>
      <c r="AC14" s="5">
        <f t="shared" si="2"/>
        <v>2.2589648708208196</v>
      </c>
    </row>
    <row r="15" spans="1:31" x14ac:dyDescent="0.3">
      <c r="A15" s="23">
        <v>12</v>
      </c>
      <c r="B15" s="24">
        <v>5833.6549859719889</v>
      </c>
      <c r="C15" s="24">
        <v>5830.3221966669898</v>
      </c>
      <c r="D15" s="24">
        <v>5812.8742416089899</v>
      </c>
      <c r="E15" s="24">
        <v>5829.0570063779905</v>
      </c>
      <c r="F15" s="24">
        <v>5811.5969133499893</v>
      </c>
      <c r="G15" s="24">
        <v>5840.4531322829898</v>
      </c>
      <c r="H15" s="24">
        <v>5824.1530496649893</v>
      </c>
      <c r="I15" s="24">
        <v>5840.0393109899896</v>
      </c>
      <c r="J15" s="24">
        <v>5833.9121652889899</v>
      </c>
      <c r="K15" s="25">
        <v>5835.8235473339901</v>
      </c>
      <c r="L15" s="3"/>
      <c r="M15" s="23">
        <v>12</v>
      </c>
      <c r="N15" s="24">
        <v>1942.8170561349939</v>
      </c>
      <c r="O15" s="24">
        <v>1966.1048420429929</v>
      </c>
      <c r="P15" s="24">
        <v>1934.2807318789919</v>
      </c>
      <c r="Q15" s="24">
        <v>1926.6422744859929</v>
      </c>
      <c r="R15" s="24">
        <v>1876.4264709879919</v>
      </c>
      <c r="S15" s="24">
        <v>1930.0385268889929</v>
      </c>
      <c r="T15" s="24">
        <v>1967.947738103994</v>
      </c>
      <c r="U15" s="24">
        <v>1942.3767452499942</v>
      </c>
      <c r="V15" s="24">
        <v>1925.2294737599927</v>
      </c>
      <c r="W15" s="25">
        <v>1930.771085098992</v>
      </c>
      <c r="Y15" s="6">
        <f t="array" ref="Y15">AVERAGE(B15:K15/TotalWasteDisposed!B15:K15-'CO2'!N15:W15/TotalWasteDisposed!N15:W15)</f>
        <v>2.240213404279173</v>
      </c>
      <c r="Z15" s="5">
        <f t="array" ref="Z15">_xlfn.STDEV.S(B15:K15/TotalWasteDisposed!B15:K15-'CO2'!N15:W15/TotalWasteDisposed!N15:W15)</f>
        <v>2.5959205239851069E-2</v>
      </c>
      <c r="AA15" s="5">
        <f t="shared" si="0"/>
        <v>1.8568806589050916E-2</v>
      </c>
      <c r="AB15" s="5">
        <f t="shared" si="1"/>
        <v>2.2216445976901222</v>
      </c>
      <c r="AC15" s="5">
        <f t="shared" si="2"/>
        <v>2.2587822108682238</v>
      </c>
    </row>
    <row r="16" spans="1:31" x14ac:dyDescent="0.3">
      <c r="A16" s="23">
        <v>13</v>
      </c>
      <c r="B16" s="24">
        <v>5824.8968321789898</v>
      </c>
      <c r="C16" s="24">
        <v>5842.0790499709892</v>
      </c>
      <c r="D16" s="24">
        <v>5840.3658358739895</v>
      </c>
      <c r="E16" s="24">
        <v>5819.02334035699</v>
      </c>
      <c r="F16" s="24">
        <v>5834.0032209819892</v>
      </c>
      <c r="G16" s="24">
        <v>5825.8240057939902</v>
      </c>
      <c r="H16" s="24">
        <v>5828.5401485809898</v>
      </c>
      <c r="I16" s="24">
        <v>5836.1596808409904</v>
      </c>
      <c r="J16" s="24">
        <v>5840.4053703929894</v>
      </c>
      <c r="K16" s="25">
        <v>5825.0886310549904</v>
      </c>
      <c r="L16" s="3"/>
      <c r="M16" s="23">
        <v>13</v>
      </c>
      <c r="N16" s="24">
        <v>1940.090780615993</v>
      </c>
      <c r="O16" s="24">
        <v>1946.4475880269931</v>
      </c>
      <c r="P16" s="24">
        <v>1964.2003173479939</v>
      </c>
      <c r="Q16" s="24">
        <v>1953.3209637579942</v>
      </c>
      <c r="R16" s="24">
        <v>1942.0038304119939</v>
      </c>
      <c r="S16" s="24">
        <v>1932.3989684289938</v>
      </c>
      <c r="T16" s="24">
        <v>1970.0786067079939</v>
      </c>
      <c r="U16" s="24">
        <v>1940.4655761929939</v>
      </c>
      <c r="V16" s="24">
        <v>1897.0304226749929</v>
      </c>
      <c r="W16" s="25">
        <v>1942.8738148609941</v>
      </c>
      <c r="Y16" s="6">
        <f t="array" ref="Y16">AVERAGE(B16:K16/TotalWasteDisposed!B16:K16-'CO2'!N16:W16/TotalWasteDisposed!N16:W16)</f>
        <v>2.2418625546145066</v>
      </c>
      <c r="Z16" s="5">
        <f t="array" ref="Z16">_xlfn.STDEV.S(B16:K16/TotalWasteDisposed!B16:K16-'CO2'!N16:W16/TotalWasteDisposed!N16:W16)</f>
        <v>1.3199575119722773E-2</v>
      </c>
      <c r="AA16" s="5">
        <f t="shared" si="0"/>
        <v>9.4417512089128557E-3</v>
      </c>
      <c r="AB16" s="5">
        <f t="shared" si="1"/>
        <v>2.2324208034055939</v>
      </c>
      <c r="AC16" s="5">
        <f t="shared" si="2"/>
        <v>2.2513043058234192</v>
      </c>
    </row>
    <row r="17" spans="1:29" x14ac:dyDescent="0.3">
      <c r="A17" s="23">
        <v>14</v>
      </c>
      <c r="B17" s="24">
        <v>5807.978641995991</v>
      </c>
      <c r="C17" s="24">
        <v>5845.3887972099901</v>
      </c>
      <c r="D17" s="24">
        <v>5843.6532439889897</v>
      </c>
      <c r="E17" s="24">
        <v>5822.8737100569906</v>
      </c>
      <c r="F17" s="24">
        <v>5834.6834984829893</v>
      </c>
      <c r="G17" s="24">
        <v>5837.4565440729903</v>
      </c>
      <c r="H17" s="24">
        <v>5835.3842808119898</v>
      </c>
      <c r="I17" s="24">
        <v>5848.9775186399893</v>
      </c>
      <c r="J17" s="24">
        <v>5840.6412608869896</v>
      </c>
      <c r="K17" s="25">
        <v>5825.6727039069892</v>
      </c>
      <c r="L17" s="3"/>
      <c r="M17" s="23">
        <v>14</v>
      </c>
      <c r="N17" s="24">
        <v>1962.3839095519941</v>
      </c>
      <c r="O17" s="24">
        <v>1940.889095027994</v>
      </c>
      <c r="P17" s="24">
        <v>1905.1275029719941</v>
      </c>
      <c r="Q17" s="24">
        <v>1928.9110819729938</v>
      </c>
      <c r="R17" s="24">
        <v>1924.8865451549959</v>
      </c>
      <c r="S17" s="24">
        <v>1883.5818792689929</v>
      </c>
      <c r="T17" s="24">
        <v>1901.0054545549917</v>
      </c>
      <c r="U17" s="24">
        <v>1954.459364462994</v>
      </c>
      <c r="V17" s="24">
        <v>1909.3059642459921</v>
      </c>
      <c r="W17" s="25">
        <v>1947.933569200994</v>
      </c>
      <c r="Y17" s="6">
        <f t="array" ref="Y17">AVERAGE(B17:K17/TotalWasteDisposed!B17:K17-'CO2'!N17:W17/TotalWasteDisposed!N17:W17)</f>
        <v>2.25260020510893</v>
      </c>
      <c r="Z17" s="5">
        <f t="array" ref="Z17">_xlfn.STDEV.S(B17:K17/TotalWasteDisposed!B17:K17-'CO2'!N17:W17/TotalWasteDisposed!N17:W17)</f>
        <v>1.8118154832474708E-2</v>
      </c>
      <c r="AA17" s="5">
        <f t="shared" si="0"/>
        <v>1.2960046724320717E-2</v>
      </c>
      <c r="AB17" s="5">
        <f t="shared" si="1"/>
        <v>2.2396401583846091</v>
      </c>
      <c r="AC17" s="5">
        <f t="shared" si="2"/>
        <v>2.2655602518332509</v>
      </c>
    </row>
    <row r="18" spans="1:29" x14ac:dyDescent="0.3">
      <c r="A18" s="23">
        <v>15</v>
      </c>
      <c r="B18" s="24">
        <v>5830.0667782799901</v>
      </c>
      <c r="C18" s="24">
        <v>5831.1319024509903</v>
      </c>
      <c r="D18" s="24">
        <v>5824.6208611869897</v>
      </c>
      <c r="E18" s="24">
        <v>5836.5875901379895</v>
      </c>
      <c r="F18" s="24">
        <v>5852.7647240279894</v>
      </c>
      <c r="G18" s="24">
        <v>5820.1437604799903</v>
      </c>
      <c r="H18" s="24">
        <v>5836.1040931419902</v>
      </c>
      <c r="I18" s="24">
        <v>5819.2614689779903</v>
      </c>
      <c r="J18" s="24">
        <v>5833.7132991529897</v>
      </c>
      <c r="K18" s="25">
        <v>5833.3156754679903</v>
      </c>
      <c r="L18" s="3"/>
      <c r="M18" s="23">
        <v>15</v>
      </c>
      <c r="N18" s="24">
        <v>1894.8092711681252</v>
      </c>
      <c r="O18" s="24">
        <v>1936.323257313994</v>
      </c>
      <c r="P18" s="24">
        <v>1959.7368759139943</v>
      </c>
      <c r="Q18" s="24">
        <v>1897.1607437949931</v>
      </c>
      <c r="R18" s="24">
        <v>1911.275850155994</v>
      </c>
      <c r="S18" s="24">
        <v>1932.4625325519949</v>
      </c>
      <c r="T18" s="24">
        <v>1926.3876009849919</v>
      </c>
      <c r="U18" s="24">
        <v>1951.209399065993</v>
      </c>
      <c r="V18" s="24">
        <v>1930.737896700994</v>
      </c>
      <c r="W18" s="25">
        <v>1899.6313473119931</v>
      </c>
      <c r="Y18" s="6">
        <f t="array" ref="Y18">AVERAGE(B18:K18/TotalWasteDisposed!B18:K18-'CO2'!N18:W18/TotalWasteDisposed!N18:W18)</f>
        <v>2.2464054124532433</v>
      </c>
      <c r="Z18" s="5">
        <f t="array" ref="Z18">_xlfn.STDEV.S(B18:K18/TotalWasteDisposed!B18:K18-'CO2'!N18:W18/TotalWasteDisposed!N18:W18)</f>
        <v>1.3470445370256266E-2</v>
      </c>
      <c r="AA18" s="5">
        <f t="shared" si="0"/>
        <v>9.6355066512082473E-3</v>
      </c>
      <c r="AB18" s="5">
        <f t="shared" si="1"/>
        <v>2.2367699058020349</v>
      </c>
      <c r="AC18" s="5">
        <f t="shared" si="2"/>
        <v>2.2560409191044517</v>
      </c>
    </row>
    <row r="19" spans="1:29" x14ac:dyDescent="0.3">
      <c r="A19" s="23">
        <v>16</v>
      </c>
      <c r="B19" s="24">
        <v>5846.6292822199903</v>
      </c>
      <c r="C19" s="24">
        <v>5831.9415849069901</v>
      </c>
      <c r="D19" s="24">
        <v>5819.5625037939899</v>
      </c>
      <c r="E19" s="24">
        <v>5849.4537528489891</v>
      </c>
      <c r="F19" s="24">
        <v>5817.0370413349901</v>
      </c>
      <c r="G19" s="24">
        <v>5821.0565530109898</v>
      </c>
      <c r="H19" s="24">
        <v>5841.7150569899904</v>
      </c>
      <c r="I19" s="24">
        <v>5829.3425428209903</v>
      </c>
      <c r="J19" s="24">
        <v>5834.5239942279904</v>
      </c>
      <c r="K19" s="25">
        <v>5815.8042049349897</v>
      </c>
      <c r="L19" s="3"/>
      <c r="M19" s="23">
        <v>16</v>
      </c>
      <c r="N19" s="24">
        <v>1883.7293310563559</v>
      </c>
      <c r="O19" s="24">
        <v>1906.4236787829939</v>
      </c>
      <c r="P19" s="24">
        <v>1959.883404813995</v>
      </c>
      <c r="Q19" s="24">
        <v>1936.2974757859931</v>
      </c>
      <c r="R19" s="24">
        <v>1943.7412621699941</v>
      </c>
      <c r="S19" s="24">
        <v>1898.3948208509933</v>
      </c>
      <c r="T19" s="24">
        <v>1938.9881961769941</v>
      </c>
      <c r="U19" s="24">
        <v>1956.5645366499939</v>
      </c>
      <c r="V19" s="24">
        <v>1941.2034053219941</v>
      </c>
      <c r="W19" s="25">
        <v>1934.956669021994</v>
      </c>
      <c r="Y19" s="6">
        <f t="array" ref="Y19">AVERAGE(B19:K19/TotalWasteDisposed!B19:K19-'CO2'!N19:W19/TotalWasteDisposed!N19:W19)</f>
        <v>2.2530460355569955</v>
      </c>
      <c r="Z19" s="5">
        <f t="array" ref="Z19">_xlfn.STDEV.S(B19:K19/TotalWasteDisposed!B19:K19-'CO2'!N19:W19/TotalWasteDisposed!N19:W19)</f>
        <v>1.5077789166425017E-2</v>
      </c>
      <c r="AA19" s="5">
        <f t="shared" si="0"/>
        <v>1.0785251252300652E-2</v>
      </c>
      <c r="AB19" s="5">
        <f t="shared" si="1"/>
        <v>2.2422607843046949</v>
      </c>
      <c r="AC19" s="5">
        <f t="shared" si="2"/>
        <v>2.263831286809296</v>
      </c>
    </row>
    <row r="20" spans="1:29" x14ac:dyDescent="0.3">
      <c r="A20" s="23">
        <v>17</v>
      </c>
      <c r="B20" s="24">
        <v>5846.1022590359898</v>
      </c>
      <c r="C20" s="24">
        <v>5832.1550130019896</v>
      </c>
      <c r="D20" s="24">
        <v>5838.7079468279908</v>
      </c>
      <c r="E20" s="24">
        <v>5812.2688350109893</v>
      </c>
      <c r="F20" s="24">
        <v>5840.5548996589896</v>
      </c>
      <c r="G20" s="24">
        <v>5808.9373327189905</v>
      </c>
      <c r="H20" s="24">
        <v>5812.7674590219895</v>
      </c>
      <c r="I20" s="24">
        <v>5831.3300046839904</v>
      </c>
      <c r="J20" s="24">
        <v>5819.9064985309897</v>
      </c>
      <c r="K20" s="25">
        <v>5865.7111978659905</v>
      </c>
      <c r="L20" s="3"/>
      <c r="M20" s="23">
        <v>17</v>
      </c>
      <c r="N20" s="24">
        <v>1906.0936026189931</v>
      </c>
      <c r="O20" s="24">
        <v>1892.5537749139939</v>
      </c>
      <c r="P20" s="24">
        <v>1963.4085693579939</v>
      </c>
      <c r="Q20" s="24">
        <v>1918.4963492099932</v>
      </c>
      <c r="R20" s="24">
        <v>1936.8098799669931</v>
      </c>
      <c r="S20" s="24">
        <v>1897.7139048069939</v>
      </c>
      <c r="T20" s="24">
        <v>1930.645093380994</v>
      </c>
      <c r="U20" s="24">
        <v>1942.920732784994</v>
      </c>
      <c r="V20" s="24">
        <v>1966.775086572994</v>
      </c>
      <c r="W20" s="25">
        <v>1967.130653230995</v>
      </c>
      <c r="Y20" s="6">
        <f t="array" ref="Y20">AVERAGE(B20:K20/TotalWasteDisposed!B20:K20-'CO2'!N20:W20/TotalWasteDisposed!N20:W20)</f>
        <v>2.2544730856908228</v>
      </c>
      <c r="Z20" s="5">
        <f t="array" ref="Z20">_xlfn.STDEV.S(B20:K20/TotalWasteDisposed!B20:K20-'CO2'!N20:W20/TotalWasteDisposed!N20:W20)</f>
        <v>1.6397164017561649E-2</v>
      </c>
      <c r="AA20" s="5">
        <f t="shared" si="0"/>
        <v>1.172900959169712E-2</v>
      </c>
      <c r="AB20" s="5">
        <f t="shared" si="1"/>
        <v>2.2427440760991257</v>
      </c>
      <c r="AC20" s="5">
        <f t="shared" si="2"/>
        <v>2.2662020952825199</v>
      </c>
    </row>
    <row r="21" spans="1:29" x14ac:dyDescent="0.3">
      <c r="A21" s="23">
        <v>18</v>
      </c>
      <c r="B21" s="24">
        <v>5825.3260222549889</v>
      </c>
      <c r="C21" s="24">
        <v>5845.0773211559899</v>
      </c>
      <c r="D21" s="24">
        <v>5840.7137511879901</v>
      </c>
      <c r="E21" s="24">
        <v>5820.08676186499</v>
      </c>
      <c r="F21" s="24">
        <v>5840.9542477379891</v>
      </c>
      <c r="G21" s="24">
        <v>5847.1426464709893</v>
      </c>
      <c r="H21" s="24">
        <v>5828.9532538609901</v>
      </c>
      <c r="I21" s="24">
        <v>5831.4077073929902</v>
      </c>
      <c r="J21" s="24">
        <v>5815.3904105049896</v>
      </c>
      <c r="K21" s="25">
        <v>5834.6098664379897</v>
      </c>
      <c r="L21" s="3"/>
      <c r="M21" s="23">
        <v>18</v>
      </c>
      <c r="N21" s="24">
        <v>1893.7473730979927</v>
      </c>
      <c r="O21" s="24">
        <v>1915.5374048349929</v>
      </c>
      <c r="P21" s="24">
        <v>1925.5968711039923</v>
      </c>
      <c r="Q21" s="24">
        <v>1960.340293755994</v>
      </c>
      <c r="R21" s="24">
        <v>1914.9703419709931</v>
      </c>
      <c r="S21" s="24">
        <v>1929.0948503899922</v>
      </c>
      <c r="T21" s="24">
        <v>1964.2963491769942</v>
      </c>
      <c r="U21" s="24">
        <v>1909.5794225139919</v>
      </c>
      <c r="V21" s="24">
        <v>1960.2494597789942</v>
      </c>
      <c r="W21" s="25">
        <v>1924.765539668992</v>
      </c>
      <c r="Y21" s="6">
        <f t="array" ref="Y21">AVERAGE(B21:K21/TotalWasteDisposed!B21:K21-'CO2'!N21:W21/TotalWasteDisposed!N21:W21)</f>
        <v>2.2382151905054375</v>
      </c>
      <c r="Z21" s="5">
        <f t="array" ref="Z21">_xlfn.STDEV.S(B21:K21/TotalWasteDisposed!B21:K21-'CO2'!N21:W21/TotalWasteDisposed!N21:W21)</f>
        <v>1.6537916747420407E-2</v>
      </c>
      <c r="AA21" s="5">
        <f t="shared" si="0"/>
        <v>1.1829691033732024E-2</v>
      </c>
      <c r="AB21" s="5">
        <f t="shared" si="1"/>
        <v>2.2263854994717054</v>
      </c>
      <c r="AC21" s="5">
        <f t="shared" si="2"/>
        <v>2.2500448815391696</v>
      </c>
    </row>
    <row r="22" spans="1:29" x14ac:dyDescent="0.3">
      <c r="A22" s="23">
        <v>19</v>
      </c>
      <c r="B22" s="24">
        <v>6128.3737743339889</v>
      </c>
      <c r="C22" s="24">
        <v>6132.5860539899886</v>
      </c>
      <c r="D22" s="24">
        <v>6138.5935811369882</v>
      </c>
      <c r="E22" s="24">
        <v>6128.9826072379883</v>
      </c>
      <c r="F22" s="24">
        <v>6142.5360345669887</v>
      </c>
      <c r="G22" s="24">
        <v>6135.4369865259896</v>
      </c>
      <c r="H22" s="24">
        <v>6118.0776966579888</v>
      </c>
      <c r="I22" s="24">
        <v>6126.0042800399888</v>
      </c>
      <c r="J22" s="24">
        <v>6141.2613019569881</v>
      </c>
      <c r="K22" s="25">
        <v>6118.0402561659885</v>
      </c>
      <c r="L22" s="3"/>
      <c r="M22" s="23">
        <v>19</v>
      </c>
      <c r="N22" s="24">
        <v>2641.3151760409887</v>
      </c>
      <c r="O22" s="24">
        <v>2651.7628847819879</v>
      </c>
      <c r="P22" s="24">
        <v>2646.5129221209895</v>
      </c>
      <c r="Q22" s="24">
        <v>2662.867318527989</v>
      </c>
      <c r="R22" s="24">
        <v>2657.0521093559878</v>
      </c>
      <c r="S22" s="24">
        <v>2646.8847257029911</v>
      </c>
      <c r="T22" s="24">
        <v>2628.6443557909874</v>
      </c>
      <c r="U22" s="24">
        <v>2666.04646047799</v>
      </c>
      <c r="V22" s="24">
        <v>2647.8128972809882</v>
      </c>
      <c r="W22" s="25">
        <v>2635.2903884189891</v>
      </c>
      <c r="Y22" s="6">
        <f t="array" ref="Y22">AVERAGE(B22:K22/TotalWasteDisposed!B22:K22-'CO2'!N22:W22/TotalWasteDisposed!N22:W22)</f>
        <v>2.7755382636135795</v>
      </c>
      <c r="Z22" s="5">
        <f t="array" ref="Z22">_xlfn.STDEV.S(B22:K22/TotalWasteDisposed!B22:K22-'CO2'!N22:W22/TotalWasteDisposed!N22:W22)</f>
        <v>1.2333434123488985E-2</v>
      </c>
      <c r="AA22" s="5">
        <f t="shared" si="0"/>
        <v>8.8221943122624488E-3</v>
      </c>
      <c r="AB22" s="5">
        <f t="shared" si="1"/>
        <v>2.7667160693013169</v>
      </c>
      <c r="AC22" s="5">
        <f t="shared" si="2"/>
        <v>2.7843604579258421</v>
      </c>
    </row>
    <row r="23" spans="1:29" x14ac:dyDescent="0.3">
      <c r="A23" s="23">
        <v>20</v>
      </c>
      <c r="B23" s="24">
        <v>6135.6004723729893</v>
      </c>
      <c r="C23" s="24">
        <v>6123.443415538989</v>
      </c>
      <c r="D23" s="24">
        <v>6130.8601151249895</v>
      </c>
      <c r="E23" s="24">
        <v>6131.294206137989</v>
      </c>
      <c r="F23" s="24">
        <v>6127.8866338139878</v>
      </c>
      <c r="G23" s="24">
        <v>6136.6846505969888</v>
      </c>
      <c r="H23" s="24">
        <v>6146.1108030229889</v>
      </c>
      <c r="I23" s="24">
        <v>6116.0484306229882</v>
      </c>
      <c r="J23" s="24">
        <v>6152.09914900699</v>
      </c>
      <c r="K23" s="25">
        <v>6117.3301194439891</v>
      </c>
      <c r="L23" s="3"/>
      <c r="M23" s="23">
        <v>20</v>
      </c>
      <c r="N23" s="24">
        <v>2661.6880245889906</v>
      </c>
      <c r="O23" s="24">
        <v>2622.79296827199</v>
      </c>
      <c r="P23" s="24">
        <v>2639.7300315589914</v>
      </c>
      <c r="Q23" s="24">
        <v>2621.2711821489879</v>
      </c>
      <c r="R23" s="24">
        <v>2620.2341947419891</v>
      </c>
      <c r="S23" s="24">
        <v>2625.3265328499888</v>
      </c>
      <c r="T23" s="24">
        <v>2614.1695076439892</v>
      </c>
      <c r="U23" s="24">
        <v>2634.226862272988</v>
      </c>
      <c r="V23" s="24">
        <v>2628.9797495219896</v>
      </c>
      <c r="W23" s="25">
        <v>2639.781191655989</v>
      </c>
      <c r="Y23" s="6">
        <f t="array" ref="Y23">AVERAGE(B23:K23/TotalWasteDisposed!B23:K23-'CO2'!N23:W23/TotalWasteDisposed!N23:W23)</f>
        <v>2.7666285032762632</v>
      </c>
      <c r="Z23" s="5">
        <f t="array" ref="Z23">_xlfn.STDEV.S(B23:K23/TotalWasteDisposed!B23:K23-'CO2'!N23:W23/TotalWasteDisposed!N23:W23)</f>
        <v>1.9382788646825626E-2</v>
      </c>
      <c r="AA23" s="5">
        <f t="shared" si="0"/>
        <v>1.3864648405600489E-2</v>
      </c>
      <c r="AB23" s="5">
        <f t="shared" si="1"/>
        <v>2.7527638548706626</v>
      </c>
      <c r="AC23" s="5">
        <f t="shared" si="2"/>
        <v>2.7804931516818638</v>
      </c>
    </row>
    <row r="24" spans="1:29" x14ac:dyDescent="0.3">
      <c r="A24" s="23">
        <v>21</v>
      </c>
      <c r="B24" s="24">
        <v>6131.3159150789879</v>
      </c>
      <c r="C24" s="24">
        <v>6137.809319220989</v>
      </c>
      <c r="D24" s="24">
        <v>6122.3428042139885</v>
      </c>
      <c r="E24" s="24">
        <v>6121.8909266829887</v>
      </c>
      <c r="F24" s="24">
        <v>6145.0786160449879</v>
      </c>
      <c r="G24" s="24">
        <v>6148.1324528309897</v>
      </c>
      <c r="H24" s="24">
        <v>6109.7701653889899</v>
      </c>
      <c r="I24" s="24">
        <v>6127.219330036989</v>
      </c>
      <c r="J24" s="24">
        <v>6126.6851069079994</v>
      </c>
      <c r="K24" s="25">
        <v>6154.6349365359893</v>
      </c>
      <c r="L24" s="3"/>
      <c r="M24" s="23">
        <v>21</v>
      </c>
      <c r="N24" s="24">
        <v>2658.2713441819888</v>
      </c>
      <c r="O24" s="24">
        <v>2657.5834048209886</v>
      </c>
      <c r="P24" s="24">
        <v>2623.0270162509878</v>
      </c>
      <c r="Q24" s="24">
        <v>2654.5942947579915</v>
      </c>
      <c r="R24" s="24">
        <v>2628.1569234129911</v>
      </c>
      <c r="S24" s="24">
        <v>2612.1841037759887</v>
      </c>
      <c r="T24" s="24">
        <v>2649.8465250289892</v>
      </c>
      <c r="U24" s="24">
        <v>2626.0798883179891</v>
      </c>
      <c r="V24" s="24">
        <v>2637.6110935119877</v>
      </c>
      <c r="W24" s="25">
        <v>2631.5082358689883</v>
      </c>
      <c r="Y24" s="6">
        <f t="array" ref="Y24">AVERAGE(B24:K24/TotalWasteDisposed!B24:K24-'CO2'!N24:W24/TotalWasteDisposed!N24:W24)</f>
        <v>2.7730788550000711</v>
      </c>
      <c r="Z24" s="5">
        <f t="array" ref="Z24">_xlfn.STDEV.S(B24:K24/TotalWasteDisposed!B24:K24-'CO2'!N24:W24/TotalWasteDisposed!N24:W24)</f>
        <v>2.2236552063131368E-2</v>
      </c>
      <c r="AA24" s="5">
        <f t="shared" si="0"/>
        <v>1.5905965943586658E-2</v>
      </c>
      <c r="AB24" s="5">
        <f t="shared" si="1"/>
        <v>2.7571728890564846</v>
      </c>
      <c r="AC24" s="5">
        <f t="shared" si="2"/>
        <v>2.7889848209436576</v>
      </c>
    </row>
    <row r="25" spans="1:29" x14ac:dyDescent="0.3">
      <c r="A25" s="23">
        <v>22</v>
      </c>
      <c r="B25" s="24">
        <v>6153.4779179939896</v>
      </c>
      <c r="C25" s="24">
        <v>6142.4884139749884</v>
      </c>
      <c r="D25" s="24">
        <v>6131.0950131039881</v>
      </c>
      <c r="E25" s="24">
        <v>6126.8552170709891</v>
      </c>
      <c r="F25" s="24">
        <v>6121.886134727989</v>
      </c>
      <c r="G25" s="24">
        <v>6123.1968363469887</v>
      </c>
      <c r="H25" s="24">
        <v>6117.0993424859889</v>
      </c>
      <c r="I25" s="24">
        <v>6116.3337653569897</v>
      </c>
      <c r="J25" s="24">
        <v>6140.9395109099896</v>
      </c>
      <c r="K25" s="25">
        <v>6130.3554157829876</v>
      </c>
      <c r="L25" s="3"/>
      <c r="M25" s="23">
        <v>22</v>
      </c>
      <c r="N25" s="24">
        <v>2668.1150657999901</v>
      </c>
      <c r="O25" s="24">
        <v>2657.22473682699</v>
      </c>
      <c r="P25" s="24">
        <v>2638.2234316899903</v>
      </c>
      <c r="Q25" s="24">
        <v>2649.1274641949894</v>
      </c>
      <c r="R25" s="24">
        <v>2623.0850510139894</v>
      </c>
      <c r="S25" s="24">
        <v>2650.026880526988</v>
      </c>
      <c r="T25" s="24">
        <v>2634.509234795988</v>
      </c>
      <c r="U25" s="24">
        <v>2642.2436130849878</v>
      </c>
      <c r="V25" s="24">
        <v>2652.7696729299887</v>
      </c>
      <c r="W25" s="25">
        <v>2642.1727901439895</v>
      </c>
      <c r="Y25" s="6">
        <f t="array" ref="Y25">AVERAGE(B25:K25/TotalWasteDisposed!B25:K25-'CO2'!N25:W25/TotalWasteDisposed!N25:W25)</f>
        <v>2.7748112234465063</v>
      </c>
      <c r="Z25" s="5">
        <f t="array" ref="Z25">_xlfn.STDEV.S(B25:K25/TotalWasteDisposed!B25:K25-'CO2'!N25:W25/TotalWasteDisposed!N25:W25)</f>
        <v>1.642110549102696E-2</v>
      </c>
      <c r="AA25" s="5">
        <f t="shared" si="0"/>
        <v>1.1746135100206594E-2</v>
      </c>
      <c r="AB25" s="5">
        <f t="shared" si="1"/>
        <v>2.7630650883462997</v>
      </c>
      <c r="AC25" s="5">
        <f t="shared" si="2"/>
        <v>2.7865573585467129</v>
      </c>
    </row>
    <row r="26" spans="1:29" x14ac:dyDescent="0.3">
      <c r="A26" s="23">
        <v>23</v>
      </c>
      <c r="B26" s="24">
        <v>6141.560731624988</v>
      </c>
      <c r="C26" s="24">
        <v>6124.3980482429888</v>
      </c>
      <c r="D26" s="24">
        <v>6130.9988854709882</v>
      </c>
      <c r="E26" s="24">
        <v>6123.7742581379889</v>
      </c>
      <c r="F26" s="24">
        <v>6136.7440711869895</v>
      </c>
      <c r="G26" s="24">
        <v>6140.94268168899</v>
      </c>
      <c r="H26" s="24">
        <v>6138.5747338959891</v>
      </c>
      <c r="I26" s="24">
        <v>6161.7390114669997</v>
      </c>
      <c r="J26" s="24">
        <v>6147.2638628609884</v>
      </c>
      <c r="K26" s="25">
        <v>6133.8084848909884</v>
      </c>
      <c r="L26" s="3"/>
      <c r="M26" s="23">
        <v>23</v>
      </c>
      <c r="N26" s="24">
        <v>2621.5706643059893</v>
      </c>
      <c r="O26" s="24">
        <v>2651.4297138439879</v>
      </c>
      <c r="P26" s="24">
        <v>2637.8078489979898</v>
      </c>
      <c r="Q26" s="24">
        <v>2629.3454670959886</v>
      </c>
      <c r="R26" s="24">
        <v>2651.2380836149878</v>
      </c>
      <c r="S26" s="24">
        <v>2657.5247515039887</v>
      </c>
      <c r="T26" s="24">
        <v>2645.6834538989901</v>
      </c>
      <c r="U26" s="24">
        <v>2648.4498383809901</v>
      </c>
      <c r="V26" s="24">
        <v>2667.4563672119898</v>
      </c>
      <c r="W26" s="25">
        <v>2627.7147916869885</v>
      </c>
      <c r="Y26" s="6">
        <f t="array" ref="Y26">AVERAGE(B26:K26/TotalWasteDisposed!B26:K26-'CO2'!N26:W26/TotalWasteDisposed!N26:W26)</f>
        <v>2.7811851628218998</v>
      </c>
      <c r="Z26" s="5">
        <f t="array" ref="Z26">_xlfn.STDEV.S(B26:K26/TotalWasteDisposed!B26:K26-'CO2'!N26:W26/TotalWasteDisposed!N26:W26)</f>
        <v>1.9426758648248329E-2</v>
      </c>
      <c r="AA26" s="5">
        <f t="shared" si="0"/>
        <v>1.389610046449808E-2</v>
      </c>
      <c r="AB26" s="5">
        <f t="shared" si="1"/>
        <v>2.7672890623574018</v>
      </c>
      <c r="AC26" s="5">
        <f t="shared" si="2"/>
        <v>2.7950812632863977</v>
      </c>
    </row>
    <row r="27" spans="1:29" x14ac:dyDescent="0.3">
      <c r="A27" s="23">
        <v>24</v>
      </c>
      <c r="B27" s="24">
        <v>6137.3725326129888</v>
      </c>
      <c r="C27" s="24">
        <v>6109.1958003019881</v>
      </c>
      <c r="D27" s="24">
        <v>6139.9901089239893</v>
      </c>
      <c r="E27" s="24">
        <v>6133.7348291989892</v>
      </c>
      <c r="F27" s="24">
        <v>6140.8834406859896</v>
      </c>
      <c r="G27" s="24">
        <v>6129.590914340989</v>
      </c>
      <c r="H27" s="24">
        <v>6136.7522946199897</v>
      </c>
      <c r="I27" s="24">
        <v>6126.6712678639888</v>
      </c>
      <c r="J27" s="24">
        <v>6151.9909961779877</v>
      </c>
      <c r="K27" s="25">
        <v>6131.5094225719895</v>
      </c>
      <c r="L27" s="3"/>
      <c r="M27" s="23">
        <v>24</v>
      </c>
      <c r="N27" s="24">
        <v>2599.1420675389882</v>
      </c>
      <c r="O27" s="24">
        <v>2635.1362596909889</v>
      </c>
      <c r="P27" s="24">
        <v>2658.2157791639911</v>
      </c>
      <c r="Q27" s="24">
        <v>2651.099054335989</v>
      </c>
      <c r="R27" s="24">
        <v>2660.1959050709888</v>
      </c>
      <c r="S27" s="24">
        <v>2634.1210552689881</v>
      </c>
      <c r="T27" s="24">
        <v>2638.8381378249887</v>
      </c>
      <c r="U27" s="24">
        <v>2667.0642925109878</v>
      </c>
      <c r="V27" s="24">
        <v>2637.1429412079874</v>
      </c>
      <c r="W27" s="25">
        <v>2665.7263600979891</v>
      </c>
      <c r="Y27" s="6">
        <f t="array" ref="Y27">AVERAGE(B27:K27/TotalWasteDisposed!B27:K27-'CO2'!N27:W27/TotalWasteDisposed!N27:W27)</f>
        <v>2.7707340421133999</v>
      </c>
      <c r="Z27" s="5">
        <f t="array" ref="Z27">_xlfn.STDEV.S(B27:K27/TotalWasteDisposed!B27:K27-'CO2'!N27:W27/TotalWasteDisposed!N27:W27)</f>
        <v>1.2317013565170176E-2</v>
      </c>
      <c r="AA27" s="5">
        <f t="shared" si="0"/>
        <v>8.8104485685584731E-3</v>
      </c>
      <c r="AB27" s="5">
        <f t="shared" si="1"/>
        <v>2.7619235935448416</v>
      </c>
      <c r="AC27" s="5">
        <f t="shared" si="2"/>
        <v>2.7795444906819582</v>
      </c>
    </row>
    <row r="28" spans="1:29" x14ac:dyDescent="0.3">
      <c r="A28" s="23">
        <v>25</v>
      </c>
      <c r="B28" s="24">
        <v>6123.9665603439898</v>
      </c>
      <c r="C28" s="24">
        <v>6141.224826446989</v>
      </c>
      <c r="D28" s="24">
        <v>6149.7241403529888</v>
      </c>
      <c r="E28" s="24">
        <v>6127.7166995319894</v>
      </c>
      <c r="F28" s="24">
        <v>6152.6544802889894</v>
      </c>
      <c r="G28" s="24">
        <v>6127.6679603469884</v>
      </c>
      <c r="H28" s="24">
        <v>6148.8355787439887</v>
      </c>
      <c r="I28" s="24">
        <v>6119.6265927779896</v>
      </c>
      <c r="J28" s="24">
        <v>6112.3486727679883</v>
      </c>
      <c r="K28" s="25">
        <v>6129.3919778059899</v>
      </c>
      <c r="L28" s="3"/>
      <c r="M28" s="23">
        <v>25</v>
      </c>
      <c r="N28" s="24">
        <v>2642.682508174988</v>
      </c>
      <c r="O28" s="24">
        <v>2620.7362542079891</v>
      </c>
      <c r="P28" s="24">
        <v>2635.0818141439886</v>
      </c>
      <c r="Q28" s="24">
        <v>2639.8726785389904</v>
      </c>
      <c r="R28" s="24">
        <v>2624.7114661369892</v>
      </c>
      <c r="S28" s="24">
        <v>2628.3337313469888</v>
      </c>
      <c r="T28" s="24">
        <v>2622.0866617409893</v>
      </c>
      <c r="U28" s="24">
        <v>2618.290046585988</v>
      </c>
      <c r="V28" s="24">
        <v>2653.512874322988</v>
      </c>
      <c r="W28" s="25">
        <v>2625.4540620659909</v>
      </c>
      <c r="Y28" s="6">
        <f t="array" ref="Y28">AVERAGE(B28:K28/TotalWasteDisposed!B28:K28-'CO2'!N28:W28/TotalWasteDisposed!N28:W28)</f>
        <v>2.771843990359506</v>
      </c>
      <c r="Z28" s="5">
        <f t="array" ref="Z28">_xlfn.STDEV.S(B28:K28/TotalWasteDisposed!B28:K28-'CO2'!N28:W28/TotalWasteDisposed!N28:W28)</f>
        <v>1.5289091489280879E-2</v>
      </c>
      <c r="AA28" s="5">
        <f t="shared" si="0"/>
        <v>1.0936397326638257E-2</v>
      </c>
      <c r="AB28" s="5">
        <f t="shared" si="1"/>
        <v>2.7609075930328677</v>
      </c>
      <c r="AC28" s="5">
        <f t="shared" si="2"/>
        <v>2.7827803876861443</v>
      </c>
    </row>
    <row r="29" spans="1:29" x14ac:dyDescent="0.3">
      <c r="A29" s="23">
        <v>26</v>
      </c>
      <c r="B29" s="24">
        <v>6144.1160003609893</v>
      </c>
      <c r="C29" s="24">
        <v>6140.2112611609891</v>
      </c>
      <c r="D29" s="24">
        <v>6146.2153635059894</v>
      </c>
      <c r="E29" s="24">
        <v>6145.0181632489894</v>
      </c>
      <c r="F29" s="24">
        <v>6142.1861847819891</v>
      </c>
      <c r="G29" s="24">
        <v>6129.0015311669895</v>
      </c>
      <c r="H29" s="24">
        <v>6131.1028631259887</v>
      </c>
      <c r="I29" s="24">
        <v>6137.1769097799888</v>
      </c>
      <c r="J29" s="24">
        <v>6119.6524679279883</v>
      </c>
      <c r="K29" s="25">
        <v>6137.0797650959876</v>
      </c>
      <c r="L29" s="3"/>
      <c r="M29" s="23">
        <v>26</v>
      </c>
      <c r="N29" s="24">
        <v>2623.4140233519888</v>
      </c>
      <c r="O29" s="24">
        <v>2646.6560061879895</v>
      </c>
      <c r="P29" s="24">
        <v>2647.7642780119913</v>
      </c>
      <c r="Q29" s="24">
        <v>2628.2272725089883</v>
      </c>
      <c r="R29" s="24">
        <v>2623.4837772289889</v>
      </c>
      <c r="S29" s="24">
        <v>2635.335372831988</v>
      </c>
      <c r="T29" s="24">
        <v>2621.261324535988</v>
      </c>
      <c r="U29" s="24">
        <v>2637.5259077679898</v>
      </c>
      <c r="V29" s="24">
        <v>2641.49550003799</v>
      </c>
      <c r="W29" s="25">
        <v>2627.1610101759879</v>
      </c>
      <c r="Y29" s="6">
        <f t="array" ref="Y29">AVERAGE(B29:K29/TotalWasteDisposed!B29:K29-'CO2'!N29:W29/TotalWasteDisposed!N29:W29)</f>
        <v>2.7700645381237532</v>
      </c>
      <c r="Z29" s="5">
        <f t="array" ref="Z29">_xlfn.STDEV.S(B29:K29/TotalWasteDisposed!B29:K29-'CO2'!N29:W29/TotalWasteDisposed!N29:W29)</f>
        <v>2.2952892884193464E-2</v>
      </c>
      <c r="AA29" s="5">
        <f t="shared" si="0"/>
        <v>1.6418369695367325E-2</v>
      </c>
      <c r="AB29" s="5">
        <f t="shared" si="1"/>
        <v>2.7536461684283857</v>
      </c>
      <c r="AC29" s="5">
        <f t="shared" si="2"/>
        <v>2.7864829078191207</v>
      </c>
    </row>
    <row r="30" spans="1:29" x14ac:dyDescent="0.3">
      <c r="A30" s="23">
        <v>27</v>
      </c>
      <c r="B30" s="24">
        <v>6121.354562749988</v>
      </c>
      <c r="C30" s="24">
        <v>6122.6870461749886</v>
      </c>
      <c r="D30" s="24">
        <v>6151.4307946969884</v>
      </c>
      <c r="E30" s="24">
        <v>6142.824402064989</v>
      </c>
      <c r="F30" s="24">
        <v>6123.2460877409894</v>
      </c>
      <c r="G30" s="24">
        <v>6119.2400199309886</v>
      </c>
      <c r="H30" s="24">
        <v>6136.0668395809889</v>
      </c>
      <c r="I30" s="24">
        <v>6132.0292666809892</v>
      </c>
      <c r="J30" s="24">
        <v>6133.1396787279891</v>
      </c>
      <c r="K30" s="25">
        <v>6133.2798020169894</v>
      </c>
      <c r="L30" s="3"/>
      <c r="M30" s="23">
        <v>27</v>
      </c>
      <c r="N30" s="24">
        <v>2645.6155511469901</v>
      </c>
      <c r="O30" s="24">
        <v>2644.649624376988</v>
      </c>
      <c r="P30" s="24">
        <v>2641.386401369989</v>
      </c>
      <c r="Q30" s="24">
        <v>2642.45941601799</v>
      </c>
      <c r="R30" s="24">
        <v>2668.286587505992</v>
      </c>
      <c r="S30" s="24">
        <v>2617.1882289649893</v>
      </c>
      <c r="T30" s="24">
        <v>2633.2961863349892</v>
      </c>
      <c r="U30" s="24">
        <v>2633.1693499199882</v>
      </c>
      <c r="V30" s="24">
        <v>2654.7722727489886</v>
      </c>
      <c r="W30" s="25">
        <v>2646.0576583849897</v>
      </c>
      <c r="Y30" s="6">
        <f t="array" ref="Y30">AVERAGE(B30:K30/TotalWasteDisposed!B30:K30-'CO2'!N30:W30/TotalWasteDisposed!N30:W30)</f>
        <v>2.7665529281333705</v>
      </c>
      <c r="Z30" s="5">
        <f t="array" ref="Z30">_xlfn.STDEV.S(B30:K30/TotalWasteDisposed!B30:K30-'CO2'!N30:W30/TotalWasteDisposed!N30:W30)</f>
        <v>2.0585475559906453E-2</v>
      </c>
      <c r="AA30" s="5">
        <f t="shared" si="0"/>
        <v>1.4724939021967167E-2</v>
      </c>
      <c r="AB30" s="5">
        <f t="shared" si="1"/>
        <v>2.7518279891114035</v>
      </c>
      <c r="AC30" s="5">
        <f t="shared" si="2"/>
        <v>2.7812778671553375</v>
      </c>
    </row>
    <row r="31" spans="1:29" x14ac:dyDescent="0.3">
      <c r="A31" s="23">
        <v>28</v>
      </c>
      <c r="B31" s="24">
        <v>6940.9617716159701</v>
      </c>
      <c r="C31" s="24">
        <v>6946.3167607389696</v>
      </c>
      <c r="D31" s="24">
        <v>6967.5166421719796</v>
      </c>
      <c r="E31" s="24">
        <v>6973.5781316269795</v>
      </c>
      <c r="F31" s="24">
        <v>6920.3892179749801</v>
      </c>
      <c r="G31" s="24">
        <v>6971.4935911899793</v>
      </c>
      <c r="H31" s="24">
        <v>6971.4309921429713</v>
      </c>
      <c r="I31" s="24">
        <v>6980.5650911559705</v>
      </c>
      <c r="J31" s="24">
        <v>6950.6001747119699</v>
      </c>
      <c r="K31" s="25">
        <v>6966.4110627629707</v>
      </c>
      <c r="L31" s="3"/>
      <c r="M31" s="23">
        <v>28</v>
      </c>
      <c r="N31" s="24">
        <v>962.05465940799581</v>
      </c>
      <c r="O31" s="24">
        <v>963.84723598899598</v>
      </c>
      <c r="P31" s="24">
        <v>964.13300181299599</v>
      </c>
      <c r="Q31" s="24">
        <v>963.39028668799597</v>
      </c>
      <c r="R31" s="24">
        <v>958.65238960399608</v>
      </c>
      <c r="S31" s="24">
        <v>960.34315695099599</v>
      </c>
      <c r="T31" s="24">
        <v>961.67070799299609</v>
      </c>
      <c r="U31" s="24">
        <v>964.38757683499603</v>
      </c>
      <c r="V31" s="24">
        <v>959.16834670699609</v>
      </c>
      <c r="W31" s="25">
        <v>963.65047268199601</v>
      </c>
      <c r="Y31" s="6">
        <f t="array" ref="Y31">AVERAGE(B31:K31/TotalWasteDisposed!B31:K31-'CO2'!N31:W31/TotalWasteDisposed!N31:W31)</f>
        <v>3.6803693587767561</v>
      </c>
      <c r="Z31" s="5">
        <f t="array" ref="Z31">_xlfn.STDEV.S(B31:K31/TotalWasteDisposed!B31:K31-'CO2'!N31:W31/TotalWasteDisposed!N31:W31)</f>
        <v>1.860382394291971E-2</v>
      </c>
      <c r="AA31" s="5">
        <f t="shared" si="0"/>
        <v>1.3307449339108218E-2</v>
      </c>
      <c r="AB31" s="5">
        <f t="shared" si="1"/>
        <v>3.6670619094376478</v>
      </c>
      <c r="AC31" s="5">
        <f t="shared" si="2"/>
        <v>3.6936768081158644</v>
      </c>
    </row>
    <row r="32" spans="1:29" x14ac:dyDescent="0.3">
      <c r="A32" s="23">
        <v>29</v>
      </c>
      <c r="B32" s="24">
        <v>6942.3039743739791</v>
      </c>
      <c r="C32" s="24">
        <v>6965.9471964759696</v>
      </c>
      <c r="D32" s="24">
        <v>6909.7742769659799</v>
      </c>
      <c r="E32" s="24">
        <v>6971.800522651969</v>
      </c>
      <c r="F32" s="24">
        <v>6928.921254853969</v>
      </c>
      <c r="G32" s="24">
        <v>6968.9216595959697</v>
      </c>
      <c r="H32" s="24">
        <v>6966.00020266498</v>
      </c>
      <c r="I32" s="24">
        <v>6938.7298749709698</v>
      </c>
      <c r="J32" s="24">
        <v>6933.57916328997</v>
      </c>
      <c r="K32" s="25">
        <v>6919.9126796009796</v>
      </c>
      <c r="L32" s="3"/>
      <c r="M32" s="23">
        <v>29</v>
      </c>
      <c r="N32" s="24">
        <v>960.08242939399599</v>
      </c>
      <c r="O32" s="24">
        <v>963.68390065399603</v>
      </c>
      <c r="P32" s="24">
        <v>964.65359127999602</v>
      </c>
      <c r="Q32" s="24">
        <v>957.66753461799613</v>
      </c>
      <c r="R32" s="24">
        <v>963.65047268199601</v>
      </c>
      <c r="S32" s="24">
        <v>964.13300181299599</v>
      </c>
      <c r="T32" s="24">
        <v>963.65047268199601</v>
      </c>
      <c r="U32" s="24">
        <v>960.34315695099599</v>
      </c>
      <c r="V32" s="24">
        <v>974.46202496499598</v>
      </c>
      <c r="W32" s="25">
        <v>964.13300181299599</v>
      </c>
      <c r="Y32" s="6">
        <f t="array" ref="Y32">AVERAGE(B32:K32/TotalWasteDisposed!B32:K32-'CO2'!N32:W32/TotalWasteDisposed!N32:W32)</f>
        <v>3.6660475959735579</v>
      </c>
      <c r="Z32" s="5">
        <f t="array" ref="Z32">_xlfn.STDEV.S(B32:K32/TotalWasteDisposed!B32:K32-'CO2'!N32:W32/TotalWasteDisposed!N32:W32)</f>
        <v>2.6319124796055894E-2</v>
      </c>
      <c r="AA32" s="5">
        <f t="shared" si="0"/>
        <v>1.882625964144732E-2</v>
      </c>
      <c r="AB32" s="5">
        <f t="shared" si="1"/>
        <v>3.6472213363321107</v>
      </c>
      <c r="AC32" s="5">
        <f t="shared" si="2"/>
        <v>3.6848738556150051</v>
      </c>
    </row>
    <row r="33" spans="1:29" x14ac:dyDescent="0.3">
      <c r="A33" s="23">
        <v>30</v>
      </c>
      <c r="B33" s="24">
        <v>6938.4122370259802</v>
      </c>
      <c r="C33" s="24">
        <v>7011.9787863419706</v>
      </c>
      <c r="D33" s="24">
        <v>6991.3750219379699</v>
      </c>
      <c r="E33" s="24">
        <v>6962.8488814869697</v>
      </c>
      <c r="F33" s="24">
        <v>7004.1265508789702</v>
      </c>
      <c r="G33" s="24">
        <v>6956.3969082509793</v>
      </c>
      <c r="H33" s="24">
        <v>6991.2924959109696</v>
      </c>
      <c r="I33" s="24">
        <v>6951.4776768649808</v>
      </c>
      <c r="J33" s="24">
        <v>6912.2010075859807</v>
      </c>
      <c r="K33" s="25">
        <v>6959.3880301499712</v>
      </c>
      <c r="L33" s="3"/>
      <c r="M33" s="23">
        <v>30</v>
      </c>
      <c r="N33" s="24">
        <v>961.29073155299602</v>
      </c>
      <c r="O33" s="24">
        <v>959.41078660199605</v>
      </c>
      <c r="P33" s="24">
        <v>971.25744496099605</v>
      </c>
      <c r="Q33" s="24">
        <v>964.16642978499601</v>
      </c>
      <c r="R33" s="24">
        <v>964.38757683499603</v>
      </c>
      <c r="S33" s="24">
        <v>964.13300181299599</v>
      </c>
      <c r="T33" s="24">
        <v>963.83281500199587</v>
      </c>
      <c r="U33" s="24">
        <v>965.46055285499597</v>
      </c>
      <c r="V33" s="24">
        <v>959.684842012996</v>
      </c>
      <c r="W33" s="25">
        <v>959.41078660199605</v>
      </c>
      <c r="Y33" s="6">
        <f t="array" ref="Y33">AVERAGE(B33:K33/TotalWasteDisposed!B33:K33-'CO2'!N33:W33/TotalWasteDisposed!N33:W33)</f>
        <v>3.6843102436485382</v>
      </c>
      <c r="Z33" s="5">
        <f t="array" ref="Z33">_xlfn.STDEV.S(B33:K33/TotalWasteDisposed!B33:K33-'CO2'!N33:W33/TotalWasteDisposed!N33:W33)</f>
        <v>2.2951490174232685E-2</v>
      </c>
      <c r="AA33" s="5">
        <f t="shared" si="0"/>
        <v>1.6417366326823429E-2</v>
      </c>
      <c r="AB33" s="5">
        <f t="shared" si="1"/>
        <v>3.667892877321715</v>
      </c>
      <c r="AC33" s="5">
        <f t="shared" si="2"/>
        <v>3.7007276099753614</v>
      </c>
    </row>
    <row r="34" spans="1:29" x14ac:dyDescent="0.3">
      <c r="A34" s="23">
        <v>31</v>
      </c>
      <c r="B34" s="24">
        <v>7005.7847376109703</v>
      </c>
      <c r="C34" s="24">
        <v>6961.4754731099802</v>
      </c>
      <c r="D34" s="24">
        <v>6990.4029873029795</v>
      </c>
      <c r="E34" s="24">
        <v>6977.6149587339696</v>
      </c>
      <c r="F34" s="24">
        <v>6904.2297172669696</v>
      </c>
      <c r="G34" s="24">
        <v>6971.1508295729691</v>
      </c>
      <c r="H34" s="24">
        <v>6929.4206237229801</v>
      </c>
      <c r="I34" s="24">
        <v>7021.2641377959699</v>
      </c>
      <c r="J34" s="24">
        <v>6923.2395142999712</v>
      </c>
      <c r="K34" s="25">
        <v>6999.1272360559706</v>
      </c>
      <c r="L34" s="3"/>
      <c r="M34" s="23">
        <v>31</v>
      </c>
      <c r="N34" s="24">
        <v>960.34315695099599</v>
      </c>
      <c r="O34" s="24">
        <v>956.91146104699692</v>
      </c>
      <c r="P34" s="24">
        <v>964.55655994899598</v>
      </c>
      <c r="Q34" s="24">
        <v>963.474686874996</v>
      </c>
      <c r="R34" s="24">
        <v>965.46055285499597</v>
      </c>
      <c r="S34" s="24">
        <v>964.13300181299599</v>
      </c>
      <c r="T34" s="24">
        <v>963.474686874996</v>
      </c>
      <c r="U34" s="24">
        <v>963.65047268199601</v>
      </c>
      <c r="V34" s="24">
        <v>964.73631962699596</v>
      </c>
      <c r="W34" s="25">
        <v>973.25680968799588</v>
      </c>
      <c r="Y34" s="6">
        <f t="array" ref="Y34">AVERAGE(B34:K34/TotalWasteDisposed!B34:K34-'CO2'!N34:W34/TotalWasteDisposed!N34:W34)</f>
        <v>3.6798546332028828</v>
      </c>
      <c r="Z34" s="5">
        <f t="array" ref="Z34">_xlfn.STDEV.S(B34:K34/TotalWasteDisposed!B34:K34-'CO2'!N34:W34/TotalWasteDisposed!N34:W34)</f>
        <v>3.7110348242231452E-2</v>
      </c>
      <c r="AA34" s="5">
        <f t="shared" si="0"/>
        <v>2.6545299541931387E-2</v>
      </c>
      <c r="AB34" s="5">
        <f t="shared" si="1"/>
        <v>3.6533093336609515</v>
      </c>
      <c r="AC34" s="5">
        <f t="shared" si="2"/>
        <v>3.7063999327448141</v>
      </c>
    </row>
    <row r="35" spans="1:29" x14ac:dyDescent="0.3">
      <c r="A35" s="23">
        <v>32</v>
      </c>
      <c r="B35" s="24">
        <v>7000.0538677759705</v>
      </c>
      <c r="C35" s="24">
        <v>6987.9287131759793</v>
      </c>
      <c r="D35" s="24">
        <v>6975.3402477969803</v>
      </c>
      <c r="E35" s="24">
        <v>6962.1078190059798</v>
      </c>
      <c r="F35" s="24">
        <v>6935.72708021997</v>
      </c>
      <c r="G35" s="24">
        <v>6956.4827749699798</v>
      </c>
      <c r="H35" s="24">
        <v>6983.6981741949803</v>
      </c>
      <c r="I35" s="24">
        <v>6924.2710704439905</v>
      </c>
      <c r="J35" s="24">
        <v>6958.9708248109691</v>
      </c>
      <c r="K35" s="25">
        <v>6960.2760993149705</v>
      </c>
      <c r="L35" s="3"/>
      <c r="M35" s="23">
        <v>32</v>
      </c>
      <c r="N35" s="24">
        <v>963.84723598899598</v>
      </c>
      <c r="O35" s="24">
        <v>959.41078660199605</v>
      </c>
      <c r="P35" s="24">
        <v>963.84723598899598</v>
      </c>
      <c r="Q35" s="24">
        <v>962.73677381699611</v>
      </c>
      <c r="R35" s="24">
        <v>962.11787708199608</v>
      </c>
      <c r="S35" s="24">
        <v>965.48415168799602</v>
      </c>
      <c r="T35" s="24">
        <v>958.24925143799601</v>
      </c>
      <c r="U35" s="24">
        <v>959.684842012996</v>
      </c>
      <c r="V35" s="24">
        <v>964.13300181299599</v>
      </c>
      <c r="W35" s="25">
        <v>964.13300181299599</v>
      </c>
      <c r="Y35" s="6">
        <f t="array" ref="Y35">AVERAGE(B35:K35/TotalWasteDisposed!B35:K35-'CO2'!N35:W35/TotalWasteDisposed!N35:W35)</f>
        <v>3.6857277047107937</v>
      </c>
      <c r="Z35" s="5">
        <f t="array" ref="Z35">_xlfn.STDEV.S(B35:K35/TotalWasteDisposed!B35:K35-'CO2'!N35:W35/TotalWasteDisposed!N35:W35)</f>
        <v>1.8152797825308851E-2</v>
      </c>
      <c r="AA35" s="5">
        <f t="shared" si="0"/>
        <v>1.298482710675768E-2</v>
      </c>
      <c r="AB35" s="5">
        <f t="shared" si="1"/>
        <v>3.6727428776040361</v>
      </c>
      <c r="AC35" s="5">
        <f t="shared" si="2"/>
        <v>3.6987125318175513</v>
      </c>
    </row>
    <row r="36" spans="1:29" x14ac:dyDescent="0.3">
      <c r="A36" s="23">
        <v>33</v>
      </c>
      <c r="B36" s="24">
        <v>6951.5260850529894</v>
      </c>
      <c r="C36" s="24">
        <v>6947.1431253209703</v>
      </c>
      <c r="D36" s="24">
        <v>6918.7818371809708</v>
      </c>
      <c r="E36" s="24">
        <v>7004.1237936489697</v>
      </c>
      <c r="F36" s="24">
        <v>6973.8095312589703</v>
      </c>
      <c r="G36" s="24">
        <v>6973.9049729349699</v>
      </c>
      <c r="H36" s="24">
        <v>6996.8889034389704</v>
      </c>
      <c r="I36" s="24">
        <v>6954.5353924599794</v>
      </c>
      <c r="J36" s="24">
        <v>6971.5053788339701</v>
      </c>
      <c r="K36" s="25">
        <v>6931.4963679389703</v>
      </c>
      <c r="L36" s="3"/>
      <c r="M36" s="23">
        <v>33</v>
      </c>
      <c r="N36" s="24">
        <v>964.13300181299599</v>
      </c>
      <c r="O36" s="24">
        <v>974.7477907889961</v>
      </c>
      <c r="P36" s="24">
        <v>963.474686874996</v>
      </c>
      <c r="Q36" s="24">
        <v>964.13300181299599</v>
      </c>
      <c r="R36" s="24">
        <v>959.60044182599597</v>
      </c>
      <c r="S36" s="24">
        <v>964.38757683499603</v>
      </c>
      <c r="T36" s="24">
        <v>969.41332687299609</v>
      </c>
      <c r="U36" s="24">
        <v>971.53509325099594</v>
      </c>
      <c r="V36" s="24">
        <v>964.13300181299599</v>
      </c>
      <c r="W36" s="25">
        <v>963.39028668799597</v>
      </c>
      <c r="Y36" s="6">
        <f t="array" ref="Y36">AVERAGE(B36:K36/TotalWasteDisposed!B36:K36-'CO2'!N36:W36/TotalWasteDisposed!N36:W36)</f>
        <v>3.6709166116494045</v>
      </c>
      <c r="Z36" s="5">
        <f t="array" ref="Z36">_xlfn.STDEV.S(B36:K36/TotalWasteDisposed!B36:K36-'CO2'!N36:W36/TotalWasteDisposed!N36:W36)</f>
        <v>2.76898466903409E-2</v>
      </c>
      <c r="AA36" s="5">
        <f t="shared" si="0"/>
        <v>1.98067468908521E-2</v>
      </c>
      <c r="AB36" s="5">
        <f t="shared" si="1"/>
        <v>3.6511098647585523</v>
      </c>
      <c r="AC36" s="5">
        <f t="shared" si="2"/>
        <v>3.6907233585402568</v>
      </c>
    </row>
    <row r="37" spans="1:29" x14ac:dyDescent="0.3">
      <c r="A37" s="23">
        <v>34</v>
      </c>
      <c r="B37" s="24">
        <v>6949.2343163759797</v>
      </c>
      <c r="C37" s="24">
        <v>6958.6252166139802</v>
      </c>
      <c r="D37" s="24">
        <v>6967.9016242059697</v>
      </c>
      <c r="E37" s="24">
        <v>6976.1113990989697</v>
      </c>
      <c r="F37" s="24">
        <v>6984.0496328519703</v>
      </c>
      <c r="G37" s="24">
        <v>6974.3382133239693</v>
      </c>
      <c r="H37" s="24">
        <v>6981.5465126649697</v>
      </c>
      <c r="I37" s="24">
        <v>6994.8652407109694</v>
      </c>
      <c r="J37" s="24">
        <v>6929.3292885539704</v>
      </c>
      <c r="K37" s="25">
        <v>6966.9092256399699</v>
      </c>
      <c r="L37" s="3"/>
      <c r="M37" s="23">
        <v>34</v>
      </c>
      <c r="N37" s="24">
        <v>964.16642978499601</v>
      </c>
      <c r="O37" s="24">
        <v>964.13300181299599</v>
      </c>
      <c r="P37" s="24">
        <v>964.13300181299599</v>
      </c>
      <c r="Q37" s="24">
        <v>962.85422295599585</v>
      </c>
      <c r="R37" s="24">
        <v>964.13300181299599</v>
      </c>
      <c r="S37" s="24">
        <v>962.642020711996</v>
      </c>
      <c r="T37" s="24">
        <v>961.71560849099592</v>
      </c>
      <c r="U37" s="24">
        <v>966.67508526199595</v>
      </c>
      <c r="V37" s="24">
        <v>964.13300181299599</v>
      </c>
      <c r="W37" s="25">
        <v>961.67070799299609</v>
      </c>
      <c r="Y37" s="6">
        <f t="array" ref="Y37">AVERAGE(B37:K37/TotalWasteDisposed!B37:K37-'CO2'!N37:W37/TotalWasteDisposed!N37:W37)</f>
        <v>3.686442528005712</v>
      </c>
      <c r="Z37" s="5">
        <f t="array" ref="Z37">_xlfn.STDEV.S(B37:K37/TotalWasteDisposed!B37:K37-'CO2'!N37:W37/TotalWasteDisposed!N37:W37)</f>
        <v>2.4279873118631796E-2</v>
      </c>
      <c r="AA37" s="5">
        <f t="shared" si="0"/>
        <v>1.7367568220249444E-2</v>
      </c>
      <c r="AB37" s="5">
        <f t="shared" si="1"/>
        <v>3.6690749597854624</v>
      </c>
      <c r="AC37" s="5">
        <f t="shared" si="2"/>
        <v>3.7038100962259617</v>
      </c>
    </row>
    <row r="38" spans="1:29" x14ac:dyDescent="0.3">
      <c r="A38" s="23">
        <v>35</v>
      </c>
      <c r="B38" s="24">
        <v>6958.4555646239696</v>
      </c>
      <c r="C38" s="24">
        <v>6976.211033813981</v>
      </c>
      <c r="D38" s="24">
        <v>6927.1792179929807</v>
      </c>
      <c r="E38" s="24">
        <v>6932.9191337449793</v>
      </c>
      <c r="F38" s="24">
        <v>6983.6670432049705</v>
      </c>
      <c r="G38" s="24">
        <v>6974.2957471459704</v>
      </c>
      <c r="H38" s="24">
        <v>6971.6876073009798</v>
      </c>
      <c r="I38" s="24">
        <v>6950.5159530129695</v>
      </c>
      <c r="J38" s="24">
        <v>6936.5124333059593</v>
      </c>
      <c r="K38" s="25">
        <v>6972.2877062949701</v>
      </c>
      <c r="L38" s="3"/>
      <c r="M38" s="23">
        <v>35</v>
      </c>
      <c r="N38" s="24">
        <v>964.13300181299599</v>
      </c>
      <c r="O38" s="24">
        <v>961.20607009899607</v>
      </c>
      <c r="P38" s="24">
        <v>963.474686874996</v>
      </c>
      <c r="Q38" s="24">
        <v>957.21706135099589</v>
      </c>
      <c r="R38" s="24">
        <v>965.46055285499597</v>
      </c>
      <c r="S38" s="24">
        <v>964.13300181299599</v>
      </c>
      <c r="T38" s="24">
        <v>959.41078660199605</v>
      </c>
      <c r="U38" s="24">
        <v>974.7477907889961</v>
      </c>
      <c r="V38" s="24">
        <v>963.474686874996</v>
      </c>
      <c r="W38" s="25">
        <v>964.13300181299599</v>
      </c>
      <c r="Y38" s="6">
        <f t="array" ref="Y38">AVERAGE(B38:K38/TotalWasteDisposed!B38:K38-'CO2'!N38:W38/TotalWasteDisposed!N38:W38)</f>
        <v>3.6728202939455867</v>
      </c>
      <c r="Z38" s="5">
        <f t="array" ref="Z38">_xlfn.STDEV.S(B38:K38/TotalWasteDisposed!B38:K38-'CO2'!N38:W38/TotalWasteDisposed!N38:W38)</f>
        <v>1.8099948191295769E-2</v>
      </c>
      <c r="AA38" s="5">
        <f t="shared" si="0"/>
        <v>1.2947023382675072E-2</v>
      </c>
      <c r="AB38" s="5">
        <f t="shared" si="1"/>
        <v>3.6598732705629118</v>
      </c>
      <c r="AC38" s="5">
        <f t="shared" si="2"/>
        <v>3.6857673173282617</v>
      </c>
    </row>
    <row r="39" spans="1:29" x14ac:dyDescent="0.3">
      <c r="A39" s="23">
        <v>36</v>
      </c>
      <c r="B39" s="24">
        <v>6994.9108600699692</v>
      </c>
      <c r="C39" s="24">
        <v>6982.7825663089698</v>
      </c>
      <c r="D39" s="24">
        <v>6995.2299606859706</v>
      </c>
      <c r="E39" s="24">
        <v>6984.1323819519803</v>
      </c>
      <c r="F39" s="24">
        <v>6987.7090083799694</v>
      </c>
      <c r="G39" s="24">
        <v>6963.5923278719902</v>
      </c>
      <c r="H39" s="24">
        <v>6998.7672151469696</v>
      </c>
      <c r="I39" s="24">
        <v>6945.4207346849807</v>
      </c>
      <c r="J39" s="24">
        <v>6973.0922844589695</v>
      </c>
      <c r="K39" s="25">
        <v>6927.1194248499705</v>
      </c>
      <c r="L39" s="3"/>
      <c r="M39" s="23">
        <v>36</v>
      </c>
      <c r="N39" s="24">
        <v>963.39028668799597</v>
      </c>
      <c r="O39" s="24">
        <v>972.65367295699593</v>
      </c>
      <c r="P39" s="24">
        <v>964.13300181299599</v>
      </c>
      <c r="Q39" s="24">
        <v>964.13300181299599</v>
      </c>
      <c r="R39" s="24">
        <v>964.13300181299599</v>
      </c>
      <c r="S39" s="24">
        <v>963.65047268199601</v>
      </c>
      <c r="T39" s="24">
        <v>963.474686874996</v>
      </c>
      <c r="U39" s="24">
        <v>960.08630159999609</v>
      </c>
      <c r="V39" s="24">
        <v>964.13300181299599</v>
      </c>
      <c r="W39" s="25">
        <v>959.41078660199605</v>
      </c>
      <c r="Y39" s="6">
        <f t="array" ref="Y39">AVERAGE(B39:K39/TotalWasteDisposed!B39:K39-'CO2'!N39:W39/TotalWasteDisposed!N39:W39)</f>
        <v>3.6930673691630056</v>
      </c>
      <c r="Z39" s="5">
        <f t="array" ref="Z39">_xlfn.STDEV.S(B39:K39/TotalWasteDisposed!B39:K39-'CO2'!N39:W39/TotalWasteDisposed!N39:W39)</f>
        <v>2.0798770224950042E-2</v>
      </c>
      <c r="AA39" s="5">
        <f t="shared" si="0"/>
        <v>1.4877510233029925E-2</v>
      </c>
      <c r="AB39" s="5">
        <f t="shared" si="1"/>
        <v>3.6781898589299757</v>
      </c>
      <c r="AC39" s="5">
        <f t="shared" si="2"/>
        <v>3.7079448793960355</v>
      </c>
    </row>
    <row r="40" spans="1:29" x14ac:dyDescent="0.3">
      <c r="A40" s="23">
        <v>37</v>
      </c>
      <c r="B40" s="24">
        <v>5568.05840618199</v>
      </c>
      <c r="C40" s="24">
        <v>5549.52761022099</v>
      </c>
      <c r="D40" s="24">
        <v>5564.74719296699</v>
      </c>
      <c r="E40" s="24">
        <v>5542.3935855689797</v>
      </c>
      <c r="F40" s="24">
        <v>5549.2222674549903</v>
      </c>
      <c r="G40" s="24">
        <v>5559.3092071209803</v>
      </c>
      <c r="H40" s="24">
        <v>5559.62324536298</v>
      </c>
      <c r="I40" s="24">
        <v>5555.8842663409796</v>
      </c>
      <c r="J40" s="24">
        <v>5545.2698308229901</v>
      </c>
      <c r="K40" s="25">
        <v>5549.0306950349895</v>
      </c>
      <c r="L40" s="3"/>
      <c r="M40" s="23">
        <v>37</v>
      </c>
      <c r="N40" s="24">
        <v>1971.5868844069919</v>
      </c>
      <c r="O40" s="24">
        <v>1957.7760829609929</v>
      </c>
      <c r="P40" s="24">
        <v>1970.0611601389919</v>
      </c>
      <c r="Q40" s="24">
        <v>1981.7671064829919</v>
      </c>
      <c r="R40" s="24">
        <v>1988.523790861992</v>
      </c>
      <c r="S40" s="24">
        <v>2005.0387213529921</v>
      </c>
      <c r="T40" s="24">
        <v>1977.4393901379922</v>
      </c>
      <c r="U40" s="24">
        <v>1980.4712098269929</v>
      </c>
      <c r="V40" s="24">
        <v>2013.7570256849942</v>
      </c>
      <c r="W40" s="25">
        <v>1969.8080181349931</v>
      </c>
      <c r="Y40" s="6">
        <f t="array" ref="Y40">AVERAGE(B40:K40/TotalWasteDisposed!B40:K40-'CO2'!N40:W40/TotalWasteDisposed!N40:W40)</f>
        <v>2.3651497295893855</v>
      </c>
      <c r="Z40" s="5">
        <f t="array" ref="Z40">_xlfn.STDEV.S(B40:K40/TotalWasteDisposed!B40:K40-'CO2'!N40:W40/TotalWasteDisposed!N40:W40)</f>
        <v>1.2760098086797594E-2</v>
      </c>
      <c r="AA40" s="5">
        <f t="shared" si="0"/>
        <v>9.1273901200691187E-3</v>
      </c>
      <c r="AB40" s="5">
        <f t="shared" si="1"/>
        <v>2.3560223394693165</v>
      </c>
      <c r="AC40" s="5">
        <f t="shared" si="2"/>
        <v>2.3742771197094545</v>
      </c>
    </row>
    <row r="41" spans="1:29" x14ac:dyDescent="0.3">
      <c r="A41" s="23">
        <v>38</v>
      </c>
      <c r="B41" s="24">
        <v>5552.4691231179804</v>
      </c>
      <c r="C41" s="24">
        <v>5545.2099117929802</v>
      </c>
      <c r="D41" s="24">
        <v>5550.5596248019901</v>
      </c>
      <c r="E41" s="24">
        <v>5548.1255104689799</v>
      </c>
      <c r="F41" s="24">
        <v>5550.4037471399897</v>
      </c>
      <c r="G41" s="24">
        <v>5566.3063755529802</v>
      </c>
      <c r="H41" s="24">
        <v>5555.9184835379801</v>
      </c>
      <c r="I41" s="24">
        <v>5544.7751504479902</v>
      </c>
      <c r="J41" s="24">
        <v>5539.0932084669803</v>
      </c>
      <c r="K41" s="25">
        <v>5555.1542246959898</v>
      </c>
      <c r="L41" s="3"/>
      <c r="M41" s="23">
        <v>38</v>
      </c>
      <c r="N41" s="24">
        <v>1969.0283970159931</v>
      </c>
      <c r="O41" s="24">
        <v>1965.6623790599931</v>
      </c>
      <c r="P41" s="24">
        <v>1981.5963364599932</v>
      </c>
      <c r="Q41" s="24">
        <v>1980.8103954579917</v>
      </c>
      <c r="R41" s="24">
        <v>1970.7521331179928</v>
      </c>
      <c r="S41" s="24">
        <v>1971.928026513993</v>
      </c>
      <c r="T41" s="24">
        <v>1973.6191788409933</v>
      </c>
      <c r="U41" s="24">
        <v>1981.9704909609932</v>
      </c>
      <c r="V41" s="24">
        <v>2015.338151812992</v>
      </c>
      <c r="W41" s="25">
        <v>2023.2112631849927</v>
      </c>
      <c r="Y41" s="6">
        <f t="array" ref="Y41">AVERAGE(B41:K41/TotalWasteDisposed!B41:K41-'CO2'!N41:W41/TotalWasteDisposed!N41:W41)</f>
        <v>2.3598028933444333</v>
      </c>
      <c r="Z41" s="5">
        <f t="array" ref="Z41">_xlfn.STDEV.S(B41:K41/TotalWasteDisposed!B41:K41-'CO2'!N41:W41/TotalWasteDisposed!N41:W41)</f>
        <v>1.2261408184365391E-2</v>
      </c>
      <c r="AA41" s="5">
        <f t="shared" si="0"/>
        <v>8.7706736389358397E-3</v>
      </c>
      <c r="AB41" s="5">
        <f t="shared" si="1"/>
        <v>2.3510322197054974</v>
      </c>
      <c r="AC41" s="5">
        <f t="shared" si="2"/>
        <v>2.3685735669833692</v>
      </c>
    </row>
    <row r="42" spans="1:29" x14ac:dyDescent="0.3">
      <c r="A42" s="23">
        <v>39</v>
      </c>
      <c r="B42" s="24">
        <v>5566.15959160898</v>
      </c>
      <c r="C42" s="24">
        <v>5551.6035618759897</v>
      </c>
      <c r="D42" s="24">
        <v>5543.8779959859803</v>
      </c>
      <c r="E42" s="24">
        <v>5531.7489244889803</v>
      </c>
      <c r="F42" s="24">
        <v>5551.2154532299901</v>
      </c>
      <c r="G42" s="24">
        <v>5558.6109673439905</v>
      </c>
      <c r="H42" s="24">
        <v>5570.2943059139889</v>
      </c>
      <c r="I42" s="24">
        <v>5566.6083421029798</v>
      </c>
      <c r="J42" s="24">
        <v>5541.2457983219902</v>
      </c>
      <c r="K42" s="25">
        <v>5539.6624559369902</v>
      </c>
      <c r="L42" s="3"/>
      <c r="M42" s="23">
        <v>39</v>
      </c>
      <c r="N42" s="24">
        <v>2019.4879214009932</v>
      </c>
      <c r="O42" s="24">
        <v>2005.5392990489931</v>
      </c>
      <c r="P42" s="24">
        <v>1980.067137716994</v>
      </c>
      <c r="Q42" s="24">
        <v>2001.5715480819918</v>
      </c>
      <c r="R42" s="24">
        <v>2012.8294737109929</v>
      </c>
      <c r="S42" s="24">
        <v>1962.2913553749922</v>
      </c>
      <c r="T42" s="24">
        <v>2010.2789346319928</v>
      </c>
      <c r="U42" s="24">
        <v>1970.9269401969918</v>
      </c>
      <c r="V42" s="24">
        <v>2013.494618897993</v>
      </c>
      <c r="W42" s="25">
        <v>2017.767464614994</v>
      </c>
      <c r="Y42" s="6">
        <f t="array" ref="Y42">AVERAGE(B42:K42/TotalWasteDisposed!B42:K42-'CO2'!N42:W42/TotalWasteDisposed!N42:W42)</f>
        <v>2.3733178544797959</v>
      </c>
      <c r="Z42" s="5">
        <f t="array" ref="Z42">_xlfn.STDEV.S(B42:K42/TotalWasteDisposed!B42:K42-'CO2'!N42:W42/TotalWasteDisposed!N42:W42)</f>
        <v>1.526108027812411E-2</v>
      </c>
      <c r="AA42" s="5">
        <f t="shared" si="0"/>
        <v>1.0916360705428582E-2</v>
      </c>
      <c r="AB42" s="5">
        <f t="shared" si="1"/>
        <v>2.3624014937743674</v>
      </c>
      <c r="AC42" s="5">
        <f t="shared" si="2"/>
        <v>2.3842342151852245</v>
      </c>
    </row>
    <row r="43" spans="1:29" x14ac:dyDescent="0.3">
      <c r="A43" s="23">
        <v>40</v>
      </c>
      <c r="B43" s="24">
        <v>5559.4952506849904</v>
      </c>
      <c r="C43" s="24">
        <v>5546.414737054989</v>
      </c>
      <c r="D43" s="24">
        <v>5568.9687024969899</v>
      </c>
      <c r="E43" s="24">
        <v>5557.9400832909805</v>
      </c>
      <c r="F43" s="24">
        <v>5555.7970388159802</v>
      </c>
      <c r="G43" s="24">
        <v>5549.8086571639897</v>
      </c>
      <c r="H43" s="24">
        <v>5548.1498149949894</v>
      </c>
      <c r="I43" s="24">
        <v>5538.9638544309901</v>
      </c>
      <c r="J43" s="24">
        <v>5551.4134714659795</v>
      </c>
      <c r="K43" s="25">
        <v>5542.7116097179796</v>
      </c>
      <c r="L43" s="3"/>
      <c r="M43" s="23">
        <v>40</v>
      </c>
      <c r="N43" s="24">
        <v>2019.519985497993</v>
      </c>
      <c r="O43" s="24">
        <v>1977.2665037479928</v>
      </c>
      <c r="P43" s="24">
        <v>2041.2413212419947</v>
      </c>
      <c r="Q43" s="24">
        <v>1999.5644085989929</v>
      </c>
      <c r="R43" s="24">
        <v>2012.7670705319929</v>
      </c>
      <c r="S43" s="24">
        <v>1974.2922622889919</v>
      </c>
      <c r="T43" s="24">
        <v>2016.772140396992</v>
      </c>
      <c r="U43" s="24">
        <v>1980.864176991993</v>
      </c>
      <c r="V43" s="24">
        <v>1973.5660782359921</v>
      </c>
      <c r="W43" s="25">
        <v>1970.5893475329929</v>
      </c>
      <c r="Y43" s="6">
        <f t="array" ref="Y43">AVERAGE(B43:K43/TotalWasteDisposed!B43:K43-'CO2'!N43:W43/TotalWasteDisposed!N43:W43)</f>
        <v>2.3706494993583642</v>
      </c>
      <c r="Z43" s="5">
        <f t="array" ref="Z43">_xlfn.STDEV.S(B43:K43/TotalWasteDisposed!B43:K43-'CO2'!N43:W43/TotalWasteDisposed!N43:W43)</f>
        <v>1.5838681925343819E-2</v>
      </c>
      <c r="AA43" s="5">
        <f t="shared" si="0"/>
        <v>1.1329523326304009E-2</v>
      </c>
      <c r="AB43" s="5">
        <f t="shared" si="1"/>
        <v>2.3593199760320602</v>
      </c>
      <c r="AC43" s="5">
        <f t="shared" si="2"/>
        <v>2.3819790226846682</v>
      </c>
    </row>
    <row r="44" spans="1:29" x14ac:dyDescent="0.3">
      <c r="A44" s="23">
        <v>41</v>
      </c>
      <c r="B44" s="24">
        <v>5537.11953734498</v>
      </c>
      <c r="C44" s="24">
        <v>5547.044342648991</v>
      </c>
      <c r="D44" s="24">
        <v>5540.2033952479896</v>
      </c>
      <c r="E44" s="24">
        <v>5553.4216141279903</v>
      </c>
      <c r="F44" s="24">
        <v>5537.7227393999801</v>
      </c>
      <c r="G44" s="24">
        <v>5545.6036729389898</v>
      </c>
      <c r="H44" s="24">
        <v>5555.2550943509796</v>
      </c>
      <c r="I44" s="24">
        <v>5532.9710823939895</v>
      </c>
      <c r="J44" s="24">
        <v>5555.4998868399907</v>
      </c>
      <c r="K44" s="25">
        <v>5536.6262291559906</v>
      </c>
      <c r="L44" s="3"/>
      <c r="M44" s="23">
        <v>41</v>
      </c>
      <c r="N44" s="24">
        <v>1972.8784098489921</v>
      </c>
      <c r="O44" s="24">
        <v>1977.0932718009922</v>
      </c>
      <c r="P44" s="24">
        <v>2055.7257277669919</v>
      </c>
      <c r="Q44" s="24">
        <v>2019.1343945179949</v>
      </c>
      <c r="R44" s="24">
        <v>1962.5150187449917</v>
      </c>
      <c r="S44" s="24">
        <v>2015.490814599993</v>
      </c>
      <c r="T44" s="24">
        <v>2005.0387213529921</v>
      </c>
      <c r="U44" s="24">
        <v>1980.4964676559928</v>
      </c>
      <c r="V44" s="24">
        <v>2003.3323074099928</v>
      </c>
      <c r="W44" s="25">
        <v>2024.6036270999921</v>
      </c>
      <c r="Y44" s="6">
        <f t="array" ref="Y44">AVERAGE(B44:K44/TotalWasteDisposed!B44:K44-'CO2'!N44:W44/TotalWasteDisposed!N44:W44)</f>
        <v>2.359604459041682</v>
      </c>
      <c r="Z44" s="5">
        <f t="array" ref="Z44">_xlfn.STDEV.S(B44:K44/TotalWasteDisposed!B44:K44-'CO2'!N44:W44/TotalWasteDisposed!N44:W44)</f>
        <v>1.6897242391580247E-2</v>
      </c>
      <c r="AA44" s="5">
        <f t="shared" si="0"/>
        <v>1.2086719256562488E-2</v>
      </c>
      <c r="AB44" s="5">
        <f t="shared" si="1"/>
        <v>2.3475177397851197</v>
      </c>
      <c r="AC44" s="5">
        <f t="shared" si="2"/>
        <v>2.3716911782982444</v>
      </c>
    </row>
    <row r="45" spans="1:29" x14ac:dyDescent="0.3">
      <c r="A45" s="23">
        <v>42</v>
      </c>
      <c r="B45" s="24">
        <v>5562.5492333029897</v>
      </c>
      <c r="C45" s="24">
        <v>5549.7096839849792</v>
      </c>
      <c r="D45" s="24">
        <v>5528.8134922859799</v>
      </c>
      <c r="E45" s="24">
        <v>5554.5608770909903</v>
      </c>
      <c r="F45" s="24">
        <v>5559.9249270619894</v>
      </c>
      <c r="G45" s="24">
        <v>5553.9113582939899</v>
      </c>
      <c r="H45" s="24">
        <v>5546.8706376659802</v>
      </c>
      <c r="I45" s="24">
        <v>5560.6851718939906</v>
      </c>
      <c r="J45" s="24">
        <v>5553.5731106919902</v>
      </c>
      <c r="K45" s="25">
        <v>5538.8271448949799</v>
      </c>
      <c r="L45" s="3"/>
      <c r="M45" s="23">
        <v>42</v>
      </c>
      <c r="N45" s="24">
        <v>1983.326272017993</v>
      </c>
      <c r="O45" s="24">
        <v>2002.9817339079921</v>
      </c>
      <c r="P45" s="24">
        <v>2008.241903050993</v>
      </c>
      <c r="Q45" s="24">
        <v>2000.5770963689929</v>
      </c>
      <c r="R45" s="24">
        <v>1974.7345359179919</v>
      </c>
      <c r="S45" s="24">
        <v>1963.4221645239927</v>
      </c>
      <c r="T45" s="24">
        <v>2008.6514102039951</v>
      </c>
      <c r="U45" s="24">
        <v>2016.2177990799928</v>
      </c>
      <c r="V45" s="24">
        <v>2037.280261941994</v>
      </c>
      <c r="W45" s="25">
        <v>2046.0396165729931</v>
      </c>
      <c r="Y45" s="6">
        <f t="array" ref="Y45">AVERAGE(B45:K45/TotalWasteDisposed!B45:K45-'CO2'!N45:W45/TotalWasteDisposed!N45:W45)</f>
        <v>2.3717777070350943</v>
      </c>
      <c r="Z45" s="5">
        <f t="array" ref="Z45">_xlfn.STDEV.S(B45:K45/TotalWasteDisposed!B45:K45-'CO2'!N45:W45/TotalWasteDisposed!N45:W45)</f>
        <v>1.2151218638937601E-2</v>
      </c>
      <c r="AA45" s="5">
        <f t="shared" si="0"/>
        <v>8.6918542629850284E-3</v>
      </c>
      <c r="AB45" s="5">
        <f t="shared" si="1"/>
        <v>2.3630858527721093</v>
      </c>
      <c r="AC45" s="5">
        <f t="shared" si="2"/>
        <v>2.3804695612980793</v>
      </c>
    </row>
    <row r="46" spans="1:29" x14ac:dyDescent="0.3">
      <c r="A46" s="23">
        <v>43</v>
      </c>
      <c r="B46" s="24">
        <v>5542.6019255439896</v>
      </c>
      <c r="C46" s="24">
        <v>5548.4332012089899</v>
      </c>
      <c r="D46" s="24">
        <v>5539.5998956379899</v>
      </c>
      <c r="E46" s="24">
        <v>5550.6839107549804</v>
      </c>
      <c r="F46" s="24">
        <v>5568.1414095779801</v>
      </c>
      <c r="G46" s="24">
        <v>5554.57766236099</v>
      </c>
      <c r="H46" s="24">
        <v>5552.9906855169902</v>
      </c>
      <c r="I46" s="24">
        <v>5555.7922370289798</v>
      </c>
      <c r="J46" s="24">
        <v>5558.5063261219902</v>
      </c>
      <c r="K46" s="25">
        <v>5551.5832171049897</v>
      </c>
      <c r="L46" s="3"/>
      <c r="M46" s="23">
        <v>43</v>
      </c>
      <c r="N46" s="24">
        <v>1987.2290462489927</v>
      </c>
      <c r="O46" s="24">
        <v>1967.9159007429921</v>
      </c>
      <c r="P46" s="24">
        <v>1974.8400778579928</v>
      </c>
      <c r="Q46" s="24">
        <v>1977.077839376992</v>
      </c>
      <c r="R46" s="24">
        <v>1978.9903018959931</v>
      </c>
      <c r="S46" s="24">
        <v>1965.6719625519929</v>
      </c>
      <c r="T46" s="24">
        <v>2034.7424501659939</v>
      </c>
      <c r="U46" s="24">
        <v>2004.5075425409932</v>
      </c>
      <c r="V46" s="24">
        <v>2004.6187635809922</v>
      </c>
      <c r="W46" s="25">
        <v>1964.1025080239929</v>
      </c>
      <c r="Y46" s="6">
        <f t="array" ref="Y46">AVERAGE(B46:K46/TotalWasteDisposed!B46:K46-'CO2'!N46:W46/TotalWasteDisposed!N46:W46)</f>
        <v>2.3650322690115932</v>
      </c>
      <c r="Z46" s="5">
        <f t="array" ref="Z46">_xlfn.STDEV.S(B46:K46/TotalWasteDisposed!B46:K46-'CO2'!N46:W46/TotalWasteDisposed!N46:W46)</f>
        <v>1.5419377502583464E-2</v>
      </c>
      <c r="AA46" s="5">
        <f t="shared" si="0"/>
        <v>1.1029591850889729E-2</v>
      </c>
      <c r="AB46" s="5">
        <f t="shared" si="1"/>
        <v>2.3540026771607034</v>
      </c>
      <c r="AC46" s="5">
        <f t="shared" si="2"/>
        <v>2.3760618608624831</v>
      </c>
    </row>
    <row r="47" spans="1:29" x14ac:dyDescent="0.3">
      <c r="A47" s="23">
        <v>44</v>
      </c>
      <c r="B47" s="24">
        <v>5559.6588696409899</v>
      </c>
      <c r="C47" s="24">
        <v>5562.3040013219797</v>
      </c>
      <c r="D47" s="24">
        <v>5519.5885425899896</v>
      </c>
      <c r="E47" s="24">
        <v>5548.4820859339907</v>
      </c>
      <c r="F47" s="24">
        <v>5555.8315862049803</v>
      </c>
      <c r="G47" s="24">
        <v>5552.2284108989807</v>
      </c>
      <c r="H47" s="24">
        <v>5532.9960554609897</v>
      </c>
      <c r="I47" s="24">
        <v>5542.9996797459798</v>
      </c>
      <c r="J47" s="24">
        <v>5560.4281917349799</v>
      </c>
      <c r="K47" s="25">
        <v>5553.7889338779805</v>
      </c>
      <c r="L47" s="3"/>
      <c r="M47" s="23">
        <v>44</v>
      </c>
      <c r="N47" s="24">
        <v>1971.6009108239923</v>
      </c>
      <c r="O47" s="24">
        <v>1981.0955879539931</v>
      </c>
      <c r="P47" s="24">
        <v>1969.203174425993</v>
      </c>
      <c r="Q47" s="24">
        <v>1972.0555029509919</v>
      </c>
      <c r="R47" s="24">
        <v>1966.8212059909929</v>
      </c>
      <c r="S47" s="24">
        <v>1983.379777671993</v>
      </c>
      <c r="T47" s="24">
        <v>2011.5973556409933</v>
      </c>
      <c r="U47" s="24">
        <v>2006.1168973419917</v>
      </c>
      <c r="V47" s="24">
        <v>1979.8228355189929</v>
      </c>
      <c r="W47" s="25">
        <v>2015.094580226993</v>
      </c>
      <c r="Y47" s="6">
        <f t="array" ref="Y47">AVERAGE(B47:K47/TotalWasteDisposed!B47:K47-'CO2'!N47:W47/TotalWasteDisposed!N47:W47)</f>
        <v>2.3617655353441585</v>
      </c>
      <c r="Z47" s="5">
        <f t="array" ref="Z47">_xlfn.STDEV.S(B47:K47/TotalWasteDisposed!B47:K47-'CO2'!N47:W47/TotalWasteDisposed!N47:W47)</f>
        <v>1.5669065994929787E-2</v>
      </c>
      <c r="AA47" s="5">
        <f t="shared" si="0"/>
        <v>1.1208195828902624E-2</v>
      </c>
      <c r="AB47" s="5">
        <f t="shared" si="1"/>
        <v>2.3505573395152557</v>
      </c>
      <c r="AC47" s="5">
        <f t="shared" si="2"/>
        <v>2.3729737311730612</v>
      </c>
    </row>
    <row r="48" spans="1:29" x14ac:dyDescent="0.3">
      <c r="A48" s="23">
        <v>45</v>
      </c>
      <c r="B48" s="24">
        <v>5561.3899673159904</v>
      </c>
      <c r="C48" s="24">
        <v>5560.61695336298</v>
      </c>
      <c r="D48" s="24">
        <v>5548.1669896199801</v>
      </c>
      <c r="E48" s="24">
        <v>5543.9032981069795</v>
      </c>
      <c r="F48" s="24">
        <v>5559.5365595969797</v>
      </c>
      <c r="G48" s="24">
        <v>5554.0582836499898</v>
      </c>
      <c r="H48" s="24">
        <v>5545.45135161698</v>
      </c>
      <c r="I48" s="24">
        <v>5550.9695599299903</v>
      </c>
      <c r="J48" s="24">
        <v>5550.1351019799904</v>
      </c>
      <c r="K48" s="25">
        <v>5548.3697456209893</v>
      </c>
      <c r="L48" s="3"/>
      <c r="M48" s="23">
        <v>45</v>
      </c>
      <c r="N48" s="24">
        <v>1964.441572637993</v>
      </c>
      <c r="O48" s="24">
        <v>1969.9986618669921</v>
      </c>
      <c r="P48" s="24">
        <v>1979.2838393079919</v>
      </c>
      <c r="Q48" s="24">
        <v>1980.6692258439921</v>
      </c>
      <c r="R48" s="24">
        <v>2011.7817058069932</v>
      </c>
      <c r="S48" s="24">
        <v>1973.2789634209919</v>
      </c>
      <c r="T48" s="24">
        <v>1975.7536657309929</v>
      </c>
      <c r="U48" s="24">
        <v>1975.0356960509921</v>
      </c>
      <c r="V48" s="24">
        <v>1975.8295378749926</v>
      </c>
      <c r="W48" s="25">
        <v>2006.5410172439931</v>
      </c>
      <c r="Y48" s="6">
        <f t="array" ref="Y48">AVERAGE(B48:K48/TotalWasteDisposed!B48:K48-'CO2'!N48:W48/TotalWasteDisposed!N48:W48)</f>
        <v>2.3672768807441678</v>
      </c>
      <c r="Z48" s="5">
        <f t="array" ref="Z48">_xlfn.STDEV.S(B48:K48/TotalWasteDisposed!B48:K48-'CO2'!N48:W48/TotalWasteDisposed!N48:W48)</f>
        <v>1.2632266037069391E-2</v>
      </c>
      <c r="AA48" s="5">
        <f t="shared" si="0"/>
        <v>9.0359509336474554E-3</v>
      </c>
      <c r="AB48" s="5">
        <f t="shared" si="1"/>
        <v>2.3582409298105205</v>
      </c>
      <c r="AC48" s="5">
        <f t="shared" si="2"/>
        <v>2.376312831677815</v>
      </c>
    </row>
    <row r="49" spans="1:29" x14ac:dyDescent="0.3">
      <c r="A49" s="23">
        <v>46</v>
      </c>
      <c r="B49" s="24">
        <v>5944.2158219399898</v>
      </c>
      <c r="C49" s="24">
        <v>5934.4021927259892</v>
      </c>
      <c r="D49" s="24">
        <v>5943.0113784669893</v>
      </c>
      <c r="E49" s="24">
        <v>5941.8195056789882</v>
      </c>
      <c r="F49" s="24">
        <v>5956.603720998989</v>
      </c>
      <c r="G49" s="24">
        <v>5944.200584326989</v>
      </c>
      <c r="H49" s="24">
        <v>5936.9214145479891</v>
      </c>
      <c r="I49" s="24">
        <v>5947.2340247879902</v>
      </c>
      <c r="J49" s="24">
        <v>5952.8204077129894</v>
      </c>
      <c r="K49" s="25">
        <v>5949.14845805399</v>
      </c>
      <c r="L49" s="3"/>
      <c r="M49" s="23">
        <v>46</v>
      </c>
      <c r="N49" s="24">
        <v>2784.5048237529909</v>
      </c>
      <c r="O49" s="24">
        <v>2771.08996204099</v>
      </c>
      <c r="P49" s="24">
        <v>2812.4568006039899</v>
      </c>
      <c r="Q49" s="24">
        <v>2797.2085878429916</v>
      </c>
      <c r="R49" s="24">
        <v>2794.7702661999901</v>
      </c>
      <c r="S49" s="24">
        <v>2820.3595298679897</v>
      </c>
      <c r="T49" s="24">
        <v>2804.5054335929913</v>
      </c>
      <c r="U49" s="24">
        <v>2807.4101798399911</v>
      </c>
      <c r="V49" s="24">
        <v>2801.4798960859916</v>
      </c>
      <c r="W49" s="25">
        <v>2807.2231380679909</v>
      </c>
      <c r="Y49" s="6">
        <f t="array" ref="Y49">AVERAGE(B49:K49/TotalWasteDisposed!B49:K49-'CO2'!N49:W49/TotalWasteDisposed!N49:W49)</f>
        <v>2.9845362140251064</v>
      </c>
      <c r="Z49" s="5">
        <f t="array" ref="Z49">_xlfn.STDEV.S(B49:K49/TotalWasteDisposed!B49:K49-'CO2'!N49:W49/TotalWasteDisposed!N49:W49)</f>
        <v>1.5529443937237273E-2</v>
      </c>
      <c r="AA49" s="5">
        <f t="shared" si="0"/>
        <v>1.1108323164816684E-2</v>
      </c>
      <c r="AB49" s="5">
        <f t="shared" si="1"/>
        <v>2.9734278908602896</v>
      </c>
      <c r="AC49" s="5">
        <f t="shared" si="2"/>
        <v>2.9956445371899232</v>
      </c>
    </row>
    <row r="50" spans="1:29" x14ac:dyDescent="0.3">
      <c r="A50" s="23">
        <v>47</v>
      </c>
      <c r="B50" s="24">
        <v>5947.3394053969887</v>
      </c>
      <c r="C50" s="24">
        <v>5941.9487399129894</v>
      </c>
      <c r="D50" s="24">
        <v>5944.0772939279905</v>
      </c>
      <c r="E50" s="24">
        <v>5952.3606271559893</v>
      </c>
      <c r="F50" s="24">
        <v>5946.2691522999894</v>
      </c>
      <c r="G50" s="24">
        <v>5948.0907954739905</v>
      </c>
      <c r="H50" s="24">
        <v>5953.8961137609895</v>
      </c>
      <c r="I50" s="24">
        <v>5953.8313515769896</v>
      </c>
      <c r="J50" s="24">
        <v>5940.6236923329898</v>
      </c>
      <c r="K50" s="25">
        <v>5948.35781081599</v>
      </c>
      <c r="L50" s="3"/>
      <c r="M50" s="23">
        <v>47</v>
      </c>
      <c r="N50" s="24">
        <v>2790.8470914879899</v>
      </c>
      <c r="O50" s="24">
        <v>2826.3033357069899</v>
      </c>
      <c r="P50" s="24">
        <v>2809.503622326989</v>
      </c>
      <c r="Q50" s="24">
        <v>2802.3387267529879</v>
      </c>
      <c r="R50" s="24">
        <v>2799.8777414709907</v>
      </c>
      <c r="S50" s="24">
        <v>2807.8095439729896</v>
      </c>
      <c r="T50" s="24">
        <v>2843.3120410809902</v>
      </c>
      <c r="U50" s="24">
        <v>2804.2426861419899</v>
      </c>
      <c r="V50" s="24">
        <v>2787.9600344599899</v>
      </c>
      <c r="W50" s="25">
        <v>2811.8029758289886</v>
      </c>
      <c r="Y50" s="6">
        <f t="array" ref="Y50">AVERAGE(B50:K50/TotalWasteDisposed!B50:K50-'CO2'!N50:W50/TotalWasteDisposed!N50:W50)</f>
        <v>2.9846708866514278</v>
      </c>
      <c r="Z50" s="5">
        <f t="array" ref="Z50">_xlfn.STDEV.S(B50:K50/TotalWasteDisposed!B50:K50-'CO2'!N50:W50/TotalWasteDisposed!N50:W50)</f>
        <v>1.2627542074162652E-2</v>
      </c>
      <c r="AA50" s="5">
        <f t="shared" si="0"/>
        <v>9.0325718489359403E-3</v>
      </c>
      <c r="AB50" s="5">
        <f t="shared" si="1"/>
        <v>2.9756383148024916</v>
      </c>
      <c r="AC50" s="5">
        <f t="shared" si="2"/>
        <v>2.9937034585003639</v>
      </c>
    </row>
    <row r="51" spans="1:29" x14ac:dyDescent="0.3">
      <c r="A51" s="23">
        <v>48</v>
      </c>
      <c r="B51" s="24">
        <v>5948.986789616989</v>
      </c>
      <c r="C51" s="24">
        <v>5945.7359877209892</v>
      </c>
      <c r="D51" s="24">
        <v>5947.1103883059895</v>
      </c>
      <c r="E51" s="24">
        <v>5940.0099025749896</v>
      </c>
      <c r="F51" s="24">
        <v>5948.810828886988</v>
      </c>
      <c r="G51" s="24">
        <v>5943.8571403659889</v>
      </c>
      <c r="H51" s="24">
        <v>5947.3182788019894</v>
      </c>
      <c r="I51" s="24">
        <v>5932.8166977129895</v>
      </c>
      <c r="J51" s="24">
        <v>5937.5827887229898</v>
      </c>
      <c r="K51" s="25">
        <v>5947.14742535199</v>
      </c>
      <c r="L51" s="3"/>
      <c r="M51" s="23">
        <v>48</v>
      </c>
      <c r="N51" s="24">
        <v>2786.1144398129891</v>
      </c>
      <c r="O51" s="24">
        <v>2804.5143179849892</v>
      </c>
      <c r="P51" s="24">
        <v>2782.1039963549897</v>
      </c>
      <c r="Q51" s="24">
        <v>2776.9026823989893</v>
      </c>
      <c r="R51" s="24">
        <v>2792.9190044649886</v>
      </c>
      <c r="S51" s="24">
        <v>2791.80665318299</v>
      </c>
      <c r="T51" s="24">
        <v>2803.8031748119893</v>
      </c>
      <c r="U51" s="24">
        <v>2796.5054075899893</v>
      </c>
      <c r="V51" s="24">
        <v>2776.3743587329891</v>
      </c>
      <c r="W51" s="25">
        <v>2795.2328916089896</v>
      </c>
      <c r="Y51" s="6">
        <f t="array" ref="Y51">AVERAGE(B51:K51/TotalWasteDisposed!B51:K51-'CO2'!N51:W51/TotalWasteDisposed!N51:W51)</f>
        <v>2.992681806781627</v>
      </c>
      <c r="Z51" s="5">
        <f t="array" ref="Z51">_xlfn.STDEV.S(B51:K51/TotalWasteDisposed!B51:K51-'CO2'!N51:W51/TotalWasteDisposed!N51:W51)</f>
        <v>9.8709892157494601E-3</v>
      </c>
      <c r="AA51" s="5">
        <f t="shared" si="0"/>
        <v>7.0607897235805623E-3</v>
      </c>
      <c r="AB51" s="5">
        <f t="shared" si="1"/>
        <v>2.9856210170580466</v>
      </c>
      <c r="AC51" s="5">
        <f t="shared" si="2"/>
        <v>2.9997425965052074</v>
      </c>
    </row>
    <row r="52" spans="1:29" x14ac:dyDescent="0.3">
      <c r="A52" s="23">
        <v>49</v>
      </c>
      <c r="B52" s="24">
        <v>5941.8246227499903</v>
      </c>
      <c r="C52" s="24">
        <v>5928.7360364639899</v>
      </c>
      <c r="D52" s="24">
        <v>5942.1177163739885</v>
      </c>
      <c r="E52" s="24">
        <v>5942.0813693989894</v>
      </c>
      <c r="F52" s="24">
        <v>5947.8075008669894</v>
      </c>
      <c r="G52" s="24">
        <v>5935.78624842099</v>
      </c>
      <c r="H52" s="24">
        <v>5930.4050196299886</v>
      </c>
      <c r="I52" s="24">
        <v>5938.8885042269894</v>
      </c>
      <c r="J52" s="24">
        <v>5943.7122664219896</v>
      </c>
      <c r="K52" s="25">
        <v>5945.9888548369909</v>
      </c>
      <c r="L52" s="3"/>
      <c r="M52" s="23">
        <v>49</v>
      </c>
      <c r="N52" s="24">
        <v>2769.2119920719929</v>
      </c>
      <c r="O52" s="24">
        <v>2794.9373519699911</v>
      </c>
      <c r="P52" s="24">
        <v>2743.624739014992</v>
      </c>
      <c r="Q52" s="24">
        <v>2799.0591146519928</v>
      </c>
      <c r="R52" s="24">
        <v>2801.11593464199</v>
      </c>
      <c r="S52" s="24">
        <v>2779.1205805519885</v>
      </c>
      <c r="T52" s="24">
        <v>2778.7129666359906</v>
      </c>
      <c r="U52" s="24">
        <v>2779.1901255979919</v>
      </c>
      <c r="V52" s="24">
        <v>2797.3485633769906</v>
      </c>
      <c r="W52" s="25">
        <v>2776.5789731979903</v>
      </c>
      <c r="Y52" s="6">
        <f t="array" ref="Y52">AVERAGE(B52:K52/TotalWasteDisposed!B52:K52-'CO2'!N52:W52/TotalWasteDisposed!N52:W52)</f>
        <v>2.9970944954229504</v>
      </c>
      <c r="Z52" s="5">
        <f t="array" ref="Z52">_xlfn.STDEV.S(B52:K52/TotalWasteDisposed!B52:K52-'CO2'!N52:W52/TotalWasteDisposed!N52:W52)</f>
        <v>1.3655892148967752E-2</v>
      </c>
      <c r="AA52" s="5">
        <f t="shared" si="0"/>
        <v>9.7681580684854524E-3</v>
      </c>
      <c r="AB52" s="5">
        <f t="shared" si="1"/>
        <v>2.9873263373544647</v>
      </c>
      <c r="AC52" s="5">
        <f t="shared" si="2"/>
        <v>3.006862653491436</v>
      </c>
    </row>
    <row r="53" spans="1:29" x14ac:dyDescent="0.3">
      <c r="A53" s="23">
        <v>50</v>
      </c>
      <c r="B53" s="24">
        <v>5951.6748280829906</v>
      </c>
      <c r="C53" s="24">
        <v>5947.0403311269911</v>
      </c>
      <c r="D53" s="24">
        <v>5945.9272794389881</v>
      </c>
      <c r="E53" s="24">
        <v>5953.1705449619894</v>
      </c>
      <c r="F53" s="24">
        <v>5945.5829428569896</v>
      </c>
      <c r="G53" s="24">
        <v>5943.3325449269896</v>
      </c>
      <c r="H53" s="24">
        <v>5955.7837587019903</v>
      </c>
      <c r="I53" s="24">
        <v>5945.9496128509891</v>
      </c>
      <c r="J53" s="24">
        <v>5937.798451143989</v>
      </c>
      <c r="K53" s="25">
        <v>5943.201119645988</v>
      </c>
      <c r="L53" s="3"/>
      <c r="M53" s="23">
        <v>50</v>
      </c>
      <c r="N53" s="24">
        <v>2782.5202015319906</v>
      </c>
      <c r="O53" s="24">
        <v>2796.394187780993</v>
      </c>
      <c r="P53" s="24">
        <v>2801.1439211379911</v>
      </c>
      <c r="Q53" s="24">
        <v>2777.46230951299</v>
      </c>
      <c r="R53" s="24">
        <v>2787.2472061779899</v>
      </c>
      <c r="S53" s="24">
        <v>2781.8039802429889</v>
      </c>
      <c r="T53" s="24">
        <v>2801.7880883699891</v>
      </c>
      <c r="U53" s="24">
        <v>2794.56273572599</v>
      </c>
      <c r="V53" s="24">
        <v>2781.3781096099942</v>
      </c>
      <c r="W53" s="25">
        <v>2805.7260624839896</v>
      </c>
      <c r="Y53" s="6">
        <f t="array" ref="Y53">AVERAGE(B53:K53/TotalWasteDisposed!B53:K53-'CO2'!N53:W53/TotalWasteDisposed!N53:W53)</f>
        <v>2.9953707325660881</v>
      </c>
      <c r="Z53" s="5">
        <f t="array" ref="Z53">_xlfn.STDEV.S(B53:K53/TotalWasteDisposed!B53:K53-'CO2'!N53:W53/TotalWasteDisposed!N53:W53)</f>
        <v>1.0182088317151967E-2</v>
      </c>
      <c r="AA53" s="5">
        <f t="shared" si="0"/>
        <v>7.283321152821029E-3</v>
      </c>
      <c r="AB53" s="5">
        <f t="shared" si="1"/>
        <v>2.9880874114132672</v>
      </c>
      <c r="AC53" s="5">
        <f t="shared" si="2"/>
        <v>3.002654053718909</v>
      </c>
    </row>
    <row r="54" spans="1:29" x14ac:dyDescent="0.3">
      <c r="A54" s="23">
        <v>51</v>
      </c>
      <c r="B54" s="24">
        <v>5933.7263680359893</v>
      </c>
      <c r="C54" s="24">
        <v>5935.9123076669903</v>
      </c>
      <c r="D54" s="24">
        <v>5940.2408881659903</v>
      </c>
      <c r="E54" s="24">
        <v>5945.7907813349884</v>
      </c>
      <c r="F54" s="24">
        <v>5948.9983218069901</v>
      </c>
      <c r="G54" s="24">
        <v>5951.2956417209898</v>
      </c>
      <c r="H54" s="24">
        <v>5948.7984962599894</v>
      </c>
      <c r="I54" s="24">
        <v>5937.3773960119897</v>
      </c>
      <c r="J54" s="24">
        <v>5953.4981254689892</v>
      </c>
      <c r="K54" s="25">
        <v>5947.1974804319898</v>
      </c>
      <c r="L54" s="3"/>
      <c r="M54" s="23">
        <v>51</v>
      </c>
      <c r="N54" s="24">
        <v>2813.1348306659906</v>
      </c>
      <c r="O54" s="24">
        <v>2794.00879429099</v>
      </c>
      <c r="P54" s="24">
        <v>2800.415428662991</v>
      </c>
      <c r="Q54" s="24">
        <v>2785.3075273559889</v>
      </c>
      <c r="R54" s="24">
        <v>2749.2664345929907</v>
      </c>
      <c r="S54" s="24">
        <v>2793.9089546959885</v>
      </c>
      <c r="T54" s="24">
        <v>2757.1458732329897</v>
      </c>
      <c r="U54" s="24">
        <v>2796.3100834449906</v>
      </c>
      <c r="V54" s="24">
        <v>2785.2970154749896</v>
      </c>
      <c r="W54" s="25">
        <v>2795.6101170799898</v>
      </c>
      <c r="Y54" s="6">
        <f t="array" ref="Y54">AVERAGE(B54:K54/TotalWasteDisposed!B54:K54-'CO2'!N54:W54/TotalWasteDisposed!N54:W54)</f>
        <v>2.9941126545955346</v>
      </c>
      <c r="Z54" s="5">
        <f t="array" ref="Z54">_xlfn.STDEV.S(B54:K54/TotalWasteDisposed!B54:K54-'CO2'!N54:W54/TotalWasteDisposed!N54:W54)</f>
        <v>1.6792383575322298E-2</v>
      </c>
      <c r="AA54" s="5">
        <f t="shared" si="0"/>
        <v>1.201171298960399E-2</v>
      </c>
      <c r="AB54" s="5">
        <f t="shared" si="1"/>
        <v>2.9821009416059305</v>
      </c>
      <c r="AC54" s="5">
        <f t="shared" si="2"/>
        <v>3.0061243675851386</v>
      </c>
    </row>
    <row r="55" spans="1:29" x14ac:dyDescent="0.3">
      <c r="A55" s="23">
        <v>52</v>
      </c>
      <c r="B55" s="24">
        <v>5938.4959934239896</v>
      </c>
      <c r="C55" s="24">
        <v>5943.9314856229894</v>
      </c>
      <c r="D55" s="24">
        <v>5943.2498707819896</v>
      </c>
      <c r="E55" s="24">
        <v>5951.6784146659893</v>
      </c>
      <c r="F55" s="24">
        <v>5943.4581289099897</v>
      </c>
      <c r="G55" s="24">
        <v>5945.7463687429899</v>
      </c>
      <c r="H55" s="24">
        <v>5929.7405708409888</v>
      </c>
      <c r="I55" s="24">
        <v>5949.7112744859905</v>
      </c>
      <c r="J55" s="24">
        <v>5945.5397055219883</v>
      </c>
      <c r="K55" s="25">
        <v>5950.2906838509898</v>
      </c>
      <c r="L55" s="3"/>
      <c r="M55" s="23">
        <v>52</v>
      </c>
      <c r="N55" s="24">
        <v>2797.96188772299</v>
      </c>
      <c r="O55" s="24">
        <v>2795.5808386529907</v>
      </c>
      <c r="P55" s="24">
        <v>2814.6004774049907</v>
      </c>
      <c r="Q55" s="24">
        <v>2811.0833315269911</v>
      </c>
      <c r="R55" s="24">
        <v>2781.7729959829894</v>
      </c>
      <c r="S55" s="24">
        <v>2785.3115739229911</v>
      </c>
      <c r="T55" s="24">
        <v>2830.7303929719887</v>
      </c>
      <c r="U55" s="24">
        <v>2796.5856255429931</v>
      </c>
      <c r="V55" s="24">
        <v>2780.3551716479919</v>
      </c>
      <c r="W55" s="25">
        <v>2808.0511708659878</v>
      </c>
      <c r="Y55" s="6">
        <f t="array" ref="Y55">AVERAGE(B55:K55/TotalWasteDisposed!B55:K55-'CO2'!N55:W55/TotalWasteDisposed!N55:W55)</f>
        <v>2.9891693968464335</v>
      </c>
      <c r="Z55" s="5">
        <f t="array" ref="Z55">_xlfn.STDEV.S(B55:K55/TotalWasteDisposed!B55:K55-'CO2'!N55:W55/TotalWasteDisposed!N55:W55)</f>
        <v>1.819822351332747E-2</v>
      </c>
      <c r="AA55" s="5">
        <f t="shared" si="0"/>
        <v>1.301732042876807E-2</v>
      </c>
      <c r="AB55" s="5">
        <f t="shared" si="1"/>
        <v>2.9761520764176654</v>
      </c>
      <c r="AC55" s="5">
        <f t="shared" si="2"/>
        <v>3.0021867172752015</v>
      </c>
    </row>
    <row r="56" spans="1:29" x14ac:dyDescent="0.3">
      <c r="A56" s="23">
        <v>53</v>
      </c>
      <c r="B56" s="24">
        <v>5944.4922137179901</v>
      </c>
      <c r="C56" s="24">
        <v>5945.8673343549899</v>
      </c>
      <c r="D56" s="24">
        <v>5955.0988079149902</v>
      </c>
      <c r="E56" s="24">
        <v>5937.7384286099914</v>
      </c>
      <c r="F56" s="24">
        <v>5943.4911256709902</v>
      </c>
      <c r="G56" s="24">
        <v>5954.5850437499885</v>
      </c>
      <c r="H56" s="24">
        <v>5941.156244763989</v>
      </c>
      <c r="I56" s="24">
        <v>5931.3464412349904</v>
      </c>
      <c r="J56" s="24">
        <v>5947.18058616899</v>
      </c>
      <c r="K56" s="25">
        <v>5948.2844986929904</v>
      </c>
      <c r="L56" s="3"/>
      <c r="M56" s="23">
        <v>53</v>
      </c>
      <c r="N56" s="24">
        <v>2804.8817608759909</v>
      </c>
      <c r="O56" s="24">
        <v>2772.6550222859914</v>
      </c>
      <c r="P56" s="24">
        <v>2791.9428069049909</v>
      </c>
      <c r="Q56" s="24">
        <v>2785.4203325239919</v>
      </c>
      <c r="R56" s="24">
        <v>2797.484056588989</v>
      </c>
      <c r="S56" s="24">
        <v>2810.3374248719911</v>
      </c>
      <c r="T56" s="24">
        <v>2805.5242213009901</v>
      </c>
      <c r="U56" s="24">
        <v>2785.5522731719889</v>
      </c>
      <c r="V56" s="24">
        <v>2787.2350413189906</v>
      </c>
      <c r="W56" s="25">
        <v>2782.7362249759899</v>
      </c>
      <c r="Y56" s="6">
        <f t="array" ref="Y56">AVERAGE(B56:K56/TotalWasteDisposed!B56:K56-'CO2'!N56:W56/TotalWasteDisposed!N56:W56)</f>
        <v>2.9926031791992367</v>
      </c>
      <c r="Z56" s="5">
        <f t="array" ref="Z56">_xlfn.STDEV.S(B56:K56/TotalWasteDisposed!B56:K56-'CO2'!N56:W56/TotalWasteDisposed!N56:W56)</f>
        <v>1.2630483735274974E-2</v>
      </c>
      <c r="AA56" s="5">
        <f t="shared" si="0"/>
        <v>9.0346760403293425E-3</v>
      </c>
      <c r="AB56" s="5">
        <f t="shared" si="1"/>
        <v>2.9835685031589074</v>
      </c>
      <c r="AC56" s="5">
        <f t="shared" si="2"/>
        <v>3.0016378552395659</v>
      </c>
    </row>
    <row r="57" spans="1:29" x14ac:dyDescent="0.3">
      <c r="A57" s="23">
        <v>54</v>
      </c>
      <c r="B57" s="24">
        <v>5954.058671747991</v>
      </c>
      <c r="C57" s="24">
        <v>5953.0891739649906</v>
      </c>
      <c r="D57" s="24">
        <v>5944.8404125349898</v>
      </c>
      <c r="E57" s="24">
        <v>5954.9141855999897</v>
      </c>
      <c r="F57" s="24">
        <v>5941.2166796639885</v>
      </c>
      <c r="G57" s="24">
        <v>5949.3326606989895</v>
      </c>
      <c r="H57" s="24">
        <v>5950.6754025349901</v>
      </c>
      <c r="I57" s="24">
        <v>5942.3328876119895</v>
      </c>
      <c r="J57" s="24">
        <v>5946.3848566659899</v>
      </c>
      <c r="K57" s="25">
        <v>5930.4384070319884</v>
      </c>
      <c r="L57" s="3"/>
      <c r="M57" s="23">
        <v>54</v>
      </c>
      <c r="N57" s="24">
        <v>2807.0591807769906</v>
      </c>
      <c r="O57" s="24">
        <v>2772.2541477959903</v>
      </c>
      <c r="P57" s="24">
        <v>2830.3361170409889</v>
      </c>
      <c r="Q57" s="24">
        <v>2785.1683999449897</v>
      </c>
      <c r="R57" s="24">
        <v>2792.5494639789908</v>
      </c>
      <c r="S57" s="24">
        <v>2790.9003394239899</v>
      </c>
      <c r="T57" s="24">
        <v>2798.3563973829901</v>
      </c>
      <c r="U57" s="24">
        <v>2791.1841233139885</v>
      </c>
      <c r="V57" s="24">
        <v>2782.7669883459907</v>
      </c>
      <c r="W57" s="25">
        <v>2779.4193581199911</v>
      </c>
      <c r="Y57" s="6">
        <f t="array" ref="Y57">AVERAGE(B57:K57/TotalWasteDisposed!B57:K57-'CO2'!N57:W57/TotalWasteDisposed!N57:W57)</f>
        <v>2.9941647485265923</v>
      </c>
      <c r="Z57" s="5">
        <f t="array" ref="Z57">_xlfn.STDEV.S(B57:K57/TotalWasteDisposed!B57:K57-'CO2'!N57:W57/TotalWasteDisposed!N57:W57)</f>
        <v>1.0101789932320289E-2</v>
      </c>
      <c r="AA57" s="5">
        <f t="shared" si="0"/>
        <v>7.2258831394621439E-3</v>
      </c>
      <c r="AB57" s="5">
        <f t="shared" si="1"/>
        <v>2.9869388653871303</v>
      </c>
      <c r="AC57" s="5">
        <f t="shared" si="2"/>
        <v>3.0013906316660544</v>
      </c>
    </row>
    <row r="58" spans="1:29" x14ac:dyDescent="0.3">
      <c r="A58" s="23">
        <v>55</v>
      </c>
      <c r="B58" s="24">
        <v>6788.7660032019703</v>
      </c>
      <c r="C58" s="24">
        <v>6752.2717355909699</v>
      </c>
      <c r="D58" s="24">
        <v>6757.3740881189806</v>
      </c>
      <c r="E58" s="24">
        <v>6758.1934560989803</v>
      </c>
      <c r="F58" s="24">
        <v>6744.4349090649794</v>
      </c>
      <c r="G58" s="24">
        <v>6735.2515285519803</v>
      </c>
      <c r="H58" s="24">
        <v>6740.9731648629804</v>
      </c>
      <c r="I58" s="24">
        <v>6709.3537221009792</v>
      </c>
      <c r="J58" s="24">
        <v>6739.38971987898</v>
      </c>
      <c r="K58" s="25">
        <v>6727.9239314019796</v>
      </c>
      <c r="L58" s="3"/>
      <c r="M58" s="23">
        <v>55</v>
      </c>
      <c r="N58" s="24">
        <v>1029.4056098209971</v>
      </c>
      <c r="O58" s="24">
        <v>1003.891905051997</v>
      </c>
      <c r="P58" s="24">
        <v>962.41894007299811</v>
      </c>
      <c r="Q58" s="24">
        <v>929.35935201999712</v>
      </c>
      <c r="R58" s="24">
        <v>1072.8430521329969</v>
      </c>
      <c r="S58" s="24">
        <v>1027.034140173997</v>
      </c>
      <c r="T58" s="24">
        <v>1055.827309223997</v>
      </c>
      <c r="U58" s="24">
        <v>1021.326590830997</v>
      </c>
      <c r="V58" s="24">
        <v>996.54538108999793</v>
      </c>
      <c r="W58" s="25">
        <v>993.47465562499701</v>
      </c>
      <c r="Y58" s="6">
        <f t="array" ref="Y58">AVERAGE(B58:K58/TotalWasteDisposed!B58:K58-'CO2'!N58:W58/TotalWasteDisposed!N58:W58)</f>
        <v>3.6302923761133377</v>
      </c>
      <c r="Z58" s="5">
        <f t="array" ref="Z58">_xlfn.STDEV.S(B58:K58/TotalWasteDisposed!B58:K58-'CO2'!N58:W58/TotalWasteDisposed!N58:W58)</f>
        <v>2.6262485807592689E-2</v>
      </c>
      <c r="AA58" s="5">
        <f t="shared" si="0"/>
        <v>1.8785745364817689E-2</v>
      </c>
      <c r="AB58" s="5">
        <f t="shared" si="1"/>
        <v>3.61150663074852</v>
      </c>
      <c r="AC58" s="5">
        <f t="shared" si="2"/>
        <v>3.6490781214781554</v>
      </c>
    </row>
    <row r="59" spans="1:29" x14ac:dyDescent="0.3">
      <c r="A59" s="23">
        <v>56</v>
      </c>
      <c r="B59" s="24">
        <v>6762.4967421389792</v>
      </c>
      <c r="C59" s="24">
        <v>6775.1161994989907</v>
      </c>
      <c r="D59" s="24">
        <v>6738.8635847049809</v>
      </c>
      <c r="E59" s="24">
        <v>6729.472266245979</v>
      </c>
      <c r="F59" s="24">
        <v>6749.2559703869902</v>
      </c>
      <c r="G59" s="24">
        <v>6770.8400669559805</v>
      </c>
      <c r="H59" s="24">
        <v>6779.5585818299896</v>
      </c>
      <c r="I59" s="24">
        <v>6769.4275303239801</v>
      </c>
      <c r="J59" s="24">
        <v>6739.6687529619794</v>
      </c>
      <c r="K59" s="25">
        <v>6773.1813722889792</v>
      </c>
      <c r="L59" s="3"/>
      <c r="M59" s="23">
        <v>56</v>
      </c>
      <c r="N59" s="24">
        <v>941.37377531999698</v>
      </c>
      <c r="O59" s="24">
        <v>927.46936159199697</v>
      </c>
      <c r="P59" s="24">
        <v>1031.4659670829969</v>
      </c>
      <c r="Q59" s="24">
        <v>927.49585812299699</v>
      </c>
      <c r="R59" s="24">
        <v>990.48667809299707</v>
      </c>
      <c r="S59" s="24">
        <v>1033.0495606149971</v>
      </c>
      <c r="T59" s="24">
        <v>1019.7377303089979</v>
      </c>
      <c r="U59" s="24">
        <v>924.984286626997</v>
      </c>
      <c r="V59" s="24">
        <v>1021.0435155709981</v>
      </c>
      <c r="W59" s="25">
        <v>893.06176317099698</v>
      </c>
      <c r="Y59" s="6">
        <f t="array" ref="Y59">AVERAGE(B59:K59/TotalWasteDisposed!B59:K59-'CO2'!N59:W59/TotalWasteDisposed!N59:W59)</f>
        <v>3.6470593334810104</v>
      </c>
      <c r="Z59" s="5">
        <f t="array" ref="Z59">_xlfn.STDEV.S(B59:K59/TotalWasteDisposed!B59:K59-'CO2'!N59:W59/TotalWasteDisposed!N59:W59)</f>
        <v>3.5749073736675213E-2</v>
      </c>
      <c r="AA59" s="5">
        <f t="shared" si="0"/>
        <v>2.5571570077769074E-2</v>
      </c>
      <c r="AB59" s="5">
        <f t="shared" si="1"/>
        <v>3.6214877634032412</v>
      </c>
      <c r="AC59" s="5">
        <f t="shared" si="2"/>
        <v>3.6726309035587796</v>
      </c>
    </row>
    <row r="60" spans="1:29" x14ac:dyDescent="0.3">
      <c r="A60" s="23">
        <v>57</v>
      </c>
      <c r="B60" s="24">
        <v>6737.6119801379709</v>
      </c>
      <c r="C60" s="24">
        <v>6730.7416396789904</v>
      </c>
      <c r="D60" s="24">
        <v>6763.1706369909698</v>
      </c>
      <c r="E60" s="24">
        <v>6726.3307085449896</v>
      </c>
      <c r="F60" s="24">
        <v>6753.3626471129792</v>
      </c>
      <c r="G60" s="24">
        <v>6748.4152047649795</v>
      </c>
      <c r="H60" s="24">
        <v>6765.6217479649895</v>
      </c>
      <c r="I60" s="24">
        <v>6734.9780765249698</v>
      </c>
      <c r="J60" s="24">
        <v>6774.6271885349788</v>
      </c>
      <c r="K60" s="25">
        <v>6744.1751895199905</v>
      </c>
      <c r="L60" s="3"/>
      <c r="M60" s="23">
        <v>57</v>
      </c>
      <c r="N60" s="24">
        <v>1061.5239101299969</v>
      </c>
      <c r="O60" s="24">
        <v>900.96580761699693</v>
      </c>
      <c r="P60" s="24">
        <v>902.03783061899696</v>
      </c>
      <c r="Q60" s="24">
        <v>978.34490803799804</v>
      </c>
      <c r="R60" s="24">
        <v>1005.2281657819969</v>
      </c>
      <c r="S60" s="24">
        <v>1013.9554977009971</v>
      </c>
      <c r="T60" s="24">
        <v>976.72105253199697</v>
      </c>
      <c r="U60" s="24">
        <v>1003.987739107997</v>
      </c>
      <c r="V60" s="24">
        <v>1032.7561714009969</v>
      </c>
      <c r="W60" s="25">
        <v>1002.586119789997</v>
      </c>
      <c r="Y60" s="6">
        <f t="array" ref="Y60">AVERAGE(B60:K60/TotalWasteDisposed!B60:K60-'CO2'!N60:W60/TotalWasteDisposed!N60:W60)</f>
        <v>3.6370983766103984</v>
      </c>
      <c r="Z60" s="5">
        <f t="array" ref="Z60">_xlfn.STDEV.S(B60:K60/TotalWasteDisposed!B60:K60-'CO2'!N60:W60/TotalWasteDisposed!N60:W60)</f>
        <v>2.6171272975417072E-2</v>
      </c>
      <c r="AA60" s="5">
        <f t="shared" si="0"/>
        <v>1.8720500168616209E-2</v>
      </c>
      <c r="AB60" s="5">
        <f t="shared" si="1"/>
        <v>3.618377876441782</v>
      </c>
      <c r="AC60" s="5">
        <f t="shared" si="2"/>
        <v>3.6558188767790147</v>
      </c>
    </row>
    <row r="61" spans="1:29" x14ac:dyDescent="0.3">
      <c r="A61" s="23">
        <v>58</v>
      </c>
      <c r="B61" s="24">
        <v>6747.9120810879813</v>
      </c>
      <c r="C61" s="24">
        <v>6736.4714409859807</v>
      </c>
      <c r="D61" s="24">
        <v>6753.5839242019802</v>
      </c>
      <c r="E61" s="24">
        <v>6738.8309374929904</v>
      </c>
      <c r="F61" s="24">
        <v>6769.2936495729791</v>
      </c>
      <c r="G61" s="24">
        <v>6749.8869212309801</v>
      </c>
      <c r="H61" s="24">
        <v>6732.0096320239809</v>
      </c>
      <c r="I61" s="24">
        <v>6770.7055030569791</v>
      </c>
      <c r="J61" s="24">
        <v>6721.9685636649701</v>
      </c>
      <c r="K61" s="25">
        <v>6760.1233079419799</v>
      </c>
      <c r="L61" s="3"/>
      <c r="M61" s="23">
        <v>58</v>
      </c>
      <c r="N61" s="24">
        <v>941.51095275499802</v>
      </c>
      <c r="O61" s="24">
        <v>964.6197094189979</v>
      </c>
      <c r="P61" s="24">
        <v>1018.8772186349979</v>
      </c>
      <c r="Q61" s="24">
        <v>1002.513471424998</v>
      </c>
      <c r="R61" s="24">
        <v>994.69540743799701</v>
      </c>
      <c r="S61" s="24">
        <v>979.41615212199702</v>
      </c>
      <c r="T61" s="24">
        <v>946.53713920399696</v>
      </c>
      <c r="U61" s="24">
        <v>906.52520412699698</v>
      </c>
      <c r="V61" s="24">
        <v>973.72409171199706</v>
      </c>
      <c r="W61" s="25">
        <v>900.97125228599702</v>
      </c>
      <c r="Y61" s="6">
        <f t="array" ref="Y61">AVERAGE(B61:K61/TotalWasteDisposed!B61:K61-'CO2'!N61:W61/TotalWasteDisposed!N61:W61)</f>
        <v>3.6453198537502502</v>
      </c>
      <c r="Z61" s="5">
        <f t="array" ref="Z61">_xlfn.STDEV.S(B61:K61/TotalWasteDisposed!B61:K61-'CO2'!N61:W61/TotalWasteDisposed!N61:W61)</f>
        <v>2.7873778144397447E-2</v>
      </c>
      <c r="AA61" s="5">
        <f t="shared" si="0"/>
        <v>1.9938314385483095E-2</v>
      </c>
      <c r="AB61" s="5">
        <f t="shared" si="1"/>
        <v>3.625381539364767</v>
      </c>
      <c r="AC61" s="5">
        <f t="shared" si="2"/>
        <v>3.6652581681357335</v>
      </c>
    </row>
    <row r="62" spans="1:29" x14ac:dyDescent="0.3">
      <c r="A62" s="23">
        <v>59</v>
      </c>
      <c r="B62" s="24">
        <v>6760.6983513899695</v>
      </c>
      <c r="C62" s="24">
        <v>6767.0440390129797</v>
      </c>
      <c r="D62" s="24">
        <v>6761.8975760399808</v>
      </c>
      <c r="E62" s="24">
        <v>6772.1736503389893</v>
      </c>
      <c r="F62" s="24">
        <v>6735.8822321009893</v>
      </c>
      <c r="G62" s="24">
        <v>6720.7087485069696</v>
      </c>
      <c r="H62" s="24">
        <v>6717.8902602129701</v>
      </c>
      <c r="I62" s="24">
        <v>6745.0844549029898</v>
      </c>
      <c r="J62" s="24">
        <v>6723.3460572479808</v>
      </c>
      <c r="K62" s="25">
        <v>6764.8438005549906</v>
      </c>
      <c r="L62" s="3"/>
      <c r="M62" s="23">
        <v>59</v>
      </c>
      <c r="N62" s="24">
        <v>991.775256037997</v>
      </c>
      <c r="O62" s="24">
        <v>1028.0671207419969</v>
      </c>
      <c r="P62" s="24">
        <v>976.33863507799697</v>
      </c>
      <c r="Q62" s="24">
        <v>1002.513844465997</v>
      </c>
      <c r="R62" s="24">
        <v>1018.389547601997</v>
      </c>
      <c r="S62" s="24">
        <v>1055.243821325997</v>
      </c>
      <c r="T62" s="24">
        <v>939.62630128599699</v>
      </c>
      <c r="U62" s="24">
        <v>992.532343054997</v>
      </c>
      <c r="V62" s="24">
        <v>929.14400400299701</v>
      </c>
      <c r="W62" s="25">
        <v>1000.3640569309971</v>
      </c>
      <c r="Y62" s="6">
        <f t="array" ref="Y62">AVERAGE(B62:K62/TotalWasteDisposed!B62:K62-'CO2'!N62:W62/TotalWasteDisposed!N62:W62)</f>
        <v>3.6447208958838475</v>
      </c>
      <c r="Z62" s="5">
        <f t="array" ref="Z62">_xlfn.STDEV.S(B62:K62/TotalWasteDisposed!B62:K62-'CO2'!N62:W62/TotalWasteDisposed!N62:W62)</f>
        <v>1.9112494513603754E-2</v>
      </c>
      <c r="AA62" s="5">
        <f t="shared" si="0"/>
        <v>1.367130506417002E-2</v>
      </c>
      <c r="AB62" s="5">
        <f t="shared" si="1"/>
        <v>3.6310495908196776</v>
      </c>
      <c r="AC62" s="5">
        <f t="shared" si="2"/>
        <v>3.6583922009480174</v>
      </c>
    </row>
    <row r="63" spans="1:29" x14ac:dyDescent="0.3">
      <c r="A63" s="23">
        <v>60</v>
      </c>
      <c r="B63" s="24">
        <v>6779.04212980599</v>
      </c>
      <c r="C63" s="24">
        <v>6742.9702804479803</v>
      </c>
      <c r="D63" s="24">
        <v>6744.1021313819701</v>
      </c>
      <c r="E63" s="24">
        <v>6752.03087150797</v>
      </c>
      <c r="F63" s="24">
        <v>6787.3821560679808</v>
      </c>
      <c r="G63" s="24">
        <v>6751.4786443479898</v>
      </c>
      <c r="H63" s="24">
        <v>6791.9744158139893</v>
      </c>
      <c r="I63" s="24">
        <v>6766.2160694959803</v>
      </c>
      <c r="J63" s="24">
        <v>6765.0170384099802</v>
      </c>
      <c r="K63" s="25">
        <v>6737.5236390479795</v>
      </c>
      <c r="L63" s="3"/>
      <c r="M63" s="23">
        <v>60</v>
      </c>
      <c r="N63" s="24">
        <v>1019.3805549749969</v>
      </c>
      <c r="O63" s="24">
        <v>1021.2722486329969</v>
      </c>
      <c r="P63" s="24">
        <v>1050.5045378189971</v>
      </c>
      <c r="Q63" s="24">
        <v>1005.899570822997</v>
      </c>
      <c r="R63" s="24">
        <v>934.26123668599712</v>
      </c>
      <c r="S63" s="24">
        <v>1005.455475118997</v>
      </c>
      <c r="T63" s="24">
        <v>1023.3945072429971</v>
      </c>
      <c r="U63" s="24">
        <v>952.64735565999786</v>
      </c>
      <c r="V63" s="24">
        <v>955.91595857399795</v>
      </c>
      <c r="W63" s="25">
        <v>1004.299466506997</v>
      </c>
      <c r="Y63" s="6">
        <f t="array" ref="Y63">AVERAGE(B63:K63/TotalWasteDisposed!B63:K63-'CO2'!N63:W63/TotalWasteDisposed!N63:W63)</f>
        <v>3.6526526106180932</v>
      </c>
      <c r="Z63" s="5">
        <f t="array" ref="Z63">_xlfn.STDEV.S(B63:K63/TotalWasteDisposed!B63:K63-'CO2'!N63:W63/TotalWasteDisposed!N63:W63)</f>
        <v>1.8564055514282075E-2</v>
      </c>
      <c r="AA63" s="5">
        <f t="shared" si="0"/>
        <v>1.3279002695503386E-2</v>
      </c>
      <c r="AB63" s="5">
        <f t="shared" si="1"/>
        <v>3.63937360792259</v>
      </c>
      <c r="AC63" s="5">
        <f t="shared" si="2"/>
        <v>3.6659316133135964</v>
      </c>
    </row>
    <row r="64" spans="1:29" x14ac:dyDescent="0.3">
      <c r="A64" s="23">
        <v>61</v>
      </c>
      <c r="B64" s="24">
        <v>6714.4318641119708</v>
      </c>
      <c r="C64" s="24">
        <v>6779.0178641849798</v>
      </c>
      <c r="D64" s="24">
        <v>6733.7870608389694</v>
      </c>
      <c r="E64" s="24">
        <v>6717.1375518839795</v>
      </c>
      <c r="F64" s="24">
        <v>6726.6103589019795</v>
      </c>
      <c r="G64" s="24">
        <v>6752.2074123929797</v>
      </c>
      <c r="H64" s="24">
        <v>6765.0770598809695</v>
      </c>
      <c r="I64" s="24">
        <v>6696.8982441429798</v>
      </c>
      <c r="J64" s="24">
        <v>6723.7143655199798</v>
      </c>
      <c r="K64" s="25">
        <v>6738.0888985669808</v>
      </c>
      <c r="L64" s="3"/>
      <c r="M64" s="23">
        <v>61</v>
      </c>
      <c r="N64" s="24">
        <v>1018.204635709998</v>
      </c>
      <c r="O64" s="24">
        <v>900.97125228599702</v>
      </c>
      <c r="P64" s="24">
        <v>1002.708000345997</v>
      </c>
      <c r="Q64" s="24">
        <v>1020.345200486997</v>
      </c>
      <c r="R64" s="24">
        <v>1052.0128598499971</v>
      </c>
      <c r="S64" s="24">
        <v>975.98202393499696</v>
      </c>
      <c r="T64" s="24">
        <v>977.30103162799799</v>
      </c>
      <c r="U64" s="24">
        <v>928.82873318099701</v>
      </c>
      <c r="V64" s="24">
        <v>1001.604729445997</v>
      </c>
      <c r="W64" s="25">
        <v>921.45017824699698</v>
      </c>
      <c r="Y64" s="6">
        <f t="array" ref="Y64">AVERAGE(B64:K64/TotalWasteDisposed!B64:K64-'CO2'!N64:W64/TotalWasteDisposed!N64:W64)</f>
        <v>3.631747484491874</v>
      </c>
      <c r="Z64" s="5">
        <f t="array" ref="Z64">_xlfn.STDEV.S(B64:K64/TotalWasteDisposed!B64:K64-'CO2'!N64:W64/TotalWasteDisposed!N64:W64)</f>
        <v>3.2052174402001102E-2</v>
      </c>
      <c r="AA64" s="5">
        <f t="shared" si="0"/>
        <v>2.2927151341121013E-2</v>
      </c>
      <c r="AB64" s="5">
        <f t="shared" si="1"/>
        <v>3.6088203331507529</v>
      </c>
      <c r="AC64" s="5">
        <f t="shared" si="2"/>
        <v>3.6546746358329951</v>
      </c>
    </row>
    <row r="65" spans="1:29" x14ac:dyDescent="0.3">
      <c r="A65" s="23">
        <v>62</v>
      </c>
      <c r="B65" s="24">
        <v>6757.6305211389799</v>
      </c>
      <c r="C65" s="24">
        <v>6745.5492487789797</v>
      </c>
      <c r="D65" s="24">
        <v>6752.2659262999905</v>
      </c>
      <c r="E65" s="24">
        <v>6759.0119584589811</v>
      </c>
      <c r="F65" s="24">
        <v>6748.8103568169799</v>
      </c>
      <c r="G65" s="24">
        <v>6744.7665568809798</v>
      </c>
      <c r="H65" s="24">
        <v>6759.0777746689691</v>
      </c>
      <c r="I65" s="24">
        <v>6723.9217756049793</v>
      </c>
      <c r="J65" s="24">
        <v>6733.4672682599794</v>
      </c>
      <c r="K65" s="25">
        <v>6733.9961028559901</v>
      </c>
      <c r="L65" s="3"/>
      <c r="M65" s="23">
        <v>62</v>
      </c>
      <c r="N65" s="24">
        <v>996.24848879799799</v>
      </c>
      <c r="O65" s="24">
        <v>906.40375579099714</v>
      </c>
      <c r="P65" s="24">
        <v>996.628013348997</v>
      </c>
      <c r="Q65" s="24">
        <v>981.28863893999801</v>
      </c>
      <c r="R65" s="24">
        <v>992.46456275299704</v>
      </c>
      <c r="S65" s="24">
        <v>1001.604729445997</v>
      </c>
      <c r="T65" s="24">
        <v>928.82873318099701</v>
      </c>
      <c r="U65" s="24">
        <v>932.90561624599707</v>
      </c>
      <c r="V65" s="24">
        <v>1032.7717523449969</v>
      </c>
      <c r="W65" s="25">
        <v>901.28652310799703</v>
      </c>
      <c r="Y65" s="6">
        <f t="array" ref="Y65">AVERAGE(B65:K65/TotalWasteDisposed!B65:K65-'CO2'!N65:W65/TotalWasteDisposed!N65:W65)</f>
        <v>3.6490794941742353</v>
      </c>
      <c r="Z65" s="5">
        <f t="array" ref="Z65">_xlfn.STDEV.S(B65:K65/TotalWasteDisposed!B65:K65-'CO2'!N65:W65/TotalWasteDisposed!N65:W65)</f>
        <v>2.9257036025683199E-2</v>
      </c>
      <c r="AA65" s="5">
        <f t="shared" si="0"/>
        <v>2.0927768716732988E-2</v>
      </c>
      <c r="AB65" s="5">
        <f t="shared" si="1"/>
        <v>3.6281517254575024</v>
      </c>
      <c r="AC65" s="5">
        <f t="shared" si="2"/>
        <v>3.6700072628909681</v>
      </c>
    </row>
    <row r="66" spans="1:29" x14ac:dyDescent="0.3">
      <c r="A66" s="23">
        <v>63</v>
      </c>
      <c r="B66" s="24">
        <v>6765.3195959649702</v>
      </c>
      <c r="C66" s="24">
        <v>6772.9262612579905</v>
      </c>
      <c r="D66" s="24">
        <v>6765.6456095099902</v>
      </c>
      <c r="E66" s="24">
        <v>6727.7819458309796</v>
      </c>
      <c r="F66" s="24">
        <v>6759.2489801349702</v>
      </c>
      <c r="G66" s="24">
        <v>6744.0244758729805</v>
      </c>
      <c r="H66" s="24">
        <v>6781.4760769989889</v>
      </c>
      <c r="I66" s="24">
        <v>6760.1932407919812</v>
      </c>
      <c r="J66" s="24">
        <v>6716.0709057339809</v>
      </c>
      <c r="K66" s="25">
        <v>6738.7571240729803</v>
      </c>
      <c r="L66" s="3"/>
      <c r="M66" s="23">
        <v>63</v>
      </c>
      <c r="N66" s="24">
        <v>928.86552273499694</v>
      </c>
      <c r="O66" s="24">
        <v>900.97125228599702</v>
      </c>
      <c r="P66" s="24">
        <v>980.23147423999694</v>
      </c>
      <c r="Q66" s="24">
        <v>1019.1860260539979</v>
      </c>
      <c r="R66" s="24">
        <v>1019.313098583997</v>
      </c>
      <c r="S66" s="24">
        <v>1022.369611089997</v>
      </c>
      <c r="T66" s="24">
        <v>981.47407333299702</v>
      </c>
      <c r="U66" s="24">
        <v>1052.641473078997</v>
      </c>
      <c r="V66" s="24">
        <v>944.69908371499696</v>
      </c>
      <c r="W66" s="25">
        <v>1017.5714333729979</v>
      </c>
      <c r="Y66" s="6">
        <f t="array" ref="Y66">AVERAGE(B66:K66/TotalWasteDisposed!B66:K66-'CO2'!N66:W66/TotalWasteDisposed!N66:W66)</f>
        <v>3.6461187765089358</v>
      </c>
      <c r="Z66" s="5">
        <f t="array" ref="Z66">_xlfn.STDEV.S(B66:K66/TotalWasteDisposed!B66:K66-'CO2'!N66:W66/TotalWasteDisposed!N66:W66)</f>
        <v>3.056085138152103E-2</v>
      </c>
      <c r="AA66" s="5">
        <f t="shared" si="0"/>
        <v>2.1860397237009138E-2</v>
      </c>
      <c r="AB66" s="5">
        <f t="shared" si="1"/>
        <v>3.6242583792719265</v>
      </c>
      <c r="AC66" s="5">
        <f t="shared" si="2"/>
        <v>3.6679791737459451</v>
      </c>
    </row>
    <row r="67" spans="1:29" x14ac:dyDescent="0.3">
      <c r="A67" s="23">
        <v>64</v>
      </c>
      <c r="B67" s="24">
        <v>5384.7306968029798</v>
      </c>
      <c r="C67" s="24">
        <v>5384.2826339559797</v>
      </c>
      <c r="D67" s="24">
        <v>5384.9434287889799</v>
      </c>
      <c r="E67" s="24">
        <v>5384.6674690299797</v>
      </c>
      <c r="F67" s="24">
        <v>5395.1454422789802</v>
      </c>
      <c r="G67" s="24">
        <v>5387.9672923569797</v>
      </c>
      <c r="H67" s="24">
        <v>5385.2482199229898</v>
      </c>
      <c r="I67" s="24">
        <v>5390.2514552819803</v>
      </c>
      <c r="J67" s="24">
        <v>5383.8147781819807</v>
      </c>
      <c r="K67" s="25">
        <v>5384.1391505349802</v>
      </c>
      <c r="L67" s="3"/>
      <c r="M67" s="23">
        <v>64</v>
      </c>
      <c r="N67" s="24">
        <v>2103.8062755919973</v>
      </c>
      <c r="O67" s="24">
        <v>2038.1044074819952</v>
      </c>
      <c r="P67" s="24">
        <v>2001.3192035979951</v>
      </c>
      <c r="Q67" s="24">
        <v>2009.6725532629957</v>
      </c>
      <c r="R67" s="24">
        <v>1996.0356073829942</v>
      </c>
      <c r="S67" s="24">
        <v>1935.2739380169958</v>
      </c>
      <c r="T67" s="24">
        <v>2018.3868169729972</v>
      </c>
      <c r="U67" s="24">
        <v>2026.8469006909959</v>
      </c>
      <c r="V67" s="24">
        <v>2123.3493782199971</v>
      </c>
      <c r="W67" s="25">
        <v>2047.9140528839953</v>
      </c>
      <c r="Y67" s="6">
        <f t="array" ref="Y67">AVERAGE(B67:K67/TotalWasteDisposed!B67:K67-'CO2'!N67:W67/TotalWasteDisposed!N67:W67)</f>
        <v>2.4863421783763413</v>
      </c>
      <c r="Z67" s="5">
        <f t="array" ref="Z67">_xlfn.STDEV.S(B67:K67/TotalWasteDisposed!B67:K67-'CO2'!N67:W67/TotalWasteDisposed!N67:W67)</f>
        <v>2.2783580514797352E-2</v>
      </c>
      <c r="AA67" s="5">
        <f t="shared" si="0"/>
        <v>1.629725933734974E-2</v>
      </c>
      <c r="AB67" s="5">
        <f t="shared" si="1"/>
        <v>2.4700449190389917</v>
      </c>
      <c r="AC67" s="5">
        <f t="shared" si="2"/>
        <v>2.5026394377136909</v>
      </c>
    </row>
    <row r="68" spans="1:29" x14ac:dyDescent="0.3">
      <c r="A68" s="23">
        <v>65</v>
      </c>
      <c r="B68" s="24">
        <v>5389.6301205219797</v>
      </c>
      <c r="C68" s="24">
        <v>5383.4519222139807</v>
      </c>
      <c r="D68" s="24">
        <v>5386.1427436249796</v>
      </c>
      <c r="E68" s="24">
        <v>5385.5111318009795</v>
      </c>
      <c r="F68" s="24">
        <v>5387.1239964829801</v>
      </c>
      <c r="G68" s="24">
        <v>5385.9162621719797</v>
      </c>
      <c r="H68" s="24">
        <v>5380.4438229859807</v>
      </c>
      <c r="I68" s="24">
        <v>5386.58905598198</v>
      </c>
      <c r="J68" s="24">
        <v>5385.8407230819794</v>
      </c>
      <c r="K68" s="25">
        <v>5375.7700067619799</v>
      </c>
      <c r="L68" s="3"/>
      <c r="M68" s="23">
        <v>65</v>
      </c>
      <c r="N68" s="24">
        <v>2030.7445338809939</v>
      </c>
      <c r="O68" s="24">
        <v>2060.0152146949949</v>
      </c>
      <c r="P68" s="24">
        <v>2015.4432881219961</v>
      </c>
      <c r="Q68" s="24">
        <v>2002.5467942319951</v>
      </c>
      <c r="R68" s="24">
        <v>2002.9469391499952</v>
      </c>
      <c r="S68" s="24">
        <v>2023.5705077459961</v>
      </c>
      <c r="T68" s="24">
        <v>2023.737406133996</v>
      </c>
      <c r="U68" s="24">
        <v>2029.402715429994</v>
      </c>
      <c r="V68" s="24">
        <v>2118.6751215529962</v>
      </c>
      <c r="W68" s="25">
        <v>2055.1180859289962</v>
      </c>
      <c r="Y68" s="6">
        <f t="array" ref="Y68">AVERAGE(B68:K68/TotalWasteDisposed!B68:K68-'CO2'!N68:W68/TotalWasteDisposed!N68:W68)</f>
        <v>2.4709768167254178</v>
      </c>
      <c r="Z68" s="5">
        <f t="array" ref="Z68">_xlfn.STDEV.S(B68:K68/TotalWasteDisposed!B68:K68-'CO2'!N68:W68/TotalWasteDisposed!N68:W68)</f>
        <v>1.8859995033178322E-2</v>
      </c>
      <c r="AA68" s="5">
        <f t="shared" si="0"/>
        <v>1.3490690366126108E-2</v>
      </c>
      <c r="AB68" s="5">
        <f t="shared" si="1"/>
        <v>2.4574861263592918</v>
      </c>
      <c r="AC68" s="5">
        <f t="shared" si="2"/>
        <v>2.4844675070915438</v>
      </c>
    </row>
    <row r="69" spans="1:29" x14ac:dyDescent="0.3">
      <c r="A69" s="23">
        <v>66</v>
      </c>
      <c r="B69" s="24">
        <v>5379.3778355349796</v>
      </c>
      <c r="C69" s="24">
        <v>5396.75479265798</v>
      </c>
      <c r="D69" s="24">
        <v>5381.1472057999799</v>
      </c>
      <c r="E69" s="24">
        <v>5387.3594916889797</v>
      </c>
      <c r="F69" s="24">
        <v>5384.7020919249799</v>
      </c>
      <c r="G69" s="24">
        <v>5386.6321966959804</v>
      </c>
      <c r="H69" s="24">
        <v>5401.0374053499891</v>
      </c>
      <c r="I69" s="24">
        <v>5383.2905819999796</v>
      </c>
      <c r="J69" s="24">
        <v>5397.8740339649803</v>
      </c>
      <c r="K69" s="25">
        <v>5382.58576201098</v>
      </c>
      <c r="L69" s="3"/>
      <c r="M69" s="23">
        <v>66</v>
      </c>
      <c r="N69" s="24">
        <v>1996.8706390599962</v>
      </c>
      <c r="O69" s="24">
        <v>1981.088467231996</v>
      </c>
      <c r="P69" s="24">
        <v>2012.6397078069958</v>
      </c>
      <c r="Q69" s="24">
        <v>2023.6129291799959</v>
      </c>
      <c r="R69" s="24">
        <v>2016.8488369869951</v>
      </c>
      <c r="S69" s="24">
        <v>2047.4722103329959</v>
      </c>
      <c r="T69" s="24">
        <v>2025.2044522129961</v>
      </c>
      <c r="U69" s="24">
        <v>2031.441649268995</v>
      </c>
      <c r="V69" s="24">
        <v>2098.5844696609956</v>
      </c>
      <c r="W69" s="25">
        <v>2035.2750724399959</v>
      </c>
      <c r="Y69" s="6">
        <f t="array" ref="Y69">AVERAGE(B69:K69/TotalWasteDisposed!B69:K69-'CO2'!N69:W69/TotalWasteDisposed!N69:W69)</f>
        <v>2.4709933678200691</v>
      </c>
      <c r="Z69" s="5">
        <f t="array" ref="Z69">_xlfn.STDEV.S(B69:K69/TotalWasteDisposed!B69:K69-'CO2'!N69:W69/TotalWasteDisposed!N69:W69)</f>
        <v>2.6150356961270698E-2</v>
      </c>
      <c r="AA69" s="5">
        <f t="shared" ref="AA69:AA84" si="3">2.262*Z69/SQRT(10)</f>
        <v>1.8705538792961239E-2</v>
      </c>
      <c r="AB69" s="5">
        <f t="shared" ref="AB69:AB84" si="4">Y69-AA69</f>
        <v>2.452287829027108</v>
      </c>
      <c r="AC69" s="5">
        <f t="shared" ref="AC69:AC84" si="5">Y69+AA69</f>
        <v>2.4896989066130302</v>
      </c>
    </row>
    <row r="70" spans="1:29" x14ac:dyDescent="0.3">
      <c r="A70" s="23">
        <v>67</v>
      </c>
      <c r="B70" s="24">
        <v>5396.3837809429906</v>
      </c>
      <c r="C70" s="24">
        <v>5387.27851408898</v>
      </c>
      <c r="D70" s="24">
        <v>5389.7277649949801</v>
      </c>
      <c r="E70" s="24">
        <v>5373.4815191939797</v>
      </c>
      <c r="F70" s="24">
        <v>5385.7186249669803</v>
      </c>
      <c r="G70" s="24">
        <v>5377.5066206449792</v>
      </c>
      <c r="H70" s="24">
        <v>5384.9461479639795</v>
      </c>
      <c r="I70" s="24">
        <v>5376.87184965898</v>
      </c>
      <c r="J70" s="24">
        <v>5381.6389513919803</v>
      </c>
      <c r="K70" s="25">
        <v>5398.2293045569804</v>
      </c>
      <c r="L70" s="3"/>
      <c r="M70" s="23">
        <v>67</v>
      </c>
      <c r="N70" s="24">
        <v>1998.1685587939951</v>
      </c>
      <c r="O70" s="24">
        <v>2060.7215182709933</v>
      </c>
      <c r="P70" s="24">
        <v>2024.0209879259958</v>
      </c>
      <c r="Q70" s="24">
        <v>2018.718491953995</v>
      </c>
      <c r="R70" s="24">
        <v>2022.4893272589952</v>
      </c>
      <c r="S70" s="24">
        <v>1946.4278044119951</v>
      </c>
      <c r="T70" s="24">
        <v>2014.4043890079961</v>
      </c>
      <c r="U70" s="24">
        <v>2022.4783601129961</v>
      </c>
      <c r="V70" s="24">
        <v>2045.9038466429949</v>
      </c>
      <c r="W70" s="25">
        <v>2013.5725755759952</v>
      </c>
      <c r="Y70" s="6">
        <f t="array" ref="Y70">AVERAGE(B70:K70/TotalWasteDisposed!B70:K70-'CO2'!N70:W70/TotalWasteDisposed!N70:W70)</f>
        <v>2.4681206014653254</v>
      </c>
      <c r="Z70" s="5">
        <f t="array" ref="Z70">_xlfn.STDEV.S(B70:K70/TotalWasteDisposed!B70:K70-'CO2'!N70:W70/TotalWasteDisposed!N70:W70)</f>
        <v>1.8891554851501825E-2</v>
      </c>
      <c r="AA70" s="5">
        <f t="shared" si="3"/>
        <v>1.3513265331616002E-2</v>
      </c>
      <c r="AB70" s="5">
        <f t="shared" si="4"/>
        <v>2.4546073361337095</v>
      </c>
      <c r="AC70" s="5">
        <f t="shared" si="5"/>
        <v>2.4816338667969413</v>
      </c>
    </row>
    <row r="71" spans="1:29" x14ac:dyDescent="0.3">
      <c r="A71" s="23">
        <v>68</v>
      </c>
      <c r="B71" s="24">
        <v>5388.8904515439799</v>
      </c>
      <c r="C71" s="24">
        <v>5381.4115134289805</v>
      </c>
      <c r="D71" s="24">
        <v>5385.1988715499901</v>
      </c>
      <c r="E71" s="24">
        <v>5384.5797758899798</v>
      </c>
      <c r="F71" s="24">
        <v>5388.9241741189799</v>
      </c>
      <c r="G71" s="24">
        <v>5384.6565709849801</v>
      </c>
      <c r="H71" s="24">
        <v>5400.5619659119802</v>
      </c>
      <c r="I71" s="24">
        <v>5405.3879548839805</v>
      </c>
      <c r="J71" s="24">
        <v>5385.4273708189803</v>
      </c>
      <c r="K71" s="25">
        <v>5382.0038066629795</v>
      </c>
      <c r="L71" s="3"/>
      <c r="M71" s="23">
        <v>68</v>
      </c>
      <c r="N71" s="24">
        <v>2013.9477184029961</v>
      </c>
      <c r="O71" s="24">
        <v>2035.1833654879949</v>
      </c>
      <c r="P71" s="24">
        <v>2133.8766443849972</v>
      </c>
      <c r="Q71" s="24">
        <v>2001.3773451869938</v>
      </c>
      <c r="R71" s="24">
        <v>2044.8099799829938</v>
      </c>
      <c r="S71" s="24">
        <v>2016.2460024499949</v>
      </c>
      <c r="T71" s="24">
        <v>2026.6321374449979</v>
      </c>
      <c r="U71" s="24">
        <v>1991.3139694269939</v>
      </c>
      <c r="V71" s="24">
        <v>2018.144178858995</v>
      </c>
      <c r="W71" s="25">
        <v>2023.6841566499952</v>
      </c>
      <c r="Y71" s="6">
        <f t="array" ref="Y71">AVERAGE(B71:K71/TotalWasteDisposed!B71:K71-'CO2'!N71:W71/TotalWasteDisposed!N71:W71)</f>
        <v>2.4743921474890072</v>
      </c>
      <c r="Z71" s="5">
        <f t="array" ref="Z71">_xlfn.STDEV.S(B71:K71/TotalWasteDisposed!B71:K71-'CO2'!N71:W71/TotalWasteDisposed!N71:W71)</f>
        <v>2.4782032801809802E-2</v>
      </c>
      <c r="AA71" s="5">
        <f t="shared" si="3"/>
        <v>1.7726766660555969E-2</v>
      </c>
      <c r="AB71" s="5">
        <f t="shared" si="4"/>
        <v>2.4566653808284511</v>
      </c>
      <c r="AC71" s="5">
        <f t="shared" si="5"/>
        <v>2.4921189141495632</v>
      </c>
    </row>
    <row r="72" spans="1:29" x14ac:dyDescent="0.3">
      <c r="A72" s="23">
        <v>69</v>
      </c>
      <c r="B72" s="24">
        <v>5397.3940290369792</v>
      </c>
      <c r="C72" s="24">
        <v>5384.8524968959809</v>
      </c>
      <c r="D72" s="24">
        <v>5382.3597195889897</v>
      </c>
      <c r="E72" s="24">
        <v>5389.3325824139802</v>
      </c>
      <c r="F72" s="24">
        <v>5389.5324072719795</v>
      </c>
      <c r="G72" s="24">
        <v>5384.4226165479804</v>
      </c>
      <c r="H72" s="24">
        <v>5386.27456260498</v>
      </c>
      <c r="I72" s="24">
        <v>5379.4604596839799</v>
      </c>
      <c r="J72" s="24">
        <v>5389.6680273019801</v>
      </c>
      <c r="K72" s="25">
        <v>5383.8202844549896</v>
      </c>
      <c r="L72" s="3"/>
      <c r="M72" s="23">
        <v>69</v>
      </c>
      <c r="N72" s="24">
        <v>1986.0342660689953</v>
      </c>
      <c r="O72" s="24">
        <v>2036.4237702239959</v>
      </c>
      <c r="P72" s="24">
        <v>1982.2959250679939</v>
      </c>
      <c r="Q72" s="24">
        <v>1984.3673966139941</v>
      </c>
      <c r="R72" s="24">
        <v>1997.383139656994</v>
      </c>
      <c r="S72" s="24">
        <v>2026.492730786995</v>
      </c>
      <c r="T72" s="24">
        <v>2038.2574212259949</v>
      </c>
      <c r="U72" s="24">
        <v>2056.437319568995</v>
      </c>
      <c r="V72" s="24">
        <v>2020.5898311489968</v>
      </c>
      <c r="W72" s="25">
        <v>2002.7824457409961</v>
      </c>
      <c r="Y72" s="6">
        <f t="array" ref="Y72">AVERAGE(B72:K72/TotalWasteDisposed!B72:K72-'CO2'!N72:W72/TotalWasteDisposed!N72:W72)</f>
        <v>2.4761934099345155</v>
      </c>
      <c r="Z72" s="5">
        <f t="array" ref="Z72">_xlfn.STDEV.S(B72:K72/TotalWasteDisposed!B72:K72-'CO2'!N72:W72/TotalWasteDisposed!N72:W72)</f>
        <v>2.9735244790141547E-2</v>
      </c>
      <c r="AA72" s="5">
        <f t="shared" si="3"/>
        <v>2.1269834892271536E-2</v>
      </c>
      <c r="AB72" s="5">
        <f t="shared" si="4"/>
        <v>2.454923575042244</v>
      </c>
      <c r="AC72" s="5">
        <f t="shared" si="5"/>
        <v>2.4974632448267871</v>
      </c>
    </row>
    <row r="73" spans="1:29" x14ac:dyDescent="0.3">
      <c r="A73" s="23">
        <v>70</v>
      </c>
      <c r="B73" s="24">
        <v>5378.6472172329804</v>
      </c>
      <c r="C73" s="24">
        <v>5395.2954267369805</v>
      </c>
      <c r="D73" s="24">
        <v>5384.0008949029898</v>
      </c>
      <c r="E73" s="24">
        <v>5384.3281305009805</v>
      </c>
      <c r="F73" s="24">
        <v>5380.8041552989798</v>
      </c>
      <c r="G73" s="24">
        <v>5386.78715778899</v>
      </c>
      <c r="H73" s="24">
        <v>5387.32218581498</v>
      </c>
      <c r="I73" s="24">
        <v>5391.4485629979808</v>
      </c>
      <c r="J73" s="24">
        <v>5391.1963555089897</v>
      </c>
      <c r="K73" s="25">
        <v>5401.3140588949809</v>
      </c>
      <c r="L73" s="3"/>
      <c r="M73" s="23">
        <v>70</v>
      </c>
      <c r="N73" s="24">
        <v>2121.4775127489947</v>
      </c>
      <c r="O73" s="24">
        <v>2040.0080461439959</v>
      </c>
      <c r="P73" s="24">
        <v>1982.8928807839961</v>
      </c>
      <c r="Q73" s="24">
        <v>2032.4831346889939</v>
      </c>
      <c r="R73" s="24">
        <v>2018.2903644619951</v>
      </c>
      <c r="S73" s="24">
        <v>2095.2975596119959</v>
      </c>
      <c r="T73" s="24">
        <v>2126.9765360589981</v>
      </c>
      <c r="U73" s="24">
        <v>2011.1423035469952</v>
      </c>
      <c r="V73" s="24">
        <v>2031.1631850049948</v>
      </c>
      <c r="W73" s="25">
        <v>1994.8646495649939</v>
      </c>
      <c r="Y73" s="6">
        <f t="array" ref="Y73">AVERAGE(B73:K73/TotalWasteDisposed!B73:K73-'CO2'!N73:W73/TotalWasteDisposed!N73:W73)</f>
        <v>2.4884425221250979</v>
      </c>
      <c r="Z73" s="5">
        <f t="array" ref="Z73">_xlfn.STDEV.S(B73:K73/TotalWasteDisposed!B73:K73-'CO2'!N73:W73/TotalWasteDisposed!N73:W73)</f>
        <v>2.5869314576528517E-2</v>
      </c>
      <c r="AA73" s="5">
        <f t="shared" si="3"/>
        <v>1.8504507149758546E-2</v>
      </c>
      <c r="AB73" s="5">
        <f t="shared" si="4"/>
        <v>2.4699380149753392</v>
      </c>
      <c r="AC73" s="5">
        <f t="shared" si="5"/>
        <v>2.5069470292748566</v>
      </c>
    </row>
    <row r="74" spans="1:29" x14ac:dyDescent="0.3">
      <c r="A74" s="23">
        <v>71</v>
      </c>
      <c r="B74" s="24">
        <v>5390.6740420889892</v>
      </c>
      <c r="C74" s="24">
        <v>5384.6888979069799</v>
      </c>
      <c r="D74" s="24">
        <v>5381.4069268529802</v>
      </c>
      <c r="E74" s="24">
        <v>5380.2510009799898</v>
      </c>
      <c r="F74" s="24">
        <v>5365.9629347259797</v>
      </c>
      <c r="G74" s="24">
        <v>5386.87479867198</v>
      </c>
      <c r="H74" s="24">
        <v>5396.3784289359792</v>
      </c>
      <c r="I74" s="24">
        <v>5386.4726678229799</v>
      </c>
      <c r="J74" s="24">
        <v>5385.7634290339802</v>
      </c>
      <c r="K74" s="25">
        <v>5382.446215071981</v>
      </c>
      <c r="L74" s="3"/>
      <c r="M74" s="23">
        <v>71</v>
      </c>
      <c r="N74" s="24">
        <v>2019.2999872759942</v>
      </c>
      <c r="O74" s="24">
        <v>2085.4040260759948</v>
      </c>
      <c r="P74" s="24">
        <v>2133.704785147997</v>
      </c>
      <c r="Q74" s="24">
        <v>2020.8774971169951</v>
      </c>
      <c r="R74" s="24">
        <v>2002.4606636539961</v>
      </c>
      <c r="S74" s="24">
        <v>2015.4463049319947</v>
      </c>
      <c r="T74" s="24">
        <v>2023.5705077459961</v>
      </c>
      <c r="U74" s="24">
        <v>2005.6392085389939</v>
      </c>
      <c r="V74" s="24">
        <v>2064.0565203859951</v>
      </c>
      <c r="W74" s="25">
        <v>2046.464208417997</v>
      </c>
      <c r="Y74" s="6">
        <f t="array" ref="Y74">AVERAGE(B74:K74/TotalWasteDisposed!B74:K74-'CO2'!N74:W74/TotalWasteDisposed!N74:W74)</f>
        <v>2.4707671119053152</v>
      </c>
      <c r="Z74" s="5">
        <f t="array" ref="Z74">_xlfn.STDEV.S(B74:K74/TotalWasteDisposed!B74:K74-'CO2'!N74:W74/TotalWasteDisposed!N74:W74)</f>
        <v>2.9508429392961645E-2</v>
      </c>
      <c r="AA74" s="5">
        <f t="shared" si="3"/>
        <v>2.11075922040714E-2</v>
      </c>
      <c r="AB74" s="5">
        <f t="shared" si="4"/>
        <v>2.4496595197012438</v>
      </c>
      <c r="AC74" s="5">
        <f t="shared" si="5"/>
        <v>2.4918747041093865</v>
      </c>
    </row>
    <row r="75" spans="1:29" x14ac:dyDescent="0.3">
      <c r="A75" s="23">
        <v>72</v>
      </c>
      <c r="B75" s="24">
        <v>5386.2752700439805</v>
      </c>
      <c r="C75" s="24">
        <v>5378.9357805949803</v>
      </c>
      <c r="D75" s="24">
        <v>5384.7394408669797</v>
      </c>
      <c r="E75" s="24">
        <v>5399.6771411989803</v>
      </c>
      <c r="F75" s="24">
        <v>5396.0434069179801</v>
      </c>
      <c r="G75" s="24">
        <v>5380.73003908398</v>
      </c>
      <c r="H75" s="24">
        <v>5393.1915275759802</v>
      </c>
      <c r="I75" s="24">
        <v>5384.5296265329789</v>
      </c>
      <c r="J75" s="24">
        <v>5385.505875020981</v>
      </c>
      <c r="K75" s="25">
        <v>5385.4485364049806</v>
      </c>
      <c r="L75" s="3"/>
      <c r="M75" s="23">
        <v>72</v>
      </c>
      <c r="N75" s="24">
        <v>2009.2540995629961</v>
      </c>
      <c r="O75" s="24">
        <v>2105.0312351679941</v>
      </c>
      <c r="P75" s="24">
        <v>1999.5988385939938</v>
      </c>
      <c r="Q75" s="24">
        <v>2070.1477391529952</v>
      </c>
      <c r="R75" s="24">
        <v>2039.7964316349958</v>
      </c>
      <c r="S75" s="24">
        <v>2114.6965966689959</v>
      </c>
      <c r="T75" s="24">
        <v>2024.7974269859951</v>
      </c>
      <c r="U75" s="24">
        <v>1931.277646034996</v>
      </c>
      <c r="V75" s="24">
        <v>1997.6729980759928</v>
      </c>
      <c r="W75" s="25">
        <v>2035.778072439995</v>
      </c>
      <c r="Y75" s="6">
        <f t="array" ref="Y75">AVERAGE(B75:K75/TotalWasteDisposed!B75:K75-'CO2'!N75:W75/TotalWasteDisposed!N75:W75)</f>
        <v>2.4978366236123284</v>
      </c>
      <c r="Z75" s="5">
        <f t="array" ref="Z75">_xlfn.STDEV.S(B75:K75/TotalWasteDisposed!B75:K75-'CO2'!N75:W75/TotalWasteDisposed!N75:W75)</f>
        <v>3.0658820970917183E-2</v>
      </c>
      <c r="AA75" s="5">
        <f t="shared" si="3"/>
        <v>2.1930475590344597E-2</v>
      </c>
      <c r="AB75" s="5">
        <f t="shared" si="4"/>
        <v>2.4759061480219837</v>
      </c>
      <c r="AC75" s="5">
        <f t="shared" si="5"/>
        <v>2.5197670992026731</v>
      </c>
    </row>
    <row r="76" spans="1:29" x14ac:dyDescent="0.3">
      <c r="A76" s="23">
        <v>73</v>
      </c>
      <c r="B76" s="24">
        <v>5797.3446549109995</v>
      </c>
      <c r="C76" s="24">
        <v>5781.7860304749884</v>
      </c>
      <c r="D76" s="24">
        <v>5785.2815605020005</v>
      </c>
      <c r="E76" s="24">
        <v>5785.8142690169989</v>
      </c>
      <c r="F76" s="24">
        <v>5779.5662325569983</v>
      </c>
      <c r="G76" s="24">
        <v>5761.377352683</v>
      </c>
      <c r="H76" s="24">
        <v>5785.0248887039979</v>
      </c>
      <c r="I76" s="24">
        <v>5778.9842748889996</v>
      </c>
      <c r="J76" s="24">
        <v>5788.0629085309993</v>
      </c>
      <c r="K76" s="25">
        <v>5796.9230455059997</v>
      </c>
      <c r="L76" s="3"/>
      <c r="M76" s="23">
        <v>73</v>
      </c>
      <c r="N76" s="24">
        <v>2542.449826161991</v>
      </c>
      <c r="O76" s="24">
        <v>2563.1319016869902</v>
      </c>
      <c r="P76" s="24">
        <v>2515.4830124529904</v>
      </c>
      <c r="Q76" s="24">
        <v>2485.0628181959919</v>
      </c>
      <c r="R76" s="24">
        <v>2552.9049787139925</v>
      </c>
      <c r="S76" s="24">
        <v>2550.95887614099</v>
      </c>
      <c r="T76" s="24">
        <v>2508.4679921169904</v>
      </c>
      <c r="U76" s="24">
        <v>2521.4532846439911</v>
      </c>
      <c r="V76" s="24">
        <v>2556.57073678699</v>
      </c>
      <c r="W76" s="25">
        <v>2526.3621955599888</v>
      </c>
      <c r="Y76" s="6">
        <f t="array" ref="Y76">AVERAGE(B76:K76/TotalWasteDisposed!B76:K76-'CO2'!N76:W76/TotalWasteDisposed!N76:W76)</f>
        <v>3.0379087896293719</v>
      </c>
      <c r="Z76" s="5">
        <f t="array" ref="Z76">_xlfn.STDEV.S(B76:K76/TotalWasteDisposed!B76:K76-'CO2'!N76:W76/TotalWasteDisposed!N76:W76)</f>
        <v>1.4820011695816582E-2</v>
      </c>
      <c r="AA76" s="5">
        <f t="shared" si="3"/>
        <v>1.0600861169841786E-2</v>
      </c>
      <c r="AB76" s="5">
        <f t="shared" si="4"/>
        <v>3.0273079284595301</v>
      </c>
      <c r="AC76" s="5">
        <f t="shared" si="5"/>
        <v>3.0485096507992138</v>
      </c>
    </row>
    <row r="77" spans="1:29" x14ac:dyDescent="0.3">
      <c r="A77" s="23">
        <v>74</v>
      </c>
      <c r="B77" s="24">
        <v>5787.7775348259984</v>
      </c>
      <c r="C77" s="24">
        <v>5783.906403646999</v>
      </c>
      <c r="D77" s="24">
        <v>5763.8786224299993</v>
      </c>
      <c r="E77" s="24">
        <v>5777.8983536509986</v>
      </c>
      <c r="F77" s="24">
        <v>5781.4449115979996</v>
      </c>
      <c r="G77" s="24">
        <v>5758.7758325159984</v>
      </c>
      <c r="H77" s="24">
        <v>5790.7619089949994</v>
      </c>
      <c r="I77" s="24">
        <v>5764.5367105379983</v>
      </c>
      <c r="J77" s="24">
        <v>5781.9653789269996</v>
      </c>
      <c r="K77" s="25">
        <v>5772.9291240759994</v>
      </c>
      <c r="L77" s="3"/>
      <c r="M77" s="23">
        <v>74</v>
      </c>
      <c r="N77" s="24">
        <v>2536.4807897189939</v>
      </c>
      <c r="O77" s="24">
        <v>2524.1728009419921</v>
      </c>
      <c r="P77" s="24">
        <v>2535.5487967069903</v>
      </c>
      <c r="Q77" s="24">
        <v>2511.3919920099897</v>
      </c>
      <c r="R77" s="24">
        <v>2555.936035596992</v>
      </c>
      <c r="S77" s="24">
        <v>2519.4308273939932</v>
      </c>
      <c r="T77" s="24">
        <v>2513.44445253299</v>
      </c>
      <c r="U77" s="24">
        <v>2547.9948401599904</v>
      </c>
      <c r="V77" s="24">
        <v>2509.6254738449902</v>
      </c>
      <c r="W77" s="25">
        <v>2524.2072352119922</v>
      </c>
      <c r="Y77" s="6">
        <f t="array" ref="Y77">AVERAGE(B77:K77/TotalWasteDisposed!B77:K77-'CO2'!N77:W77/TotalWasteDisposed!N77:W77)</f>
        <v>3.0327094345896848</v>
      </c>
      <c r="Z77" s="5">
        <f t="array" ref="Z77">_xlfn.STDEV.S(B77:K77/TotalWasteDisposed!B77:K77-'CO2'!N77:W77/TotalWasteDisposed!N77:W77)</f>
        <v>1.2668285321068368E-2</v>
      </c>
      <c r="AA77" s="5">
        <f t="shared" si="3"/>
        <v>9.0617157870731824E-3</v>
      </c>
      <c r="AB77" s="5">
        <f t="shared" si="4"/>
        <v>3.0236477188026116</v>
      </c>
      <c r="AC77" s="5">
        <f t="shared" si="5"/>
        <v>3.0417711503767579</v>
      </c>
    </row>
    <row r="78" spans="1:29" x14ac:dyDescent="0.3">
      <c r="A78" s="23">
        <v>75</v>
      </c>
      <c r="B78" s="24">
        <v>5780.5910368659988</v>
      </c>
      <c r="C78" s="24">
        <v>5758.572296252999</v>
      </c>
      <c r="D78" s="24">
        <v>5796.065794139</v>
      </c>
      <c r="E78" s="24">
        <v>5786.4362883989988</v>
      </c>
      <c r="F78" s="24">
        <v>5779.753473114999</v>
      </c>
      <c r="G78" s="24">
        <v>5782.4399218779909</v>
      </c>
      <c r="H78" s="24">
        <v>5768.3302350259992</v>
      </c>
      <c r="I78" s="24">
        <v>5784.466045279999</v>
      </c>
      <c r="J78" s="24">
        <v>5764.5018832949991</v>
      </c>
      <c r="K78" s="25">
        <v>5789.2702685259992</v>
      </c>
      <c r="L78" s="3"/>
      <c r="M78" s="23">
        <v>75</v>
      </c>
      <c r="N78" s="24">
        <v>2535.0133269289895</v>
      </c>
      <c r="O78" s="24">
        <v>2534.5004148819903</v>
      </c>
      <c r="P78" s="24">
        <v>2532.4408746529903</v>
      </c>
      <c r="Q78" s="24">
        <v>2547.392443473992</v>
      </c>
      <c r="R78" s="24">
        <v>2517.50850081099</v>
      </c>
      <c r="S78" s="24">
        <v>2530.1134725579909</v>
      </c>
      <c r="T78" s="24">
        <v>2512.599104779993</v>
      </c>
      <c r="U78" s="24">
        <v>2546.2868751329911</v>
      </c>
      <c r="V78" s="24">
        <v>2543.9033479869909</v>
      </c>
      <c r="W78" s="25">
        <v>2504.6174063169919</v>
      </c>
      <c r="Y78" s="6">
        <f t="array" ref="Y78">AVERAGE(B78:K78/TotalWasteDisposed!B78:K78-'CO2'!N78:W78/TotalWasteDisposed!N78:W78)</f>
        <v>3.0355033597469259</v>
      </c>
      <c r="Z78" s="5">
        <f t="array" ref="Z78">_xlfn.STDEV.S(B78:K78/TotalWasteDisposed!B78:K78-'CO2'!N78:W78/TotalWasteDisposed!N78:W78)</f>
        <v>1.8229970508873455E-2</v>
      </c>
      <c r="AA78" s="5">
        <f t="shared" si="3"/>
        <v>1.304002928347414E-2</v>
      </c>
      <c r="AB78" s="5">
        <f t="shared" si="4"/>
        <v>3.0224633304634518</v>
      </c>
      <c r="AC78" s="5">
        <f t="shared" si="5"/>
        <v>3.0485433890303999</v>
      </c>
    </row>
    <row r="79" spans="1:29" x14ac:dyDescent="0.3">
      <c r="A79" s="23">
        <v>76</v>
      </c>
      <c r="B79" s="24">
        <v>5785.8516179499984</v>
      </c>
      <c r="C79" s="24">
        <v>5773.1489068679994</v>
      </c>
      <c r="D79" s="24">
        <v>5783.767006267999</v>
      </c>
      <c r="E79" s="24">
        <v>5770.0762711619991</v>
      </c>
      <c r="F79" s="24">
        <v>5799.6448291559982</v>
      </c>
      <c r="G79" s="24">
        <v>5767.3268001919996</v>
      </c>
      <c r="H79" s="24">
        <v>5761.065774804998</v>
      </c>
      <c r="I79" s="24">
        <v>5769.5004867059888</v>
      </c>
      <c r="J79" s="24">
        <v>5761.5222597879983</v>
      </c>
      <c r="K79" s="25">
        <v>5760.3518634779994</v>
      </c>
      <c r="L79" s="3"/>
      <c r="M79" s="23">
        <v>76</v>
      </c>
      <c r="N79" s="24">
        <v>2548.9700328579897</v>
      </c>
      <c r="O79" s="24">
        <v>2529.449694287991</v>
      </c>
      <c r="P79" s="24">
        <v>2557.8986701529898</v>
      </c>
      <c r="Q79" s="24">
        <v>2549.6883397639908</v>
      </c>
      <c r="R79" s="24">
        <v>2519.1375812629899</v>
      </c>
      <c r="S79" s="24">
        <v>2537.6186712249932</v>
      </c>
      <c r="T79" s="24">
        <v>2537.2135679509911</v>
      </c>
      <c r="U79" s="24">
        <v>2530.3553427759907</v>
      </c>
      <c r="V79" s="24">
        <v>2556.4048236849912</v>
      </c>
      <c r="W79" s="25">
        <v>2536.5849490619889</v>
      </c>
      <c r="Y79" s="6">
        <f t="array" ref="Y79">AVERAGE(B79:K79/TotalWasteDisposed!B79:K79-'CO2'!N79:W79/TotalWasteDisposed!N79:W79)</f>
        <v>3.0262008371837417</v>
      </c>
      <c r="Z79" s="5">
        <f t="array" ref="Z79">_xlfn.STDEV.S(B79:K79/TotalWasteDisposed!B79:K79-'CO2'!N79:W79/TotalWasteDisposed!N79:W79)</f>
        <v>1.3311315244064158E-2</v>
      </c>
      <c r="AA79" s="5">
        <f t="shared" si="3"/>
        <v>9.5216797251351636E-3</v>
      </c>
      <c r="AB79" s="5">
        <f t="shared" si="4"/>
        <v>3.0166791574586065</v>
      </c>
      <c r="AC79" s="5">
        <f t="shared" si="5"/>
        <v>3.0357225169088768</v>
      </c>
    </row>
    <row r="80" spans="1:29" x14ac:dyDescent="0.3">
      <c r="A80" s="23">
        <v>77</v>
      </c>
      <c r="B80" s="24">
        <v>5770.832044247999</v>
      </c>
      <c r="C80" s="24">
        <v>5767.9487397469993</v>
      </c>
      <c r="D80" s="24">
        <v>5769.159656165999</v>
      </c>
      <c r="E80" s="24">
        <v>5758.0709565999987</v>
      </c>
      <c r="F80" s="24">
        <v>5761.907534983</v>
      </c>
      <c r="G80" s="24">
        <v>5757.6594943869995</v>
      </c>
      <c r="H80" s="24">
        <v>5770.690400221999</v>
      </c>
      <c r="I80" s="24">
        <v>5757.7351919819994</v>
      </c>
      <c r="J80" s="24">
        <v>5776.3365340809996</v>
      </c>
      <c r="K80" s="25">
        <v>5768.5386300279988</v>
      </c>
      <c r="L80" s="3"/>
      <c r="M80" s="23">
        <v>77</v>
      </c>
      <c r="N80" s="24">
        <v>2523.5947284619897</v>
      </c>
      <c r="O80" s="24">
        <v>2526.88336561799</v>
      </c>
      <c r="P80" s="24">
        <v>2522.6217900379929</v>
      </c>
      <c r="Q80" s="24">
        <v>2472.7441736959918</v>
      </c>
      <c r="R80" s="24">
        <v>2566.3167108579896</v>
      </c>
      <c r="S80" s="24">
        <v>2523.6061473509903</v>
      </c>
      <c r="T80" s="24">
        <v>2559.9341173869893</v>
      </c>
      <c r="U80" s="24">
        <v>2588.4818808559889</v>
      </c>
      <c r="V80" s="24">
        <v>2554.0256389249898</v>
      </c>
      <c r="W80" s="25">
        <v>2537.2905308779891</v>
      </c>
      <c r="Y80" s="6">
        <f t="array" ref="Y80">AVERAGE(B80:K80/TotalWasteDisposed!B80:K80-'CO2'!N80:W80/TotalWasteDisposed!N80:W80)</f>
        <v>3.0256236904373122</v>
      </c>
      <c r="Z80" s="5">
        <f t="array" ref="Z80">_xlfn.STDEV.S(B80:K80/TotalWasteDisposed!B80:K80-'CO2'!N80:W80/TotalWasteDisposed!N80:W80)</f>
        <v>1.6762674720276035E-2</v>
      </c>
      <c r="AA80" s="5">
        <f t="shared" si="3"/>
        <v>1.19904620314857E-2</v>
      </c>
      <c r="AB80" s="5">
        <f t="shared" si="4"/>
        <v>3.0136332284058263</v>
      </c>
      <c r="AC80" s="5">
        <f t="shared" si="5"/>
        <v>3.0376141524687981</v>
      </c>
    </row>
    <row r="81" spans="1:29" x14ac:dyDescent="0.3">
      <c r="A81" s="23">
        <v>78</v>
      </c>
      <c r="B81" s="24">
        <v>5780.2242582639992</v>
      </c>
      <c r="C81" s="24">
        <v>5769.102336639</v>
      </c>
      <c r="D81" s="24">
        <v>5800.3344242009998</v>
      </c>
      <c r="E81" s="24">
        <v>5759.0963441609993</v>
      </c>
      <c r="F81" s="24">
        <v>5761.3484141249992</v>
      </c>
      <c r="G81" s="24">
        <v>5771.5584437420002</v>
      </c>
      <c r="H81" s="24">
        <v>5756.5833154269985</v>
      </c>
      <c r="I81" s="24">
        <v>5789.6266799069999</v>
      </c>
      <c r="J81" s="24">
        <v>5758.4488913199893</v>
      </c>
      <c r="K81" s="25">
        <v>5771.1559599029988</v>
      </c>
      <c r="L81" s="3"/>
      <c r="M81" s="23">
        <v>78</v>
      </c>
      <c r="N81" s="24">
        <v>2554.0707250809887</v>
      </c>
      <c r="O81" s="24">
        <v>2524.020276271991</v>
      </c>
      <c r="P81" s="24">
        <v>2511.8618524799908</v>
      </c>
      <c r="Q81" s="24">
        <v>2553.5901557819907</v>
      </c>
      <c r="R81" s="24">
        <v>2572.0783972029908</v>
      </c>
      <c r="S81" s="24">
        <v>2528.991177701992</v>
      </c>
      <c r="T81" s="24">
        <v>2549.4369478479903</v>
      </c>
      <c r="U81" s="24">
        <v>2520.5998776739912</v>
      </c>
      <c r="V81" s="24">
        <v>2544.2726250659912</v>
      </c>
      <c r="W81" s="25">
        <v>2562.7754145559911</v>
      </c>
      <c r="Y81" s="6">
        <f t="array" ref="Y81">AVERAGE(B81:K81/TotalWasteDisposed!B81:K81-'CO2'!N81:W81/TotalWasteDisposed!N81:W81)</f>
        <v>3.0283545389810742</v>
      </c>
      <c r="Z81" s="5">
        <f t="array" ref="Z81">_xlfn.STDEV.S(B81:K81/TotalWasteDisposed!B81:K81-'CO2'!N81:W81/TotalWasteDisposed!N81:W81)</f>
        <v>1.1900114154269351E-2</v>
      </c>
      <c r="AA81" s="5">
        <f t="shared" si="3"/>
        <v>8.512237415459584E-3</v>
      </c>
      <c r="AB81" s="5">
        <f t="shared" si="4"/>
        <v>3.0198423015656148</v>
      </c>
      <c r="AC81" s="5">
        <f t="shared" si="5"/>
        <v>3.0368667763965336</v>
      </c>
    </row>
    <row r="82" spans="1:29" x14ac:dyDescent="0.3">
      <c r="A82" s="23">
        <v>79</v>
      </c>
      <c r="B82" s="24">
        <v>5770.8419728209992</v>
      </c>
      <c r="C82" s="24">
        <v>5757.5898277089991</v>
      </c>
      <c r="D82" s="24">
        <v>5774.9352428529983</v>
      </c>
      <c r="E82" s="24">
        <v>5796.7176246459994</v>
      </c>
      <c r="F82" s="24">
        <v>5766.2000297159993</v>
      </c>
      <c r="G82" s="24">
        <v>5783.7545106439993</v>
      </c>
      <c r="H82" s="24">
        <v>5766.8532175689988</v>
      </c>
      <c r="I82" s="24">
        <v>5793.7053761079997</v>
      </c>
      <c r="J82" s="24">
        <v>5771.4404551249982</v>
      </c>
      <c r="K82" s="25">
        <v>5775.1436577289987</v>
      </c>
      <c r="L82" s="3"/>
      <c r="M82" s="23">
        <v>79</v>
      </c>
      <c r="N82" s="24">
        <v>2494.365337008991</v>
      </c>
      <c r="O82" s="24">
        <v>2550.1227136709908</v>
      </c>
      <c r="P82" s="24">
        <v>2506.7381001209897</v>
      </c>
      <c r="Q82" s="24">
        <v>2547.6839211759898</v>
      </c>
      <c r="R82" s="24">
        <v>2611.9496663879909</v>
      </c>
      <c r="S82" s="24">
        <v>2551.7391464389902</v>
      </c>
      <c r="T82" s="24">
        <v>2547.5151878649908</v>
      </c>
      <c r="U82" s="24">
        <v>2548.521717601991</v>
      </c>
      <c r="V82" s="24">
        <v>2522.8697987769924</v>
      </c>
      <c r="W82" s="25">
        <v>2543.0658032769911</v>
      </c>
      <c r="Y82" s="6">
        <f t="array" ref="Y82">AVERAGE(B82:K82/TotalWasteDisposed!B82:K82-'CO2'!N82:W82/TotalWasteDisposed!N82:W82)</f>
        <v>3.0323816144652573</v>
      </c>
      <c r="Z82" s="5">
        <f t="array" ref="Z82">_xlfn.STDEV.S(B82:K82/TotalWasteDisposed!B82:K82-'CO2'!N82:W82/TotalWasteDisposed!N82:W82)</f>
        <v>1.4169506654433657E-2</v>
      </c>
      <c r="AA82" s="5">
        <f t="shared" si="3"/>
        <v>1.0135550225726325E-2</v>
      </c>
      <c r="AB82" s="5">
        <f t="shared" si="4"/>
        <v>3.022246064239531</v>
      </c>
      <c r="AC82" s="5">
        <f t="shared" si="5"/>
        <v>3.0425171646909837</v>
      </c>
    </row>
    <row r="83" spans="1:29" x14ac:dyDescent="0.3">
      <c r="A83" s="23">
        <v>80</v>
      </c>
      <c r="B83" s="24">
        <v>5773.5508495539989</v>
      </c>
      <c r="C83" s="24">
        <v>5782.6680357279984</v>
      </c>
      <c r="D83" s="24">
        <v>5779.9736341729886</v>
      </c>
      <c r="E83" s="24">
        <v>5747.9119318959993</v>
      </c>
      <c r="F83" s="24">
        <v>5788.9432931869978</v>
      </c>
      <c r="G83" s="24">
        <v>5782.2181035470003</v>
      </c>
      <c r="H83" s="24">
        <v>5781.1771002369896</v>
      </c>
      <c r="I83" s="24">
        <v>5773.1225222940002</v>
      </c>
      <c r="J83" s="24">
        <v>5773.7211230969988</v>
      </c>
      <c r="K83" s="25">
        <v>5770.1651654379984</v>
      </c>
      <c r="L83" s="3"/>
      <c r="M83" s="23">
        <v>80</v>
      </c>
      <c r="N83" s="24">
        <v>2528.9052927559896</v>
      </c>
      <c r="O83" s="24">
        <v>2508.7419065179911</v>
      </c>
      <c r="P83" s="24">
        <v>2521.4663808959917</v>
      </c>
      <c r="Q83" s="24">
        <v>2558.2017469619905</v>
      </c>
      <c r="R83" s="24">
        <v>2538.3384510239912</v>
      </c>
      <c r="S83" s="24">
        <v>2521.2623563779903</v>
      </c>
      <c r="T83" s="24">
        <v>2504.0808811469901</v>
      </c>
      <c r="U83" s="24">
        <v>2534.0725236029903</v>
      </c>
      <c r="V83" s="24">
        <v>2534.4005560999913</v>
      </c>
      <c r="W83" s="25">
        <v>2559.0960339999911</v>
      </c>
      <c r="Y83" s="6">
        <f t="array" ref="Y83">AVERAGE(B83:K83/TotalWasteDisposed!B83:K83-'CO2'!N83:W83/TotalWasteDisposed!N83:W83)</f>
        <v>3.0282845297585133</v>
      </c>
      <c r="Z83" s="5">
        <f t="array" ref="Z83">_xlfn.STDEV.S(B83:K83/TotalWasteDisposed!B83:K83-'CO2'!N83:W83/TotalWasteDisposed!N83:W83)</f>
        <v>7.6805746954380265E-3</v>
      </c>
      <c r="AA83" s="5">
        <f t="shared" si="3"/>
        <v>5.4939704314755661E-3</v>
      </c>
      <c r="AB83" s="5">
        <f t="shared" si="4"/>
        <v>3.0227905593270377</v>
      </c>
      <c r="AC83" s="5">
        <f t="shared" si="5"/>
        <v>3.0337785001899888</v>
      </c>
    </row>
    <row r="84" spans="1:29" x14ac:dyDescent="0.3">
      <c r="A84" s="26">
        <v>81</v>
      </c>
      <c r="B84" s="27">
        <v>5771.7198788039987</v>
      </c>
      <c r="C84" s="27">
        <v>5795.0193555119986</v>
      </c>
      <c r="D84" s="27">
        <v>5795.1404428059996</v>
      </c>
      <c r="E84" s="27">
        <v>5779.1304744179988</v>
      </c>
      <c r="F84" s="27">
        <v>5785.2368376919994</v>
      </c>
      <c r="G84" s="27">
        <v>5762.5548769050001</v>
      </c>
      <c r="H84" s="27">
        <v>5790.9089555909995</v>
      </c>
      <c r="I84" s="27">
        <v>5772.5521082180003</v>
      </c>
      <c r="J84" s="27">
        <v>5770.5539944419979</v>
      </c>
      <c r="K84" s="28">
        <v>5775.3441006949988</v>
      </c>
      <c r="L84" s="3"/>
      <c r="M84" s="26">
        <v>81</v>
      </c>
      <c r="N84" s="27">
        <v>2523.2364583019908</v>
      </c>
      <c r="O84" s="27">
        <v>2576.568018201991</v>
      </c>
      <c r="P84" s="27">
        <v>2604.925013159992</v>
      </c>
      <c r="Q84" s="27">
        <v>2571.3166479109918</v>
      </c>
      <c r="R84" s="27">
        <v>2557.7142676069925</v>
      </c>
      <c r="S84" s="27">
        <v>2573.7864753759909</v>
      </c>
      <c r="T84" s="27">
        <v>2542.9357324869893</v>
      </c>
      <c r="U84" s="27">
        <v>2515.810136645991</v>
      </c>
      <c r="V84" s="27">
        <v>2531.0505572569896</v>
      </c>
      <c r="W84" s="28">
        <v>2504.5171993459912</v>
      </c>
      <c r="Y84" s="6">
        <f t="array" ref="Y84">AVERAGE(B84:K84/TotalWasteDisposed!B84:K84-'CO2'!N84:W84/TotalWasteDisposed!N84:W84)</f>
        <v>3.0306756233470487</v>
      </c>
      <c r="Z84" s="5">
        <f t="array" ref="Z84">_xlfn.STDEV.S(B84:K84/TotalWasteDisposed!B84:K84-'CO2'!N84:W84/TotalWasteDisposed!N84:W84)</f>
        <v>6.1065618011302029E-3</v>
      </c>
      <c r="AA84" s="5">
        <f t="shared" si="3"/>
        <v>4.3680676646910971E-3</v>
      </c>
      <c r="AB84" s="5">
        <f t="shared" si="4"/>
        <v>3.0263075556823575</v>
      </c>
      <c r="AC84" s="5">
        <f t="shared" si="5"/>
        <v>3.0350436910117398</v>
      </c>
    </row>
  </sheetData>
  <mergeCells count="2">
    <mergeCell ref="B2:K2"/>
    <mergeCell ref="N2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1BE4-066A-44D4-B748-1F7C8F8C3FE7}">
  <dimension ref="A1:P39"/>
  <sheetViews>
    <sheetView workbookViewId="0">
      <selection activeCell="O14" sqref="O14"/>
    </sheetView>
  </sheetViews>
  <sheetFormatPr defaultRowHeight="14.4" x14ac:dyDescent="0.3"/>
  <cols>
    <col min="1" max="1" width="11" customWidth="1"/>
    <col min="2" max="2" width="6" customWidth="1"/>
  </cols>
  <sheetData>
    <row r="1" spans="1:14" x14ac:dyDescent="0.3">
      <c r="A1" t="s">
        <v>1</v>
      </c>
      <c r="C1" s="12" t="s">
        <v>12</v>
      </c>
      <c r="D1" s="12"/>
      <c r="E1" s="12"/>
      <c r="F1" s="12"/>
      <c r="G1" s="12"/>
      <c r="H1" s="12"/>
      <c r="I1" s="12"/>
      <c r="J1" s="12"/>
      <c r="K1" s="12"/>
      <c r="L1" s="12"/>
    </row>
    <row r="2" spans="1:14" x14ac:dyDescent="0.3">
      <c r="B2" t="s">
        <v>11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N2" s="10" t="s">
        <v>17</v>
      </c>
    </row>
    <row r="3" spans="1:14" x14ac:dyDescent="0.3">
      <c r="A3" s="11" t="s">
        <v>8</v>
      </c>
      <c r="B3">
        <v>1</v>
      </c>
      <c r="C3" s="3">
        <v>1184.248410590159</v>
      </c>
      <c r="D3" s="3">
        <v>1186.0758068512359</v>
      </c>
      <c r="E3" s="3">
        <v>1184.453051870941</v>
      </c>
      <c r="F3" s="3">
        <v>1187.929211498677</v>
      </c>
      <c r="G3" s="3">
        <v>1181.760489999012</v>
      </c>
      <c r="H3" s="3">
        <v>1185.8831616758812</v>
      </c>
      <c r="I3" s="3">
        <v>1186.2345118265112</v>
      </c>
      <c r="J3" s="3">
        <v>1185.4029794882549</v>
      </c>
      <c r="K3" s="3">
        <v>1185.274836352821</v>
      </c>
      <c r="L3" s="3">
        <v>1181.8621601831089</v>
      </c>
      <c r="N3" s="10" t="s">
        <v>18</v>
      </c>
    </row>
    <row r="4" spans="1:14" x14ac:dyDescent="0.3">
      <c r="A4" s="11"/>
      <c r="B4">
        <v>2</v>
      </c>
      <c r="C4" s="3">
        <v>1184.001547661584</v>
      </c>
      <c r="D4" s="3">
        <v>1186.249571151624</v>
      </c>
      <c r="E4" s="3">
        <v>1185.9298113052951</v>
      </c>
      <c r="F4" s="3">
        <v>1186.8303851215278</v>
      </c>
      <c r="G4" s="3">
        <v>1186.9910334179278</v>
      </c>
      <c r="H4" s="3">
        <v>1190.35265635676</v>
      </c>
      <c r="I4" s="3">
        <v>1184.605596210009</v>
      </c>
      <c r="J4" s="3">
        <v>1182.5911010069631</v>
      </c>
      <c r="K4" s="3">
        <v>1187.3750660775979</v>
      </c>
      <c r="L4" s="3">
        <v>1182.4717931435889</v>
      </c>
    </row>
    <row r="5" spans="1:14" ht="21" customHeight="1" x14ac:dyDescent="0.3">
      <c r="A5" s="11"/>
      <c r="B5">
        <v>3</v>
      </c>
      <c r="C5" s="3">
        <v>1183.1976959987969</v>
      </c>
      <c r="D5" s="3">
        <v>1181.7053889694789</v>
      </c>
      <c r="E5" s="3">
        <v>1186.0180905601919</v>
      </c>
      <c r="F5" s="3">
        <v>1184.895283545138</v>
      </c>
      <c r="G5" s="3">
        <v>1183.3438053452089</v>
      </c>
      <c r="H5" s="3">
        <v>1186.751105684292</v>
      </c>
      <c r="I5" s="3">
        <v>1186.909211423168</v>
      </c>
      <c r="J5" s="3">
        <v>1184.749324870432</v>
      </c>
      <c r="K5" s="3">
        <v>1186.882909764171</v>
      </c>
      <c r="L5" s="3">
        <v>1182.085517588642</v>
      </c>
    </row>
    <row r="7" spans="1:14" x14ac:dyDescent="0.3">
      <c r="A7" s="11" t="s">
        <v>9</v>
      </c>
      <c r="B7">
        <v>1</v>
      </c>
      <c r="C7" s="2">
        <v>629.04450587438691</v>
      </c>
      <c r="D7" s="2">
        <v>634.97887589576499</v>
      </c>
      <c r="E7" s="2">
        <v>632.82694905462006</v>
      </c>
      <c r="F7" s="2">
        <v>631.03028785297795</v>
      </c>
      <c r="G7" s="2">
        <v>630.83509382054012</v>
      </c>
      <c r="H7" s="2">
        <v>633.05560264778001</v>
      </c>
      <c r="I7" s="2">
        <v>630.32892840676686</v>
      </c>
      <c r="J7" s="2">
        <v>630.05525816213299</v>
      </c>
      <c r="K7" s="2">
        <v>628.76488315927998</v>
      </c>
      <c r="L7" s="2">
        <v>630.25162197899397</v>
      </c>
    </row>
    <row r="8" spans="1:14" x14ac:dyDescent="0.3">
      <c r="A8" s="11"/>
      <c r="B8">
        <v>2</v>
      </c>
      <c r="C8" s="2">
        <v>635.289358116416</v>
      </c>
      <c r="D8" s="2">
        <v>632.79592469970396</v>
      </c>
      <c r="E8" s="2">
        <v>632.04343633230792</v>
      </c>
      <c r="F8" s="2">
        <v>627.46523771794102</v>
      </c>
      <c r="G8" s="2">
        <v>628.52607600687099</v>
      </c>
      <c r="H8" s="2">
        <v>634.84473196784904</v>
      </c>
      <c r="I8" s="2">
        <v>626.81154092761699</v>
      </c>
      <c r="J8" s="2">
        <v>630.12722769189497</v>
      </c>
      <c r="K8" s="2">
        <v>629.97344110781194</v>
      </c>
      <c r="L8" s="2">
        <v>629.58768735188596</v>
      </c>
    </row>
    <row r="9" spans="1:14" x14ac:dyDescent="0.3">
      <c r="A9" s="11"/>
      <c r="B9">
        <v>3</v>
      </c>
      <c r="C9" s="2">
        <v>631.81803095610496</v>
      </c>
      <c r="D9" s="2">
        <v>632.79430298249201</v>
      </c>
      <c r="E9" s="2">
        <v>631.399104562101</v>
      </c>
      <c r="F9" s="2">
        <v>627.28907137131705</v>
      </c>
      <c r="G9" s="2">
        <v>631.974853116453</v>
      </c>
      <c r="H9" s="2">
        <v>631.23195708538196</v>
      </c>
      <c r="I9" s="2">
        <v>632.39064243851794</v>
      </c>
      <c r="J9" s="2">
        <v>630.46407029906095</v>
      </c>
      <c r="K9" s="2">
        <v>630.13626514427892</v>
      </c>
      <c r="L9" s="2">
        <v>629.5582404248139</v>
      </c>
    </row>
    <row r="11" spans="1:14" x14ac:dyDescent="0.3">
      <c r="A11" s="11" t="s">
        <v>10</v>
      </c>
      <c r="B11">
        <v>1</v>
      </c>
      <c r="C11" s="9">
        <f>C7/C3</f>
        <v>0.53117614535020452</v>
      </c>
      <c r="D11" s="9">
        <f t="shared" ref="D11:L11" si="0">D7/D3</f>
        <v>0.53536112298040284</v>
      </c>
      <c r="E11" s="9">
        <f t="shared" si="0"/>
        <v>0.53427778167738926</v>
      </c>
      <c r="F11" s="9">
        <f t="shared" si="0"/>
        <v>0.53120192831766289</v>
      </c>
      <c r="G11" s="9">
        <f t="shared" si="0"/>
        <v>0.53380959945705031</v>
      </c>
      <c r="H11" s="9">
        <f t="shared" si="0"/>
        <v>0.53382628500530405</v>
      </c>
      <c r="I11" s="9">
        <f t="shared" si="0"/>
        <v>0.53136957500605375</v>
      </c>
      <c r="J11" s="9">
        <f t="shared" si="0"/>
        <v>0.53151145143412015</v>
      </c>
      <c r="K11" s="9">
        <f t="shared" si="0"/>
        <v>0.53048024295701435</v>
      </c>
      <c r="L11" s="9">
        <f t="shared" si="0"/>
        <v>0.53326998969266215</v>
      </c>
    </row>
    <row r="12" spans="1:14" x14ac:dyDescent="0.3">
      <c r="A12" s="11"/>
      <c r="B12">
        <v>2</v>
      </c>
      <c r="C12" s="9">
        <f t="shared" ref="C12:L12" si="1">C8/C4</f>
        <v>0.53656125650436814</v>
      </c>
      <c r="D12" s="9">
        <f t="shared" si="1"/>
        <v>0.53344248974975716</v>
      </c>
      <c r="E12" s="9">
        <f t="shared" si="1"/>
        <v>0.5329518073558237</v>
      </c>
      <c r="F12" s="9">
        <f t="shared" si="1"/>
        <v>0.52868990007674133</v>
      </c>
      <c r="G12" s="9">
        <f t="shared" si="1"/>
        <v>0.52951206732963851</v>
      </c>
      <c r="H12" s="9">
        <f t="shared" si="1"/>
        <v>0.53332491726517395</v>
      </c>
      <c r="I12" s="9">
        <f t="shared" si="1"/>
        <v>0.52913099763585336</v>
      </c>
      <c r="J12" s="9">
        <f t="shared" si="1"/>
        <v>0.53283609791697972</v>
      </c>
      <c r="K12" s="9">
        <f t="shared" si="1"/>
        <v>0.53055976928072157</v>
      </c>
      <c r="L12" s="9">
        <f t="shared" si="1"/>
        <v>0.53243357769924782</v>
      </c>
    </row>
    <row r="13" spans="1:14" x14ac:dyDescent="0.3">
      <c r="A13" s="11"/>
      <c r="B13">
        <v>3</v>
      </c>
      <c r="C13" s="9">
        <f t="shared" ref="C13:L13" si="2">C9/C5</f>
        <v>0.53399193819656277</v>
      </c>
      <c r="D13" s="9">
        <f t="shared" si="2"/>
        <v>0.53549244074644375</v>
      </c>
      <c r="E13" s="9">
        <f t="shared" si="2"/>
        <v>0.5323688648491629</v>
      </c>
      <c r="F13" s="9">
        <f t="shared" si="2"/>
        <v>0.52940464873360327</v>
      </c>
      <c r="G13" s="9">
        <f t="shared" si="2"/>
        <v>0.53405852995705783</v>
      </c>
      <c r="H13" s="9">
        <f t="shared" si="2"/>
        <v>0.53189919441567113</v>
      </c>
      <c r="I13" s="9">
        <f t="shared" si="2"/>
        <v>0.53280456192622139</v>
      </c>
      <c r="J13" s="9">
        <f t="shared" si="2"/>
        <v>0.5321497611893643</v>
      </c>
      <c r="K13" s="9">
        <f t="shared" si="2"/>
        <v>0.53091695900270774</v>
      </c>
      <c r="L13" s="9">
        <f t="shared" si="2"/>
        <v>0.53258265248783465</v>
      </c>
    </row>
    <row r="15" spans="1:14" x14ac:dyDescent="0.3">
      <c r="A15" t="s">
        <v>2</v>
      </c>
    </row>
    <row r="16" spans="1:14" x14ac:dyDescent="0.3">
      <c r="C16" s="12" t="s">
        <v>12</v>
      </c>
      <c r="D16" s="12"/>
      <c r="E16" s="12"/>
      <c r="F16" s="12"/>
      <c r="G16" s="12"/>
      <c r="H16" s="12"/>
      <c r="I16" s="12"/>
      <c r="J16" s="12"/>
      <c r="K16" s="12"/>
      <c r="L16" s="12"/>
    </row>
    <row r="17" spans="1:16" x14ac:dyDescent="0.3">
      <c r="B17" t="s">
        <v>11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7</v>
      </c>
      <c r="J17">
        <v>8</v>
      </c>
      <c r="K17">
        <v>9</v>
      </c>
      <c r="L17">
        <v>10</v>
      </c>
    </row>
    <row r="18" spans="1:16" x14ac:dyDescent="0.3">
      <c r="A18" s="11" t="s">
        <v>8</v>
      </c>
      <c r="B18">
        <v>1</v>
      </c>
      <c r="C18" s="3">
        <v>374.09752576063579</v>
      </c>
      <c r="D18" s="3">
        <v>373.12850369030269</v>
      </c>
      <c r="E18" s="3">
        <v>372.70621056952359</v>
      </c>
      <c r="F18" s="3">
        <v>373.94856890944914</v>
      </c>
      <c r="G18" s="3">
        <v>373.54827202085551</v>
      </c>
      <c r="H18" s="3">
        <v>374.21567940549488</v>
      </c>
      <c r="I18" s="3">
        <v>374.0168440031843</v>
      </c>
      <c r="J18" s="3">
        <v>372.83570186317695</v>
      </c>
      <c r="K18" s="3">
        <v>373.9717037358684</v>
      </c>
      <c r="L18" s="3">
        <v>373.87052599178634</v>
      </c>
    </row>
    <row r="19" spans="1:16" x14ac:dyDescent="0.3">
      <c r="A19" s="11"/>
      <c r="B19">
        <v>2</v>
      </c>
      <c r="C19" s="3">
        <v>372.8002047149364</v>
      </c>
      <c r="D19" s="3">
        <v>373.98003322838991</v>
      </c>
      <c r="E19" s="3">
        <v>374.3422647093364</v>
      </c>
      <c r="F19" s="3">
        <v>375.58779524661918</v>
      </c>
      <c r="G19" s="3">
        <v>373.91722039112949</v>
      </c>
      <c r="H19" s="3">
        <v>373.56989819732661</v>
      </c>
      <c r="I19" s="3">
        <v>372.7653914868726</v>
      </c>
      <c r="J19" s="3">
        <v>374.22045576259472</v>
      </c>
      <c r="K19" s="3">
        <v>374.08791113658799</v>
      </c>
      <c r="L19" s="3">
        <v>375.60648071528385</v>
      </c>
    </row>
    <row r="20" spans="1:16" x14ac:dyDescent="0.3">
      <c r="A20" s="11"/>
      <c r="B20">
        <v>3</v>
      </c>
      <c r="C20" s="3">
        <v>372.17932291879021</v>
      </c>
      <c r="D20" s="3">
        <v>374.76263430681468</v>
      </c>
      <c r="E20" s="3">
        <v>354.39723853559326</v>
      </c>
      <c r="F20" s="3">
        <v>373.50187303821218</v>
      </c>
      <c r="G20" s="3">
        <v>373.51139570606233</v>
      </c>
      <c r="H20" s="3">
        <v>374.67546866620199</v>
      </c>
      <c r="I20" s="3">
        <v>372.813411458823</v>
      </c>
      <c r="J20" s="3">
        <v>372.29030817792744</v>
      </c>
      <c r="K20" s="3">
        <v>374.68327426888334</v>
      </c>
      <c r="L20" s="3">
        <v>373.11301321205207</v>
      </c>
    </row>
    <row r="22" spans="1:16" x14ac:dyDescent="0.3">
      <c r="A22" s="11" t="s">
        <v>9</v>
      </c>
      <c r="B22">
        <v>1</v>
      </c>
      <c r="C22" s="3">
        <v>80.413502431199106</v>
      </c>
      <c r="D22" s="3">
        <v>80.633899370350804</v>
      </c>
      <c r="E22" s="3">
        <v>80.056072761528</v>
      </c>
      <c r="F22" s="3">
        <v>79.929051864877707</v>
      </c>
      <c r="G22" s="3">
        <v>80.245084931249409</v>
      </c>
      <c r="H22" s="3">
        <v>80.40722978626431</v>
      </c>
      <c r="I22" s="3">
        <v>80.432961291623599</v>
      </c>
      <c r="J22" s="3">
        <v>80.542857606030708</v>
      </c>
      <c r="K22" s="3">
        <v>80.476557003211795</v>
      </c>
      <c r="L22" s="3">
        <v>79.783961694537297</v>
      </c>
    </row>
    <row r="23" spans="1:16" x14ac:dyDescent="0.3">
      <c r="A23" s="11"/>
      <c r="B23">
        <v>2</v>
      </c>
      <c r="C23" s="3">
        <v>80.202954217616593</v>
      </c>
      <c r="D23" s="3">
        <v>80.139516535537808</v>
      </c>
      <c r="E23" s="3">
        <v>79.665329895272791</v>
      </c>
      <c r="F23" s="3">
        <v>80.464775589351703</v>
      </c>
      <c r="G23" s="3">
        <v>80.329528995532002</v>
      </c>
      <c r="H23" s="3">
        <v>80.6037814438304</v>
      </c>
      <c r="I23" s="3">
        <v>79.989762329752295</v>
      </c>
      <c r="J23" s="3">
        <v>80.176945242371005</v>
      </c>
      <c r="K23" s="3">
        <v>80.542680344147698</v>
      </c>
      <c r="L23" s="3">
        <v>79.731070411405199</v>
      </c>
    </row>
    <row r="24" spans="1:16" x14ac:dyDescent="0.3">
      <c r="A24" s="11"/>
      <c r="B24">
        <v>3</v>
      </c>
      <c r="C24" s="3">
        <v>80.031857032823609</v>
      </c>
      <c r="D24" s="3">
        <v>80.151446944494694</v>
      </c>
      <c r="E24" s="3">
        <v>76.716799085359412</v>
      </c>
      <c r="F24" s="3">
        <v>80.052291018753991</v>
      </c>
      <c r="G24" s="3">
        <v>80.244001104802209</v>
      </c>
      <c r="H24" s="3">
        <v>80.5506074356326</v>
      </c>
      <c r="I24" s="3">
        <v>80.427767774393601</v>
      </c>
      <c r="J24" s="3">
        <v>80.052781729463803</v>
      </c>
      <c r="K24" s="3">
        <v>80.365712033346298</v>
      </c>
      <c r="L24" s="3">
        <v>79.878286518528199</v>
      </c>
    </row>
    <row r="26" spans="1:16" x14ac:dyDescent="0.3">
      <c r="A26" s="11" t="s">
        <v>10</v>
      </c>
      <c r="B26">
        <v>1</v>
      </c>
      <c r="C26" s="9">
        <f>C22/C18</f>
        <v>0.21495331268951304</v>
      </c>
      <c r="D26" s="9">
        <f t="shared" ref="D26:L26" si="3">D22/D18</f>
        <v>0.21610222369202081</v>
      </c>
      <c r="E26" s="9">
        <f t="shared" si="3"/>
        <v>0.21479672323999163</v>
      </c>
      <c r="F26" s="9">
        <f t="shared" si="3"/>
        <v>0.21374343562264669</v>
      </c>
      <c r="G26" s="9">
        <f t="shared" si="3"/>
        <v>0.2148185146115982</v>
      </c>
      <c r="H26" s="9">
        <f t="shared" si="3"/>
        <v>0.21486868191628111</v>
      </c>
      <c r="I26" s="9">
        <f t="shared" si="3"/>
        <v>0.21505170844909544</v>
      </c>
      <c r="J26" s="9">
        <f t="shared" si="3"/>
        <v>0.21602774949805714</v>
      </c>
      <c r="K26" s="9">
        <f t="shared" si="3"/>
        <v>0.21519424116657604</v>
      </c>
      <c r="L26" s="9">
        <f t="shared" si="3"/>
        <v>0.21339997712547709</v>
      </c>
    </row>
    <row r="27" spans="1:16" x14ac:dyDescent="0.3">
      <c r="A27" s="11"/>
      <c r="B27">
        <v>2</v>
      </c>
      <c r="C27" s="9">
        <f t="shared" ref="C27:L27" si="4">C23/C19</f>
        <v>0.21513656163076464</v>
      </c>
      <c r="D27" s="9">
        <f t="shared" si="4"/>
        <v>0.21428822240516926</v>
      </c>
      <c r="E27" s="9">
        <f t="shared" si="4"/>
        <v>0.21281414738763232</v>
      </c>
      <c r="F27" s="9">
        <f t="shared" si="4"/>
        <v>0.21423692837653782</v>
      </c>
      <c r="G27" s="9">
        <f t="shared" si="4"/>
        <v>0.21483238699598997</v>
      </c>
      <c r="H27" s="9">
        <f t="shared" si="4"/>
        <v>0.21576626444685854</v>
      </c>
      <c r="I27" s="9">
        <f t="shared" si="4"/>
        <v>0.21458473387427984</v>
      </c>
      <c r="J27" s="9">
        <f t="shared" si="4"/>
        <v>0.21425056810158774</v>
      </c>
      <c r="K27" s="9">
        <f t="shared" si="4"/>
        <v>0.2153041516349341</v>
      </c>
      <c r="L27" s="9">
        <f t="shared" si="4"/>
        <v>0.21227288267116645</v>
      </c>
    </row>
    <row r="28" spans="1:16" x14ac:dyDescent="0.3">
      <c r="A28" s="11"/>
      <c r="B28">
        <v>3</v>
      </c>
      <c r="C28" s="9">
        <f t="shared" ref="C28:L28" si="5">C24/C20</f>
        <v>0.21503574246193849</v>
      </c>
      <c r="D28" s="9">
        <f t="shared" si="5"/>
        <v>0.21387256787952733</v>
      </c>
      <c r="E28" s="9">
        <f t="shared" si="5"/>
        <v>0.21647121010976642</v>
      </c>
      <c r="F28" s="9">
        <f t="shared" si="5"/>
        <v>0.21432902161260114</v>
      </c>
      <c r="G28" s="9">
        <f t="shared" si="5"/>
        <v>0.21483682165336354</v>
      </c>
      <c r="H28" s="9">
        <f t="shared" si="5"/>
        <v>0.2149876737924229</v>
      </c>
      <c r="I28" s="9">
        <f t="shared" si="5"/>
        <v>0.21573195947988796</v>
      </c>
      <c r="J28" s="9">
        <f t="shared" si="5"/>
        <v>0.21502784244172279</v>
      </c>
      <c r="K28" s="9">
        <f t="shared" si="5"/>
        <v>0.21448972386120868</v>
      </c>
      <c r="L28" s="9">
        <f t="shared" si="5"/>
        <v>0.2140860374471335</v>
      </c>
    </row>
    <row r="30" spans="1:16" x14ac:dyDescent="0.3">
      <c r="C30" t="s">
        <v>15</v>
      </c>
      <c r="M30" t="s">
        <v>13</v>
      </c>
      <c r="N30" t="s">
        <v>14</v>
      </c>
      <c r="O30" t="s">
        <v>6</v>
      </c>
      <c r="P30" t="s">
        <v>7</v>
      </c>
    </row>
    <row r="31" spans="1:16" x14ac:dyDescent="0.3">
      <c r="C31" s="9">
        <f t="shared" ref="C31:L31" si="6">C11-C26</f>
        <v>0.31622283266069151</v>
      </c>
      <c r="D31" s="9">
        <f t="shared" si="6"/>
        <v>0.31925889928838203</v>
      </c>
      <c r="E31" s="9">
        <f t="shared" si="6"/>
        <v>0.3194810584373976</v>
      </c>
      <c r="F31" s="9">
        <f t="shared" si="6"/>
        <v>0.31745849269501619</v>
      </c>
      <c r="G31" s="9">
        <f t="shared" si="6"/>
        <v>0.31899108484545213</v>
      </c>
      <c r="H31" s="9">
        <f t="shared" si="6"/>
        <v>0.31895760308902293</v>
      </c>
      <c r="I31" s="9">
        <f t="shared" si="6"/>
        <v>0.31631786655695832</v>
      </c>
      <c r="J31" s="9">
        <f t="shared" si="6"/>
        <v>0.31548370193606301</v>
      </c>
      <c r="K31" s="9">
        <f t="shared" si="6"/>
        <v>0.31528600179043831</v>
      </c>
      <c r="L31" s="9">
        <f t="shared" si="6"/>
        <v>0.31987001256718506</v>
      </c>
      <c r="M31" s="9">
        <f>AVERAGE(C31:L31)</f>
        <v>0.31773275538666074</v>
      </c>
      <c r="N31" s="9">
        <f>_xlfn.STDEV.S(C31:L31)</f>
        <v>1.7776086805231081E-3</v>
      </c>
      <c r="O31" s="9">
        <f>M31-2.262*N31/SQRT(10)</f>
        <v>0.31646121908673658</v>
      </c>
      <c r="P31" s="9">
        <f>M31+2.262*N31/SQRT(10)</f>
        <v>0.3190042916865849</v>
      </c>
    </row>
    <row r="32" spans="1:16" x14ac:dyDescent="0.3">
      <c r="C32" s="9">
        <f t="shared" ref="C32:L32" si="7">C12-C27</f>
        <v>0.32142469487360348</v>
      </c>
      <c r="D32" s="9">
        <f t="shared" si="7"/>
        <v>0.31915426734458791</v>
      </c>
      <c r="E32" s="9">
        <f t="shared" si="7"/>
        <v>0.32013765996819138</v>
      </c>
      <c r="F32" s="9">
        <f t="shared" si="7"/>
        <v>0.31445297170020348</v>
      </c>
      <c r="G32" s="9">
        <f t="shared" si="7"/>
        <v>0.31467968033364857</v>
      </c>
      <c r="H32" s="9">
        <f t="shared" si="7"/>
        <v>0.31755865281831541</v>
      </c>
      <c r="I32" s="9">
        <f t="shared" si="7"/>
        <v>0.31454626376157352</v>
      </c>
      <c r="J32" s="9">
        <f t="shared" si="7"/>
        <v>0.31858552981539201</v>
      </c>
      <c r="K32" s="9">
        <f t="shared" si="7"/>
        <v>0.31525561764578747</v>
      </c>
      <c r="L32" s="9">
        <f t="shared" si="7"/>
        <v>0.32016069502808137</v>
      </c>
      <c r="M32" s="9">
        <f t="shared" ref="M32:M33" si="8">AVERAGE(C32:L32)</f>
        <v>0.31759560332893844</v>
      </c>
      <c r="N32" s="9">
        <f t="shared" ref="N32:N33" si="9">_xlfn.STDEV.S(C32:L32)</f>
        <v>2.6722272858451853E-3</v>
      </c>
      <c r="O32" s="9">
        <f t="shared" ref="O32:O33" si="10">M32-2.262*N32/SQRT(10)</f>
        <v>0.31568413989335259</v>
      </c>
      <c r="P32" s="9">
        <f t="shared" ref="P32:P33" si="11">M32+2.262*N32/SQRT(10)</f>
        <v>0.31950706676452428</v>
      </c>
    </row>
    <row r="33" spans="3:16" x14ac:dyDescent="0.3">
      <c r="C33" s="9">
        <f t="shared" ref="C33:L33" si="12">C13-C28</f>
        <v>0.3189561957346243</v>
      </c>
      <c r="D33" s="9">
        <f t="shared" si="12"/>
        <v>0.3216198728669164</v>
      </c>
      <c r="E33" s="9">
        <f t="shared" si="12"/>
        <v>0.31589765473939646</v>
      </c>
      <c r="F33" s="9">
        <f t="shared" si="12"/>
        <v>0.31507562712100212</v>
      </c>
      <c r="G33" s="9">
        <f t="shared" si="12"/>
        <v>0.31922170830369428</v>
      </c>
      <c r="H33" s="9">
        <f t="shared" si="12"/>
        <v>0.31691152062324823</v>
      </c>
      <c r="I33" s="9">
        <f t="shared" si="12"/>
        <v>0.3170726024463334</v>
      </c>
      <c r="J33" s="9">
        <f t="shared" si="12"/>
        <v>0.31712191874764151</v>
      </c>
      <c r="K33" s="9">
        <f t="shared" si="12"/>
        <v>0.31642723514149906</v>
      </c>
      <c r="L33" s="9">
        <f t="shared" si="12"/>
        <v>0.31849661504070115</v>
      </c>
      <c r="M33" s="9">
        <f t="shared" si="8"/>
        <v>0.31768009507650574</v>
      </c>
      <c r="N33" s="9">
        <f t="shared" si="9"/>
        <v>1.9147056003759315E-3</v>
      </c>
      <c r="O33" s="9">
        <f t="shared" si="10"/>
        <v>0.31631049236179037</v>
      </c>
      <c r="P33" s="9">
        <f t="shared" si="11"/>
        <v>0.31904969779122111</v>
      </c>
    </row>
    <row r="36" spans="3:16" x14ac:dyDescent="0.3">
      <c r="C36" t="s">
        <v>15</v>
      </c>
      <c r="J36" t="s">
        <v>13</v>
      </c>
      <c r="K36" t="s">
        <v>14</v>
      </c>
      <c r="L36" t="s">
        <v>6</v>
      </c>
      <c r="M36" t="s">
        <v>7</v>
      </c>
    </row>
    <row r="37" spans="3:16" x14ac:dyDescent="0.3">
      <c r="C37" s="9">
        <f>C31</f>
        <v>0.31622283266069151</v>
      </c>
      <c r="D37" s="9">
        <f t="shared" ref="D37:E37" si="13">D31</f>
        <v>0.31925889928838203</v>
      </c>
      <c r="E37" s="9">
        <f t="shared" si="13"/>
        <v>0.3194810584373976</v>
      </c>
      <c r="F37" s="9" t="s">
        <v>16</v>
      </c>
      <c r="G37" s="9">
        <f>J31</f>
        <v>0.31548370193606301</v>
      </c>
      <c r="H37" s="9">
        <f>K31</f>
        <v>0.31528600179043831</v>
      </c>
      <c r="I37" s="9">
        <f>L31</f>
        <v>0.31987001256718506</v>
      </c>
      <c r="J37" s="9">
        <f>M31</f>
        <v>0.31773275538666074</v>
      </c>
      <c r="K37" s="9">
        <f t="shared" ref="K37:M37" si="14">N31</f>
        <v>1.7776086805231081E-3</v>
      </c>
      <c r="L37" s="9">
        <f t="shared" si="14"/>
        <v>0.31646121908673658</v>
      </c>
      <c r="M37" s="9">
        <f t="shared" si="14"/>
        <v>0.3190042916865849</v>
      </c>
    </row>
    <row r="38" spans="3:16" x14ac:dyDescent="0.3">
      <c r="C38" s="9">
        <f t="shared" ref="C38:E39" si="15">C32</f>
        <v>0.32142469487360348</v>
      </c>
      <c r="D38" s="9">
        <f t="shared" si="15"/>
        <v>0.31915426734458791</v>
      </c>
      <c r="E38" s="9">
        <f t="shared" si="15"/>
        <v>0.32013765996819138</v>
      </c>
      <c r="F38" s="9" t="s">
        <v>16</v>
      </c>
      <c r="G38" s="9">
        <f t="shared" ref="G38:I39" si="16">J32</f>
        <v>0.31858552981539201</v>
      </c>
      <c r="H38" s="9">
        <f t="shared" si="16"/>
        <v>0.31525561764578747</v>
      </c>
      <c r="I38" s="9">
        <f t="shared" si="16"/>
        <v>0.32016069502808137</v>
      </c>
      <c r="J38" s="9">
        <f t="shared" ref="J38:J39" si="17">M32</f>
        <v>0.31759560332893844</v>
      </c>
      <c r="K38" s="9">
        <f t="shared" ref="K38:K39" si="18">N32</f>
        <v>2.6722272858451853E-3</v>
      </c>
      <c r="L38" s="9">
        <f t="shared" ref="L38:L39" si="19">O32</f>
        <v>0.31568413989335259</v>
      </c>
      <c r="M38" s="9">
        <f t="shared" ref="M38:M39" si="20">P32</f>
        <v>0.31950706676452428</v>
      </c>
    </row>
    <row r="39" spans="3:16" x14ac:dyDescent="0.3">
      <c r="C39" s="9">
        <f t="shared" si="15"/>
        <v>0.3189561957346243</v>
      </c>
      <c r="D39" s="9">
        <f t="shared" si="15"/>
        <v>0.3216198728669164</v>
      </c>
      <c r="E39" s="9">
        <f t="shared" si="15"/>
        <v>0.31589765473939646</v>
      </c>
      <c r="F39" s="9" t="s">
        <v>16</v>
      </c>
      <c r="G39" s="9">
        <f t="shared" si="16"/>
        <v>0.31712191874764151</v>
      </c>
      <c r="H39" s="9">
        <f t="shared" si="16"/>
        <v>0.31642723514149906</v>
      </c>
      <c r="I39" s="9">
        <f t="shared" si="16"/>
        <v>0.31849661504070115</v>
      </c>
      <c r="J39" s="9">
        <f t="shared" si="17"/>
        <v>0.31768009507650574</v>
      </c>
      <c r="K39" s="9">
        <f t="shared" si="18"/>
        <v>1.9147056003759315E-3</v>
      </c>
      <c r="L39" s="9">
        <f t="shared" si="19"/>
        <v>0.31631049236179037</v>
      </c>
      <c r="M39" s="9">
        <f t="shared" si="20"/>
        <v>0.31904969779122111</v>
      </c>
    </row>
  </sheetData>
  <mergeCells count="8">
    <mergeCell ref="C1:L1"/>
    <mergeCell ref="C16:L16"/>
    <mergeCell ref="A18:A20"/>
    <mergeCell ref="A22:A24"/>
    <mergeCell ref="A26:A28"/>
    <mergeCell ref="A3:A5"/>
    <mergeCell ref="A7:A9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TotalWasteDisposed</vt:lpstr>
      <vt:lpstr>TravelTime</vt:lpstr>
      <vt:lpstr>Distance</vt:lpstr>
      <vt:lpstr>CO2</vt:lpstr>
      <vt:lpstr>DataForDissertation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Monzambe</dc:creator>
  <cp:lastModifiedBy>Magbiti Monzambe</cp:lastModifiedBy>
  <dcterms:created xsi:type="dcterms:W3CDTF">2026-02-02T09:38:23Z</dcterms:created>
  <dcterms:modified xsi:type="dcterms:W3CDTF">2026-02-04T07:44:20Z</dcterms:modified>
</cp:coreProperties>
</file>