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iovani Monzambe\Dropbox\My Dropbox Move\Documents\PhD RESEARCH\Dissertation and Notes\"/>
    </mc:Choice>
  </mc:AlternateContent>
  <bookViews>
    <workbookView xWindow="0" yWindow="0" windowWidth="23040" windowHeight="8556"/>
  </bookViews>
  <sheets>
    <sheet name="CS vs SS - Cluster details" sheetId="1" r:id="rId1"/>
    <sheet name="CS vs SS - Truck details" sheetId="2" r:id="rId2"/>
    <sheet name="Testing" sheetId="3" r:id="rId3"/>
    <sheet name="Param Variation Exp - CS" sheetId="4" r:id="rId4"/>
    <sheet name="Param Variation Exp - SS" sheetId="5" r:id="rId5"/>
    <sheet name="CS - Pivot Tables" sheetId="6" r:id="rId6"/>
    <sheet name="SS - Pivot Tables" sheetId="7" r:id="rId7"/>
  </sheets>
  <calcPr calcId="162913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3" i="7" l="1"/>
  <c r="J93" i="7"/>
  <c r="I93" i="7"/>
  <c r="J88" i="7"/>
  <c r="K82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K74" i="7"/>
  <c r="J74" i="7"/>
  <c r="I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K66" i="7"/>
  <c r="J66" i="7"/>
  <c r="I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K58" i="7"/>
  <c r="J58" i="7"/>
  <c r="I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K50" i="7"/>
  <c r="J50" i="7"/>
  <c r="I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K42" i="7"/>
  <c r="J42" i="7"/>
  <c r="I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I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I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I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K10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  <c r="K3" i="7"/>
  <c r="J3" i="7"/>
  <c r="I3" i="7"/>
  <c r="K2" i="7"/>
  <c r="J2" i="7"/>
  <c r="I2" i="7"/>
  <c r="K91" i="6"/>
  <c r="J91" i="6"/>
  <c r="I91" i="6"/>
  <c r="K90" i="6"/>
  <c r="J90" i="6"/>
  <c r="I90" i="6"/>
  <c r="K89" i="6"/>
  <c r="J89" i="6"/>
  <c r="I89" i="6"/>
  <c r="K88" i="6"/>
  <c r="J88" i="6"/>
  <c r="I88" i="6"/>
  <c r="K87" i="6"/>
  <c r="J87" i="6"/>
  <c r="I87" i="6"/>
  <c r="K86" i="6"/>
  <c r="J86" i="6"/>
  <c r="I86" i="6"/>
  <c r="K85" i="6"/>
  <c r="J85" i="6"/>
  <c r="I85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2" i="6"/>
  <c r="J8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2" i="6"/>
  <c r="K88" i="7" l="1"/>
  <c r="J89" i="7"/>
  <c r="I89" i="7"/>
  <c r="I86" i="7"/>
  <c r="J86" i="7"/>
  <c r="K91" i="7"/>
  <c r="K89" i="7"/>
  <c r="J90" i="7"/>
  <c r="J85" i="7"/>
  <c r="K90" i="7"/>
  <c r="K86" i="7"/>
  <c r="I87" i="7"/>
  <c r="J87" i="7"/>
  <c r="I90" i="7"/>
  <c r="I85" i="7"/>
  <c r="K85" i="7"/>
  <c r="I91" i="7"/>
  <c r="K87" i="7"/>
  <c r="I88" i="7"/>
  <c r="J91" i="7"/>
  <c r="H90" i="6"/>
  <c r="G90" i="6"/>
  <c r="F90" i="6"/>
  <c r="E90" i="6"/>
  <c r="D90" i="6"/>
  <c r="C90" i="6"/>
  <c r="H89" i="6"/>
  <c r="G89" i="6"/>
  <c r="F89" i="6"/>
  <c r="E89" i="6"/>
  <c r="D89" i="6"/>
  <c r="C89" i="6"/>
  <c r="B90" i="6"/>
  <c r="B89" i="6"/>
  <c r="H90" i="7"/>
  <c r="G90" i="7"/>
  <c r="F90" i="7"/>
  <c r="E90" i="7"/>
  <c r="D90" i="7"/>
  <c r="C90" i="7"/>
  <c r="H89" i="7"/>
  <c r="G89" i="7"/>
  <c r="F89" i="7"/>
  <c r="E89" i="7"/>
  <c r="D89" i="7"/>
  <c r="C89" i="7"/>
  <c r="B90" i="7"/>
  <c r="B89" i="7"/>
  <c r="H91" i="7" l="1"/>
  <c r="G91" i="7"/>
  <c r="F91" i="7"/>
  <c r="E91" i="7"/>
  <c r="D91" i="7"/>
  <c r="C91" i="7"/>
  <c r="B91" i="7"/>
  <c r="H88" i="7"/>
  <c r="G88" i="7"/>
  <c r="F88" i="7"/>
  <c r="E88" i="7"/>
  <c r="D88" i="7"/>
  <c r="C88" i="7"/>
  <c r="B88" i="7"/>
  <c r="H87" i="7"/>
  <c r="G87" i="7"/>
  <c r="F87" i="7"/>
  <c r="E87" i="7"/>
  <c r="D87" i="7"/>
  <c r="C87" i="7"/>
  <c r="B87" i="7"/>
  <c r="H86" i="7"/>
  <c r="G86" i="7"/>
  <c r="F86" i="7"/>
  <c r="E86" i="7"/>
  <c r="D86" i="7"/>
  <c r="C86" i="7"/>
  <c r="B86" i="7"/>
  <c r="H85" i="7"/>
  <c r="G85" i="7"/>
  <c r="F85" i="7"/>
  <c r="E85" i="7"/>
  <c r="D85" i="7"/>
  <c r="C85" i="7"/>
  <c r="B85" i="7"/>
  <c r="H91" i="6"/>
  <c r="G91" i="6"/>
  <c r="F91" i="6"/>
  <c r="H88" i="6"/>
  <c r="G88" i="6"/>
  <c r="F88" i="6"/>
  <c r="H87" i="6"/>
  <c r="G87" i="6"/>
  <c r="F87" i="6"/>
  <c r="H86" i="6"/>
  <c r="G86" i="6"/>
  <c r="F86" i="6"/>
  <c r="H85" i="6"/>
  <c r="G85" i="6"/>
  <c r="F85" i="6"/>
  <c r="E91" i="6"/>
  <c r="E88" i="6"/>
  <c r="E87" i="6"/>
  <c r="E86" i="6"/>
  <c r="E85" i="6"/>
  <c r="D91" i="6"/>
  <c r="D88" i="6"/>
  <c r="D87" i="6"/>
  <c r="D86" i="6"/>
  <c r="D85" i="6"/>
  <c r="C91" i="6"/>
  <c r="C88" i="6"/>
  <c r="C87" i="6"/>
  <c r="C86" i="6"/>
  <c r="C85" i="6"/>
  <c r="B91" i="6"/>
  <c r="B88" i="6"/>
  <c r="B87" i="6"/>
  <c r="B86" i="6"/>
  <c r="B85" i="6"/>
  <c r="S17" i="2"/>
  <c r="G17" i="2"/>
  <c r="Q17" i="2"/>
  <c r="E17" i="2"/>
  <c r="J26" i="2" l="1"/>
  <c r="G26" i="2"/>
  <c r="C24" i="2"/>
  <c r="D24" i="2"/>
  <c r="C21" i="2"/>
  <c r="W17" i="2"/>
  <c r="K17" i="2"/>
  <c r="V17" i="2"/>
  <c r="J17" i="2"/>
  <c r="D28" i="2"/>
  <c r="Q19" i="2"/>
  <c r="Q20" i="2" s="1"/>
  <c r="E20" i="2"/>
  <c r="E19" i="2"/>
  <c r="D27" i="2"/>
  <c r="D25" i="2" l="1"/>
  <c r="D22" i="2"/>
  <c r="D21" i="2"/>
  <c r="W19" i="2"/>
  <c r="V19" i="2"/>
  <c r="G16" i="2"/>
  <c r="I23" i="3"/>
  <c r="W18" i="2"/>
  <c r="V18" i="2"/>
  <c r="U18" i="2"/>
  <c r="T18" i="2"/>
  <c r="S18" i="2"/>
  <c r="Q18" i="2"/>
  <c r="O18" i="2"/>
  <c r="N18" i="2"/>
  <c r="W16" i="2"/>
  <c r="V16" i="2"/>
  <c r="U16" i="2"/>
  <c r="T16" i="2"/>
  <c r="S16" i="2"/>
  <c r="R16" i="2"/>
  <c r="Q16" i="2"/>
  <c r="P16" i="2"/>
  <c r="L16" i="1"/>
  <c r="M15" i="1"/>
  <c r="L15" i="1"/>
  <c r="K18" i="2"/>
  <c r="K19" i="2" s="1"/>
  <c r="J18" i="2"/>
  <c r="J19" i="2" s="1"/>
  <c r="I18" i="2"/>
  <c r="H18" i="2"/>
  <c r="G18" i="2"/>
  <c r="E18" i="2"/>
  <c r="C18" i="2"/>
  <c r="B18" i="2"/>
  <c r="K16" i="2"/>
  <c r="J16" i="2"/>
  <c r="I16" i="2"/>
  <c r="H16" i="2"/>
  <c r="F16" i="2"/>
  <c r="E16" i="2"/>
  <c r="D16" i="2"/>
  <c r="E16" i="1"/>
  <c r="F15" i="1"/>
  <c r="E15" i="1"/>
  <c r="B16" i="1"/>
  <c r="C15" i="1"/>
  <c r="B15" i="1"/>
</calcChain>
</file>

<file path=xl/sharedStrings.xml><?xml version="1.0" encoding="utf-8"?>
<sst xmlns="http://schemas.openxmlformats.org/spreadsheetml/2006/main" count="3285" uniqueCount="95">
  <si>
    <t>Cluster name</t>
  </si>
  <si>
    <t>Cumulative waste qty (m3)</t>
  </si>
  <si>
    <t>Avg cycle time(days)</t>
  </si>
  <si>
    <t>Uniepark</t>
  </si>
  <si>
    <t>Simonswyk</t>
  </si>
  <si>
    <t>Brandwacht</t>
  </si>
  <si>
    <t>Paradyskloof</t>
  </si>
  <si>
    <t>Jamestown</t>
  </si>
  <si>
    <t>Welgevonden</t>
  </si>
  <si>
    <t>Die Boord</t>
  </si>
  <si>
    <t>Idas Valley</t>
  </si>
  <si>
    <t>Cloetesville</t>
  </si>
  <si>
    <t>Kayamandi1</t>
  </si>
  <si>
    <t>Kayamandi2</t>
  </si>
  <si>
    <t>Truck ID</t>
  </si>
  <si>
    <t>Cum collection requests received</t>
  </si>
  <si>
    <t>Completed collection requests</t>
  </si>
  <si>
    <t>Avg collection requests queue length</t>
  </si>
  <si>
    <t>Total travel time (hrs)</t>
  </si>
  <si>
    <t>Avg filling level at disposal (m3)</t>
  </si>
  <si>
    <t>Total Waste Disposed</t>
  </si>
  <si>
    <t>Number of breakdowns</t>
  </si>
  <si>
    <t>Number of Maintenance</t>
  </si>
  <si>
    <t>Total Distance Travelled</t>
  </si>
  <si>
    <t>CO2 emission</t>
  </si>
  <si>
    <t>Truck 0</t>
  </si>
  <si>
    <t>Truck 1</t>
  </si>
  <si>
    <t>Truck 2</t>
  </si>
  <si>
    <t>Truck 3</t>
  </si>
  <si>
    <t>Truck 4</t>
  </si>
  <si>
    <t>Truck 5</t>
  </si>
  <si>
    <t>Truck 6</t>
  </si>
  <si>
    <t>Truck 7</t>
  </si>
  <si>
    <t>Truck 8</t>
  </si>
  <si>
    <t>Truck 9</t>
  </si>
  <si>
    <t>Truck 10</t>
  </si>
  <si>
    <t>Truck 11</t>
  </si>
  <si>
    <t>Conventional System</t>
  </si>
  <si>
    <t>Smart System</t>
  </si>
  <si>
    <t>AVG</t>
  </si>
  <si>
    <t>TOTAL</t>
  </si>
  <si>
    <t>No of signals 1 sent</t>
  </si>
  <si>
    <t>No of signals 2 sent</t>
  </si>
  <si>
    <t>Avg waste filling level in PUP (m3)</t>
  </si>
  <si>
    <t xml:space="preserve"> </t>
  </si>
  <si>
    <t>CS</t>
  </si>
  <si>
    <t>SS</t>
  </si>
  <si>
    <t>1 cluster - 1 PUP - 1 COLLECTION</t>
  </si>
  <si>
    <t>1 Cluster - 1 PUP - 30 days run</t>
  </si>
  <si>
    <t>1 cluster - 13 PUP - 30 days</t>
  </si>
  <si>
    <t>Conventional System Full Run</t>
  </si>
  <si>
    <t>Smart System Full Run</t>
  </si>
  <si>
    <t>KPI/m3</t>
  </si>
  <si>
    <t>change on distance</t>
  </si>
  <si>
    <t>change on distance/m3</t>
  </si>
  <si>
    <t>change on co2/m3</t>
  </si>
  <si>
    <t>change in ops time</t>
  </si>
  <si>
    <t>change in ops time/m3</t>
  </si>
  <si>
    <t>min/m3</t>
  </si>
  <si>
    <t>hr/m3</t>
  </si>
  <si>
    <t>Iteration No</t>
  </si>
  <si>
    <t>STD DEV</t>
  </si>
  <si>
    <t>cluster details</t>
  </si>
  <si>
    <t>truck details</t>
  </si>
  <si>
    <t>change on co2</t>
  </si>
  <si>
    <t>Trucks details</t>
  </si>
  <si>
    <t>Row Labels</t>
  </si>
  <si>
    <t>Waste Disposed</t>
  </si>
  <si>
    <t>collection requests</t>
  </si>
  <si>
    <t>Requests queue length</t>
  </si>
  <si>
    <t>Filling level</t>
  </si>
  <si>
    <t>Travel time (hrs)</t>
  </si>
  <si>
    <t>Travel Distance</t>
  </si>
  <si>
    <t>Total CO2 emission</t>
  </si>
  <si>
    <t>std Dev</t>
  </si>
  <si>
    <t>Min</t>
  </si>
  <si>
    <t>Max</t>
  </si>
  <si>
    <t>Q3</t>
  </si>
  <si>
    <t>Q1</t>
  </si>
  <si>
    <t>Q2</t>
  </si>
  <si>
    <t>Iter Num</t>
  </si>
  <si>
    <t>Fleet size</t>
  </si>
  <si>
    <t>Truck Cap</t>
  </si>
  <si>
    <t>PUP cap</t>
  </si>
  <si>
    <t>CO2 rate</t>
  </si>
  <si>
    <t>Iteration details</t>
  </si>
  <si>
    <t>Run time: 3889 sec</t>
  </si>
  <si>
    <t>Run time:</t>
  </si>
  <si>
    <t>sec</t>
  </si>
  <si>
    <t>Hours/m3</t>
  </si>
  <si>
    <t>km/m3</t>
  </si>
  <si>
    <t>kg/m3</t>
  </si>
  <si>
    <t>worst performance</t>
  </si>
  <si>
    <t>Best performance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</si>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</sst>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43" fontId="0" fillId="0" borderId="0" xfId="1" applyFont="1"/>
    <xf numFmtId="0" fontId="2" fillId="0" borderId="0" xfId="0" applyFont="1" applyAlignment="1"/>
    <xf numFmtId="0" fontId="3" fillId="0" borderId="0" xfId="0" applyFont="1"/>
    <xf numFmtId="43" fontId="3" fillId="0" borderId="0" xfId="1" applyFont="1"/>
    <xf numFmtId="2" fontId="0" fillId="0" borderId="0" xfId="0" applyNumberFormat="1"/>
    <xf numFmtId="0" fontId="0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43" fontId="0" fillId="0" borderId="0" xfId="1" applyFont="1" applyBorder="1"/>
    <xf numFmtId="0" fontId="0" fillId="0" borderId="4" xfId="0" applyBorder="1"/>
    <xf numFmtId="0" fontId="0" fillId="0" borderId="5" xfId="0" applyBorder="1"/>
    <xf numFmtId="43" fontId="0" fillId="0" borderId="4" xfId="1" applyFont="1" applyBorder="1"/>
    <xf numFmtId="164" fontId="0" fillId="0" borderId="0" xfId="2" applyNumberFormat="1" applyFont="1"/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  <xf numFmtId="9" fontId="0" fillId="0" borderId="0" xfId="2" applyNumberFormat="1" applyFont="1"/>
    <xf numFmtId="0" fontId="4" fillId="2" borderId="0" xfId="0" applyFont="1" applyFill="1"/>
    <xf numFmtId="2" fontId="5" fillId="0" borderId="0" xfId="0" applyNumberFormat="1" applyFont="1"/>
    <xf numFmtId="2" fontId="6" fillId="0" borderId="0" xfId="0" applyNumberFormat="1" applyFont="1"/>
    <xf numFmtId="9" fontId="3" fillId="0" borderId="0" xfId="2" applyFont="1"/>
    <xf numFmtId="0" fontId="6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0">
    <dxf>
      <numFmt numFmtId="35" formatCode="_-* #,##0.00_-;\-* #,##0.00_-;_-* &quot;-&quot;??_-;_-@_-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35" formatCode="_-* #,##0.00_-;\-* #,##0.00_-;_-* &quot;-&quot;??_-;_-@_-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iovani Monzambe" refreshedDate="45912.547844097222" createdVersion="6" refreshedVersion="6" minRefreshableVersion="3" recordCount="648">
  <cacheSource type="worksheet">
    <worksheetSource ref="F2:Q650" sheet="Param Variation Exp - CS"/>
  </cacheSource>
  <cacheFields count="12">
    <cacheField name="Iteration No" numFmtId="0">
      <sharedItems containsSemiMixedTypes="0" containsString="0" containsNumber="1" containsInteger="1" minValue="1" maxValue="81" count="8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</sharedItems>
    </cacheField>
    <cacheField name="Truck ID" numFmtId="0">
      <sharedItems/>
    </cacheField>
    <cacheField name="Cum collection requests received" numFmtId="0">
      <sharedItems containsSemiMixedTypes="0" containsString="0" containsNumber="1" containsInteger="1" minValue="0" maxValue="1306"/>
    </cacheField>
    <cacheField name="Completed collection requests" numFmtId="0">
      <sharedItems containsSemiMixedTypes="0" containsString="0" containsNumber="1" containsInteger="1" minValue="0" maxValue="1225"/>
    </cacheField>
    <cacheField name="Avg collection requests queue length" numFmtId="0">
      <sharedItems containsSemiMixedTypes="0" containsString="0" containsNumber="1" minValue="0" maxValue="88.769230769230703"/>
    </cacheField>
    <cacheField name="Total travel time (hrs)" numFmtId="0">
      <sharedItems containsSemiMixedTypes="0" containsString="0" containsNumber="1" minValue="0" maxValue="204.758993615457"/>
    </cacheField>
    <cacheField name="Avg filling level at disposal (m3)" numFmtId="0">
      <sharedItems containsSemiMixedTypes="0" containsString="0" containsNumber="1" minValue="5.7532156040272699" maxValue="16.024290706082599"/>
    </cacheField>
    <cacheField name="Total Waste Disposed" numFmtId="0">
      <sharedItems containsSemiMixedTypes="0" containsString="0" containsNumber="1" minValue="0" maxValue="425.93858724151301"/>
    </cacheField>
    <cacheField name="Number of breakdowns" numFmtId="0">
      <sharedItems containsSemiMixedTypes="0" containsString="0" containsNumber="1" containsInteger="1" minValue="0" maxValue="0"/>
    </cacheField>
    <cacheField name="Number of Maintenance" numFmtId="0">
      <sharedItems containsSemiMixedTypes="0" containsString="0" containsNumber="1" containsInteger="1" minValue="0" maxValue="0"/>
    </cacheField>
    <cacheField name="Total Distance Travelled" numFmtId="0">
      <sharedItems containsSemiMixedTypes="0" containsString="0" containsNumber="1" minValue="0" maxValue="2910.7558399999998"/>
    </cacheField>
    <cacheField name="CO2 emission" numFmtId="0">
      <sharedItems containsSemiMixedTypes="0" containsString="0" containsNumber="1" minValue="0" maxValue="2527.64074757399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iovani Monzambe" refreshedDate="45912.690593749998" createdVersion="6" refreshedVersion="6" minRefreshableVersion="3" recordCount="648">
  <cacheSource type="worksheet">
    <worksheetSource ref="G2:R650" sheet="Param Variation Exp - SS"/>
  </cacheSource>
  <cacheFields count="12">
    <cacheField name="Iteration No" numFmtId="0">
      <sharedItems containsSemiMixedTypes="0" containsString="0" containsNumber="1" containsInteger="1" minValue="1" maxValue="81" count="8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</sharedItems>
    </cacheField>
    <cacheField name="Truck ID" numFmtId="0">
      <sharedItems/>
    </cacheField>
    <cacheField name="Cum collection requests received" numFmtId="0">
      <sharedItems containsSemiMixedTypes="0" containsString="0" containsNumber="1" containsInteger="1" minValue="56" maxValue="137"/>
    </cacheField>
    <cacheField name="Completed collection requests" numFmtId="0">
      <sharedItems containsSemiMixedTypes="0" containsString="0" containsNumber="1" containsInteger="1" minValue="56" maxValue="137"/>
    </cacheField>
    <cacheField name="Avg collection requests queue length" numFmtId="0">
      <sharedItems containsSemiMixedTypes="0" containsString="0" containsNumber="1" minValue="5.21428571428571" maxValue="14.620437956204301"/>
    </cacheField>
    <cacheField name="Total travel time (hrs)" numFmtId="0">
      <sharedItems containsSemiMixedTypes="0" containsString="0" containsNumber="1" minValue="15.500214934443299" maxValue="24.250369998402601"/>
    </cacheField>
    <cacheField name="Avg filling level at disposal (m3)" numFmtId="0">
      <sharedItems containsSemiMixedTypes="0" containsString="0" containsNumber="1" minValue="12.7031786294987" maxValue="22.600118052859401"/>
    </cacheField>
    <cacheField name="Total Waste Disposed" numFmtId="0">
      <sharedItems containsSemiMixedTypes="0" containsString="0" containsNumber="1" minValue="77.542105279573704" maxValue="157.27781464222099"/>
    </cacheField>
    <cacheField name="Number of breakdowns" numFmtId="0">
      <sharedItems containsSemiMixedTypes="0" containsString="0" containsNumber="1" containsInteger="1" minValue="0" maxValue="0"/>
    </cacheField>
    <cacheField name="Number of Maintenance" numFmtId="0">
      <sharedItems containsSemiMixedTypes="0" containsString="0" containsNumber="1" containsInteger="1" minValue="0" maxValue="0"/>
    </cacheField>
    <cacheField name="Total Distance Travelled" numFmtId="0">
      <sharedItems containsSemiMixedTypes="0" containsString="0" containsNumber="1" minValue="184.710669" maxValue="318.70062106788299"/>
    </cacheField>
    <cacheField name="CO2 emission" numFmtId="0">
      <sharedItems containsSemiMixedTypes="0" containsString="0" containsNumber="1" minValue="170.73016729099899" maxValue="307.942525792105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8">
  <r>
    <x v="0"/>
    <s v="Truck 0"/>
    <n v="1078"/>
    <n v="1077"/>
    <n v="37.6669758812615"/>
    <n v="144.20420087458001"/>
    <n v="11.2121620667551"/>
    <n v="368.42664137901698"/>
    <n v="0"/>
    <n v="0"/>
    <n v="1983.04241199999"/>
    <n v="1769.7276929659999"/>
  </r>
  <r>
    <x v="0"/>
    <s v="Truck 1"/>
    <n v="1067"/>
    <n v="1067"/>
    <n v="37.233364573570697"/>
    <n v="141.60149675518801"/>
    <n v="11.2121620667551"/>
    <n v="359.63275835964799"/>
    <n v="0"/>
    <n v="0"/>
    <n v="1966.9802089999901"/>
    <n v="1746.8563813969899"/>
  </r>
  <r>
    <x v="0"/>
    <s v="Truck 2"/>
    <n v="714"/>
    <n v="714"/>
    <n v="35.275910364145602"/>
    <n v="96.718161063994799"/>
    <n v="11.2121620667551"/>
    <n v="240.26563534512599"/>
    <n v="0"/>
    <n v="0"/>
    <n v="1337.5833379999899"/>
    <n v="1188.543396024"/>
  </r>
  <r>
    <x v="0"/>
    <s v="Truck 3"/>
    <n v="714"/>
    <n v="714"/>
    <n v="35.275910364145602"/>
    <n v="95.096914845004903"/>
    <n v="11.2121620667551"/>
    <n v="242.58846812576101"/>
    <n v="0"/>
    <n v="0"/>
    <n v="1248.9576319999901"/>
    <n v="1110.201038448"/>
  </r>
  <r>
    <x v="0"/>
    <s v="Truck 4"/>
    <n v="0"/>
    <n v="0"/>
    <n v="0"/>
    <n v="0"/>
    <n v="11.2121620667551"/>
    <n v="0"/>
    <n v="0"/>
    <n v="0"/>
    <n v="0"/>
    <n v="0"/>
  </r>
  <r>
    <x v="0"/>
    <s v="Truck 5"/>
    <n v="0"/>
    <n v="0"/>
    <n v="0"/>
    <n v="0"/>
    <n v="11.2121620667551"/>
    <n v="0"/>
    <n v="0"/>
    <n v="0"/>
    <n v="0"/>
    <n v="0"/>
  </r>
  <r>
    <x v="0"/>
    <s v="Truck 6"/>
    <n v="0"/>
    <n v="0"/>
    <n v="0"/>
    <n v="0"/>
    <n v="11.2121620667551"/>
    <n v="0"/>
    <n v="0"/>
    <n v="0"/>
    <n v="0"/>
    <n v="0"/>
  </r>
  <r>
    <x v="0"/>
    <s v="Truck 7"/>
    <n v="0"/>
    <n v="0"/>
    <n v="0"/>
    <n v="0"/>
    <n v="11.2121620667551"/>
    <n v="0"/>
    <n v="0"/>
    <n v="0"/>
    <n v="0"/>
    <n v="0"/>
  </r>
  <r>
    <x v="1"/>
    <s v="Truck 0"/>
    <n v="1078"/>
    <n v="1077"/>
    <n v="37.6669758812615"/>
    <n v="144.88121547813199"/>
    <n v="11.010459635070101"/>
    <n v="367.17349703792001"/>
    <n v="0"/>
    <n v="0"/>
    <n v="1990.59882299999"/>
    <n v="1772.729740663"/>
  </r>
  <r>
    <x v="1"/>
    <s v="Truck 1"/>
    <n v="1067"/>
    <n v="1067"/>
    <n v="37.233364573570697"/>
    <n v="145.26192012530399"/>
    <n v="11.010459635070101"/>
    <n v="362.57892004752699"/>
    <n v="0"/>
    <n v="0"/>
    <n v="2009.5409359999901"/>
    <n v="1781.76081180199"/>
  </r>
  <r>
    <x v="1"/>
    <s v="Truck 2"/>
    <n v="714"/>
    <n v="714"/>
    <n v="35.275910364145602"/>
    <n v="96.865185674774295"/>
    <n v="11.010459635070101"/>
    <n v="239.508561948173"/>
    <n v="0"/>
    <n v="0"/>
    <n v="1336.37798199999"/>
    <n v="1187.27173361"/>
  </r>
  <r>
    <x v="1"/>
    <s v="Truck 3"/>
    <n v="714"/>
    <n v="714"/>
    <n v="35.275910364145602"/>
    <n v="94.870171256343696"/>
    <n v="11.010459635070101"/>
    <n v="241.88958082409201"/>
    <n v="0"/>
    <n v="0"/>
    <n v="1248.09702299999"/>
    <n v="1108.8835216350001"/>
  </r>
  <r>
    <x v="1"/>
    <s v="Truck 4"/>
    <n v="0"/>
    <n v="0"/>
    <n v="0"/>
    <n v="0"/>
    <n v="11.010459635070101"/>
    <n v="0"/>
    <n v="0"/>
    <n v="0"/>
    <n v="0"/>
    <n v="0"/>
  </r>
  <r>
    <x v="1"/>
    <s v="Truck 5"/>
    <n v="0"/>
    <n v="0"/>
    <n v="0"/>
    <n v="0"/>
    <n v="11.010459635070101"/>
    <n v="0"/>
    <n v="0"/>
    <n v="0"/>
    <n v="0"/>
    <n v="0"/>
  </r>
  <r>
    <x v="1"/>
    <s v="Truck 6"/>
    <n v="0"/>
    <n v="0"/>
    <n v="0"/>
    <n v="0"/>
    <n v="11.010459635070101"/>
    <n v="0"/>
    <n v="0"/>
    <n v="0"/>
    <n v="0"/>
    <n v="0"/>
  </r>
  <r>
    <x v="1"/>
    <s v="Truck 7"/>
    <n v="0"/>
    <n v="0"/>
    <n v="0"/>
    <n v="0"/>
    <n v="11.010459635070101"/>
    <n v="0"/>
    <n v="0"/>
    <n v="0"/>
    <n v="0"/>
    <n v="0"/>
  </r>
  <r>
    <x v="2"/>
    <s v="Truck 0"/>
    <n v="1078"/>
    <n v="1075"/>
    <n v="37.6669758812615"/>
    <n v="145.465527003142"/>
    <n v="11.2237167873262"/>
    <n v="367.81427167456098"/>
    <n v="0"/>
    <n v="0"/>
    <n v="1991.48095299999"/>
    <n v="1775.6728603399999"/>
  </r>
  <r>
    <x v="2"/>
    <s v="Truck 1"/>
    <n v="1067"/>
    <n v="1067"/>
    <n v="37.233364573570697"/>
    <n v="142.04526381383999"/>
    <n v="11.2237167873262"/>
    <n v="360.56469187588698"/>
    <n v="0"/>
    <n v="0"/>
    <n v="1980.8992989999899"/>
    <n v="1759.57757878999"/>
  </r>
  <r>
    <x v="2"/>
    <s v="Truck 2"/>
    <n v="714"/>
    <n v="714"/>
    <n v="35.275910364145602"/>
    <n v="96.599726128737302"/>
    <n v="11.2237167873262"/>
    <n v="241.349987661211"/>
    <n v="0"/>
    <n v="0"/>
    <n v="1342.94339699999"/>
    <n v="1194.09421647"/>
  </r>
  <r>
    <x v="2"/>
    <s v="Truck 3"/>
    <n v="714"/>
    <n v="714"/>
    <n v="35.275910364145602"/>
    <n v="95.575800693091395"/>
    <n v="11.2237167873262"/>
    <n v="242.432461819574"/>
    <n v="0"/>
    <n v="0"/>
    <n v="1249.2379389999901"/>
    <n v="1109.6932592170001"/>
  </r>
  <r>
    <x v="2"/>
    <s v="Truck 4"/>
    <n v="0"/>
    <n v="0"/>
    <n v="0"/>
    <n v="0"/>
    <n v="11.2237167873262"/>
    <n v="0"/>
    <n v="0"/>
    <n v="0"/>
    <n v="0"/>
    <n v="0"/>
  </r>
  <r>
    <x v="2"/>
    <s v="Truck 5"/>
    <n v="0"/>
    <n v="0"/>
    <n v="0"/>
    <n v="0"/>
    <n v="11.2237167873262"/>
    <n v="0"/>
    <n v="0"/>
    <n v="0"/>
    <n v="0"/>
    <n v="0"/>
  </r>
  <r>
    <x v="2"/>
    <s v="Truck 6"/>
    <n v="0"/>
    <n v="0"/>
    <n v="0"/>
    <n v="0"/>
    <n v="11.2237167873262"/>
    <n v="0"/>
    <n v="0"/>
    <n v="0"/>
    <n v="0"/>
    <n v="0"/>
  </r>
  <r>
    <x v="2"/>
    <s v="Truck 7"/>
    <n v="0"/>
    <n v="0"/>
    <n v="0"/>
    <n v="0"/>
    <n v="11.2237167873262"/>
    <n v="0"/>
    <n v="0"/>
    <n v="0"/>
    <n v="0"/>
    <n v="0"/>
  </r>
  <r>
    <x v="3"/>
    <s v="Truck 0"/>
    <n v="1302"/>
    <n v="1221"/>
    <n v="78.582949308755701"/>
    <n v="204.29804160874301"/>
    <n v="5.8326613246757502"/>
    <n v="421.16684582695598"/>
    <n v="0"/>
    <n v="0"/>
    <n v="2887.2352989999999"/>
    <n v="2508.7293062879899"/>
  </r>
  <r>
    <x v="3"/>
    <s v="Truck 1"/>
    <n v="1138"/>
    <n v="1134"/>
    <n v="71.623022847100103"/>
    <n v="200.648557445991"/>
    <n v="5.8326613246757502"/>
    <n v="382.52949339613701"/>
    <n v="0"/>
    <n v="0"/>
    <n v="2798.7146830000002"/>
    <n v="2417.9069333039902"/>
  </r>
  <r>
    <x v="3"/>
    <s v="Truck 2"/>
    <n v="697"/>
    <n v="697"/>
    <n v="88.058823529411697"/>
    <n v="112.710494365877"/>
    <n v="5.8326613246757502"/>
    <n v="190.22273646001901"/>
    <n v="0"/>
    <n v="0"/>
    <n v="1297.2626359999899"/>
    <n v="1109.5235997459899"/>
  </r>
  <r>
    <x v="3"/>
    <s v="Truck 3"/>
    <n v="692"/>
    <n v="692"/>
    <n v="87.419075144508597"/>
    <n v="112.077946187232"/>
    <n v="5.8326613246757502"/>
    <n v="189.29118078943901"/>
    <n v="0"/>
    <n v="0"/>
    <n v="1311.20135799999"/>
    <n v="1121.6140943539999"/>
  </r>
  <r>
    <x v="4"/>
    <s v="Truck 0"/>
    <n v="1306"/>
    <n v="1225"/>
    <n v="78.965543644716604"/>
    <n v="204.758993615457"/>
    <n v="5.7532156040272699"/>
    <n v="420.35451515729198"/>
    <n v="0"/>
    <n v="0"/>
    <n v="2910.7558399999998"/>
    <n v="2526.75864821399"/>
  </r>
  <r>
    <x v="4"/>
    <s v="Truck 1"/>
    <n v="1143"/>
    <n v="1139"/>
    <n v="72.201224846894107"/>
    <n v="201.36484457014799"/>
    <n v="5.7532156040272699"/>
    <n v="384.50211334826503"/>
    <n v="0"/>
    <n v="0"/>
    <n v="2833.5685790000002"/>
    <n v="2448.0191579519901"/>
  </r>
  <r>
    <x v="4"/>
    <s v="Truck 2"/>
    <n v="696"/>
    <n v="696"/>
    <n v="87.9152298850574"/>
    <n v="113.399318937774"/>
    <n v="5.7532156040272699"/>
    <n v="190.15785052515599"/>
    <n v="0"/>
    <n v="0"/>
    <n v="1312.2849649999901"/>
    <n v="1119.795259941"/>
  </r>
  <r>
    <x v="4"/>
    <s v="Truck 3"/>
    <n v="691"/>
    <n v="691"/>
    <n v="87.279305354558602"/>
    <n v="111.231131892677"/>
    <n v="5.7532156040272699"/>
    <n v="190.14793539890201"/>
    <n v="0"/>
    <n v="0"/>
    <n v="1301.9089289999899"/>
    <n v="1113.41621538799"/>
  </r>
  <r>
    <x v="5"/>
    <s v="Truck 0"/>
    <n v="1300"/>
    <n v="1219"/>
    <n v="78.386153846153803"/>
    <n v="204.08933870890999"/>
    <n v="5.77948345780257"/>
    <n v="420.69176682099197"/>
    <n v="0"/>
    <n v="0"/>
    <n v="2885.8749090000001"/>
    <n v="2507.4010639849898"/>
  </r>
  <r>
    <x v="5"/>
    <s v="Truck 1"/>
    <n v="1136"/>
    <n v="1132"/>
    <n v="71.3908450704225"/>
    <n v="201.141410811307"/>
    <n v="5.77948345780257"/>
    <n v="386.03151555770398"/>
    <n v="0"/>
    <n v="0"/>
    <n v="2808.408664"/>
    <n v="2428.3292650979902"/>
  </r>
  <r>
    <x v="5"/>
    <s v="Truck 2"/>
    <n v="694"/>
    <n v="694"/>
    <n v="87.632564841498507"/>
    <n v="112.714035534522"/>
    <n v="5.77948345780257"/>
    <n v="188.73787529025299"/>
    <n v="0"/>
    <n v="0"/>
    <n v="1312.27439999999"/>
    <n v="1121.1413573249899"/>
  </r>
  <r>
    <x v="5"/>
    <s v="Truck 3"/>
    <n v="690"/>
    <n v="690"/>
    <n v="87.171014492753599"/>
    <n v="111.59512924592001"/>
    <n v="5.77948345780257"/>
    <n v="189.332951180577"/>
    <n v="0"/>
    <n v="0"/>
    <n v="1303.24950899999"/>
    <n v="1114.6192660709901"/>
  </r>
  <r>
    <x v="6"/>
    <s v="Truck 0"/>
    <n v="1299"/>
    <n v="1218"/>
    <n v="78.290223248652794"/>
    <n v="204.46580897326101"/>
    <n v="5.7793060788179904"/>
    <n v="421.643198388153"/>
    <n v="0"/>
    <n v="0"/>
    <n v="2891.0899089999998"/>
    <n v="2514.39349119699"/>
  </r>
  <r>
    <x v="6"/>
    <s v="Truck 1"/>
    <n v="1135"/>
    <n v="1131"/>
    <n v="71.276651982378795"/>
    <n v="199.82949241280801"/>
    <n v="5.7793060788179904"/>
    <n v="384.07974062506202"/>
    <n v="0"/>
    <n v="0"/>
    <n v="2796.8631970000001"/>
    <n v="2417.8713349679902"/>
  </r>
  <r>
    <x v="6"/>
    <s v="Truck 2"/>
    <n v="701"/>
    <n v="701"/>
    <n v="88.626248216833005"/>
    <n v="113.31466275408199"/>
    <n v="5.7793060788179904"/>
    <n v="189.267756159371"/>
    <n v="0"/>
    <n v="0"/>
    <n v="1322.4568259999901"/>
    <n v="1130.5972742929901"/>
  </r>
  <r>
    <x v="6"/>
    <s v="Truck 3"/>
    <n v="696"/>
    <n v="696"/>
    <n v="87.987068965517196"/>
    <n v="111.88020139654"/>
    <n v="5.7793060788179904"/>
    <n v="189.767050985103"/>
    <n v="0"/>
    <n v="0"/>
    <n v="1309.9998799999901"/>
    <n v="1120.8303686089901"/>
  </r>
  <r>
    <x v="7"/>
    <s v="Truck 0"/>
    <n v="1298"/>
    <n v="1216"/>
    <n v="78.194915254237202"/>
    <n v="202.87363324319099"/>
    <n v="5.7545685637030299"/>
    <n v="417.80409494828803"/>
    <n v="0"/>
    <n v="0"/>
    <n v="2883.3819449999901"/>
    <n v="2503.2392003109899"/>
  </r>
  <r>
    <x v="7"/>
    <s v="Truck 1"/>
    <n v="1134"/>
    <n v="1132"/>
    <n v="71.161375661375601"/>
    <n v="201.89709370775"/>
    <n v="5.7545685637030299"/>
    <n v="387.561949307693"/>
    <n v="0"/>
    <n v="0"/>
    <n v="2820.0301840000002"/>
    <n v="2435.5899097809902"/>
  </r>
  <r>
    <x v="7"/>
    <s v="Truck 2"/>
    <n v="697"/>
    <n v="697"/>
    <n v="88.064562410329899"/>
    <n v="112.60295006149001"/>
    <n v="5.7545685637030299"/>
    <n v="190.683456436688"/>
    <n v="0"/>
    <n v="0"/>
    <n v="1298.74189999999"/>
    <n v="1109.1920653939901"/>
  </r>
  <r>
    <x v="7"/>
    <s v="Truck 3"/>
    <n v="692"/>
    <n v="692"/>
    <n v="87.430635838150295"/>
    <n v="112.106589011276"/>
    <n v="5.7545685637030299"/>
    <n v="189.391623430154"/>
    <n v="0"/>
    <n v="0"/>
    <n v="1301.02422999999"/>
    <n v="1112.938402042"/>
  </r>
  <r>
    <x v="8"/>
    <s v="Truck 0"/>
    <n v="1300"/>
    <n v="1217"/>
    <n v="78.390769230769195"/>
    <n v="204.55129695718401"/>
    <n v="5.7863380231603401"/>
    <n v="419.87064188854401"/>
    <n v="0"/>
    <n v="0"/>
    <n v="2877.009192"/>
    <n v="2499.6022367379901"/>
  </r>
  <r>
    <x v="8"/>
    <s v="Truck 1"/>
    <n v="1135"/>
    <n v="1132"/>
    <n v="71.283700440528605"/>
    <n v="200.33740934777001"/>
    <n v="5.7863380231603401"/>
    <n v="385.78509128401902"/>
    <n v="0"/>
    <n v="0"/>
    <n v="2810.1180690000001"/>
    <n v="2432.49023290899"/>
  </r>
  <r>
    <x v="8"/>
    <s v="Truck 2"/>
    <n v="696"/>
    <n v="696"/>
    <n v="87.913793103448199"/>
    <n v="112.372812159001"/>
    <n v="5.7863380231603401"/>
    <n v="188.71376865467599"/>
    <n v="0"/>
    <n v="0"/>
    <n v="1302.4389879999901"/>
    <n v="1111.4514482529901"/>
  </r>
  <r>
    <x v="8"/>
    <s v="Truck 3"/>
    <n v="691"/>
    <n v="691"/>
    <n v="87.276410998552805"/>
    <n v="112.42409936373301"/>
    <n v="5.7863380231603401"/>
    <n v="191.82979292063001"/>
    <n v="0"/>
    <n v="0"/>
    <n v="1308.6266519999899"/>
    <n v="1119.815119931"/>
  </r>
  <r>
    <x v="9"/>
    <s v="Truck 0"/>
    <n v="1078"/>
    <n v="1077"/>
    <n v="37.6669758812615"/>
    <n v="144.90656180873501"/>
    <n v="11.155320600271899"/>
    <n v="367.81178525862498"/>
    <n v="0"/>
    <n v="0"/>
    <n v="1991.7048709999899"/>
    <n v="1774.785072205"/>
  </r>
  <r>
    <x v="9"/>
    <s v="Truck 1"/>
    <n v="1067"/>
    <n v="1067"/>
    <n v="37.233364573570697"/>
    <n v="143.69325681227801"/>
    <n v="11.155320600271899"/>
    <n v="361.42993757652499"/>
    <n v="0"/>
    <n v="0"/>
    <n v="1993.09131399999"/>
    <n v="1768.27469657399"/>
  </r>
  <r>
    <x v="9"/>
    <s v="Truck 2"/>
    <n v="714"/>
    <n v="714"/>
    <n v="35.275910364145602"/>
    <n v="96.374390670639301"/>
    <n v="11.155320600271899"/>
    <n v="242.17511917227401"/>
    <n v="0"/>
    <n v="0"/>
    <n v="1335.52020699999"/>
    <n v="1188.3465145780001"/>
  </r>
  <r>
    <x v="9"/>
    <s v="Truck 3"/>
    <n v="714"/>
    <n v="714"/>
    <n v="35.275910364145602"/>
    <n v="95.545291528118796"/>
    <n v="11.155320600271899"/>
    <n v="244.51310342221899"/>
    <n v="0"/>
    <n v="0"/>
    <n v="1244.9374439999899"/>
    <n v="1106.959758961"/>
  </r>
  <r>
    <x v="9"/>
    <s v="Truck 4"/>
    <n v="0"/>
    <n v="0"/>
    <n v="0"/>
    <n v="0"/>
    <n v="11.155320600271899"/>
    <n v="0"/>
    <n v="0"/>
    <n v="0"/>
    <n v="0"/>
    <n v="0"/>
  </r>
  <r>
    <x v="9"/>
    <s v="Truck 5"/>
    <n v="0"/>
    <n v="0"/>
    <n v="0"/>
    <n v="0"/>
    <n v="11.155320600271899"/>
    <n v="0"/>
    <n v="0"/>
    <n v="0"/>
    <n v="0"/>
    <n v="0"/>
  </r>
  <r>
    <x v="9"/>
    <s v="Truck 6"/>
    <n v="0"/>
    <n v="0"/>
    <n v="0"/>
    <n v="0"/>
    <n v="11.155320600271899"/>
    <n v="0"/>
    <n v="0"/>
    <n v="0"/>
    <n v="0"/>
    <n v="0"/>
  </r>
  <r>
    <x v="9"/>
    <s v="Truck 7"/>
    <n v="0"/>
    <n v="0"/>
    <n v="0"/>
    <n v="0"/>
    <n v="11.155320600271899"/>
    <n v="0"/>
    <n v="0"/>
    <n v="0"/>
    <n v="0"/>
    <n v="0"/>
  </r>
  <r>
    <x v="10"/>
    <s v="Truck 0"/>
    <n v="1078"/>
    <n v="1078"/>
    <n v="37.6669758812615"/>
    <n v="145.24207718088101"/>
    <n v="11.256823585639999"/>
    <n v="369.06393840130397"/>
    <n v="0"/>
    <n v="0"/>
    <n v="1992.6476599999901"/>
    <n v="1778.361324257"/>
  </r>
  <r>
    <x v="10"/>
    <s v="Truck 1"/>
    <n v="1067"/>
    <n v="1067"/>
    <n v="37.233364573570697"/>
    <n v="142.50208708513699"/>
    <n v="11.256823585639999"/>
    <n v="360.94147295207603"/>
    <n v="0"/>
    <n v="0"/>
    <n v="1981.9385089999901"/>
    <n v="1762.20329293499"/>
  </r>
  <r>
    <x v="10"/>
    <s v="Truck 2"/>
    <n v="714"/>
    <n v="714"/>
    <n v="35.275910364145602"/>
    <n v="96.813678688603403"/>
    <n v="11.256823585639999"/>
    <n v="242.96439057155399"/>
    <n v="0"/>
    <n v="0"/>
    <n v="1334.90538699999"/>
    <n v="1187.723007087"/>
  </r>
  <r>
    <x v="10"/>
    <s v="Truck 3"/>
    <n v="714"/>
    <n v="714"/>
    <n v="35.275910364145602"/>
    <n v="95.219618621554304"/>
    <n v="11.256823585639999"/>
    <n v="242.76714532419001"/>
    <n v="0"/>
    <n v="0"/>
    <n v="1248.3145479999901"/>
    <n v="1107.5804667980001"/>
  </r>
  <r>
    <x v="10"/>
    <s v="Truck 4"/>
    <n v="0"/>
    <n v="0"/>
    <n v="0"/>
    <n v="0"/>
    <n v="11.256823585639999"/>
    <n v="0"/>
    <n v="0"/>
    <n v="0"/>
    <n v="0"/>
    <n v="0"/>
  </r>
  <r>
    <x v="10"/>
    <s v="Truck 5"/>
    <n v="0"/>
    <n v="0"/>
    <n v="0"/>
    <n v="0"/>
    <n v="11.256823585639999"/>
    <n v="0"/>
    <n v="0"/>
    <n v="0"/>
    <n v="0"/>
    <n v="0"/>
  </r>
  <r>
    <x v="10"/>
    <s v="Truck 6"/>
    <n v="0"/>
    <n v="0"/>
    <n v="0"/>
    <n v="0"/>
    <n v="11.256823585639999"/>
    <n v="0"/>
    <n v="0"/>
    <n v="0"/>
    <n v="0"/>
    <n v="0"/>
  </r>
  <r>
    <x v="10"/>
    <s v="Truck 7"/>
    <n v="0"/>
    <n v="0"/>
    <n v="0"/>
    <n v="0"/>
    <n v="11.256823585639999"/>
    <n v="0"/>
    <n v="0"/>
    <n v="0"/>
    <n v="0"/>
    <n v="0"/>
  </r>
  <r>
    <x v="11"/>
    <s v="Truck 0"/>
    <n v="1078"/>
    <n v="1078"/>
    <n v="37.6669758812615"/>
    <n v="144.61267132768299"/>
    <n v="11.252643196527201"/>
    <n v="370.49352986692401"/>
    <n v="0"/>
    <n v="0"/>
    <n v="1993.23647599999"/>
    <n v="1775.431721062"/>
  </r>
  <r>
    <x v="11"/>
    <s v="Truck 1"/>
    <n v="1067"/>
    <n v="1067"/>
    <n v="37.233364573570697"/>
    <n v="141.932173226315"/>
    <n v="11.252643196527201"/>
    <n v="359.719545046603"/>
    <n v="0"/>
    <n v="0"/>
    <n v="1981.8291509999899"/>
    <n v="1762.1437240809901"/>
  </r>
  <r>
    <x v="11"/>
    <s v="Truck 2"/>
    <n v="714"/>
    <n v="714"/>
    <n v="35.275910364145602"/>
    <n v="97.037751192417602"/>
    <n v="11.252643196527201"/>
    <n v="241.15245550969399"/>
    <n v="0"/>
    <n v="0"/>
    <n v="1336.9023989999901"/>
    <n v="1187.1653968799999"/>
  </r>
  <r>
    <x v="11"/>
    <s v="Truck 3"/>
    <n v="714"/>
    <n v="714"/>
    <n v="35.275910364145602"/>
    <n v="95.851261148918397"/>
    <n v="11.252643196527201"/>
    <n v="243.91993480172101"/>
    <n v="0"/>
    <n v="0"/>
    <n v="1248.38934499999"/>
    <n v="1109.412317622"/>
  </r>
  <r>
    <x v="11"/>
    <s v="Truck 4"/>
    <n v="0"/>
    <n v="0"/>
    <n v="0"/>
    <n v="0"/>
    <n v="11.252643196527201"/>
    <n v="0"/>
    <n v="0"/>
    <n v="0"/>
    <n v="0"/>
    <n v="0"/>
  </r>
  <r>
    <x v="11"/>
    <s v="Truck 5"/>
    <n v="0"/>
    <n v="0"/>
    <n v="0"/>
    <n v="0"/>
    <n v="11.252643196527201"/>
    <n v="0"/>
    <n v="0"/>
    <n v="0"/>
    <n v="0"/>
    <n v="0"/>
  </r>
  <r>
    <x v="11"/>
    <s v="Truck 6"/>
    <n v="0"/>
    <n v="0"/>
    <n v="0"/>
    <n v="0"/>
    <n v="11.252643196527201"/>
    <n v="0"/>
    <n v="0"/>
    <n v="0"/>
    <n v="0"/>
    <n v="0"/>
  </r>
  <r>
    <x v="11"/>
    <s v="Truck 7"/>
    <n v="0"/>
    <n v="0"/>
    <n v="0"/>
    <n v="0"/>
    <n v="11.252643196527201"/>
    <n v="0"/>
    <n v="0"/>
    <n v="0"/>
    <n v="0"/>
    <n v="0"/>
  </r>
  <r>
    <x v="12"/>
    <s v="Truck 0"/>
    <n v="1078"/>
    <n v="1078"/>
    <n v="37.6669758812615"/>
    <n v="144.47490821841399"/>
    <n v="11.235240031692401"/>
    <n v="368.622019357135"/>
    <n v="0"/>
    <n v="0"/>
    <n v="1985.9410209999901"/>
    <n v="1772.8138769550001"/>
  </r>
  <r>
    <x v="12"/>
    <s v="Truck 1"/>
    <n v="1067"/>
    <n v="1067"/>
    <n v="37.233364573570697"/>
    <n v="142.25698607401901"/>
    <n v="11.235240031692401"/>
    <n v="361.32616955386101"/>
    <n v="0"/>
    <n v="0"/>
    <n v="1977.7044189999899"/>
    <n v="1759.4078267119901"/>
  </r>
  <r>
    <x v="12"/>
    <s v="Truck 2"/>
    <n v="714"/>
    <n v="714"/>
    <n v="35.275910364145602"/>
    <n v="96.678699053279402"/>
    <n v="11.235240031692401"/>
    <n v="240.69181189372699"/>
    <n v="0"/>
    <n v="0"/>
    <n v="1336.1953449999901"/>
    <n v="1186.4922232020001"/>
  </r>
  <r>
    <x v="12"/>
    <s v="Truck 3"/>
    <n v="714"/>
    <n v="714"/>
    <n v="35.275910364145602"/>
    <n v="95.246100568923296"/>
    <n v="11.235240031692401"/>
    <n v="242.765922618057"/>
    <n v="0"/>
    <n v="0"/>
    <n v="1248.9786219999901"/>
    <n v="1109.893820797"/>
  </r>
  <r>
    <x v="12"/>
    <s v="Truck 4"/>
    <n v="0"/>
    <n v="0"/>
    <n v="0"/>
    <n v="0"/>
    <n v="11.235240031692401"/>
    <n v="0"/>
    <n v="0"/>
    <n v="0"/>
    <n v="0"/>
    <n v="0"/>
  </r>
  <r>
    <x v="12"/>
    <s v="Truck 5"/>
    <n v="0"/>
    <n v="0"/>
    <n v="0"/>
    <n v="0"/>
    <n v="11.235240031692401"/>
    <n v="0"/>
    <n v="0"/>
    <n v="0"/>
    <n v="0"/>
    <n v="0"/>
  </r>
  <r>
    <x v="12"/>
    <s v="Truck 6"/>
    <n v="0"/>
    <n v="0"/>
    <n v="0"/>
    <n v="0"/>
    <n v="11.235240031692401"/>
    <n v="0"/>
    <n v="0"/>
    <n v="0"/>
    <n v="0"/>
    <n v="0"/>
  </r>
  <r>
    <x v="12"/>
    <s v="Truck 7"/>
    <n v="0"/>
    <n v="0"/>
    <n v="0"/>
    <n v="0"/>
    <n v="11.235240031692401"/>
    <n v="0"/>
    <n v="0"/>
    <n v="0"/>
    <n v="0"/>
    <n v="0"/>
  </r>
  <r>
    <x v="13"/>
    <s v="Truck 0"/>
    <n v="1300"/>
    <n v="1219"/>
    <n v="78.386153846153803"/>
    <n v="203.39797777182"/>
    <n v="5.7937599489934497"/>
    <n v="419.185981918842"/>
    <n v="0"/>
    <n v="0"/>
    <n v="2902.5676440000002"/>
    <n v="2520.21754843699"/>
  </r>
  <r>
    <x v="13"/>
    <s v="Truck 1"/>
    <n v="1137"/>
    <n v="1134"/>
    <n v="71.505716798592701"/>
    <n v="201.876179298756"/>
    <n v="5.7937599489934497"/>
    <n v="386.79681350514102"/>
    <n v="0"/>
    <n v="0"/>
    <n v="2801.6463799999901"/>
    <n v="2423.4374322929898"/>
  </r>
  <r>
    <x v="13"/>
    <s v="Truck 2"/>
    <n v="698"/>
    <n v="698"/>
    <n v="88.203438395415404"/>
    <n v="112.729758402507"/>
    <n v="5.7937599489934497"/>
    <n v="191.60657249466701"/>
    <n v="0"/>
    <n v="0"/>
    <n v="1308.29580099999"/>
    <n v="1118.1520529969901"/>
  </r>
  <r>
    <x v="13"/>
    <s v="Truck 3"/>
    <n v="693"/>
    <n v="693"/>
    <n v="87.568542568542497"/>
    <n v="112.426043206389"/>
    <n v="5.7937599489934497"/>
    <n v="189.45938548240699"/>
    <n v="0"/>
    <n v="0"/>
    <n v="1305.0563479999901"/>
    <n v="1116.5711268759901"/>
  </r>
  <r>
    <x v="14"/>
    <s v="Truck 0"/>
    <n v="1300"/>
    <n v="1218"/>
    <n v="78.386153846153803"/>
    <n v="204.717997738706"/>
    <n v="5.7725288746473504"/>
    <n v="420.46148183680498"/>
    <n v="0"/>
    <n v="0"/>
    <n v="2905.7972180000002"/>
    <n v="2527.6407475739902"/>
  </r>
  <r>
    <x v="14"/>
    <s v="Truck 1"/>
    <n v="1001"/>
    <n v="998"/>
    <n v="71.7822177822177"/>
    <n v="176.505138904641"/>
    <n v="5.7725288746473504"/>
    <n v="314.390671421913"/>
    <n v="0"/>
    <n v="0"/>
    <n v="2464.1468059999902"/>
    <n v="2127.0344303659999"/>
  </r>
  <r>
    <x v="14"/>
    <s v="Truck 2"/>
    <n v="828"/>
    <n v="828"/>
    <n v="84.373188405797094"/>
    <n v="137.310656708332"/>
    <n v="5.7725288746473504"/>
    <n v="260.21645491536998"/>
    <n v="0"/>
    <n v="0"/>
    <n v="1650.1527859999901"/>
    <n v="1414.340954731"/>
  </r>
  <r>
    <x v="14"/>
    <s v="Truck 3"/>
    <n v="690"/>
    <n v="690"/>
    <n v="87.136231884057906"/>
    <n v="112.292106176888"/>
    <n v="5.7725288746473504"/>
    <n v="188.29981112861799"/>
    <n v="0"/>
    <n v="0"/>
    <n v="1303.9684769999899"/>
    <n v="1115.328130587"/>
  </r>
  <r>
    <x v="15"/>
    <s v="Truck 0"/>
    <n v="1300"/>
    <n v="1219"/>
    <n v="78.386153846153803"/>
    <n v="204.32977007862101"/>
    <n v="5.8205375941210296"/>
    <n v="421.85684485580799"/>
    <n v="0"/>
    <n v="0"/>
    <n v="2888.4287850000001"/>
    <n v="2513.8526291499902"/>
  </r>
  <r>
    <x v="15"/>
    <s v="Truck 1"/>
    <n v="1003"/>
    <n v="1000"/>
    <n v="72.041874376869302"/>
    <n v="176.85898885888199"/>
    <n v="5.8205375941210296"/>
    <n v="317.22619696834897"/>
    <n v="0"/>
    <n v="0"/>
    <n v="2454.6093809999902"/>
    <n v="2121.9922035750001"/>
  </r>
  <r>
    <x v="15"/>
    <s v="Truck 2"/>
    <n v="832"/>
    <n v="832"/>
    <n v="84.868990384615302"/>
    <n v="137.96335963697101"/>
    <n v="5.8205375941210296"/>
    <n v="258.92416488768799"/>
    <n v="0"/>
    <n v="0"/>
    <n v="1672.73092399999"/>
    <n v="1433.867754396"/>
  </r>
  <r>
    <x v="15"/>
    <s v="Truck 3"/>
    <n v="694"/>
    <n v="694"/>
    <n v="87.740634005763695"/>
    <n v="112.20698128135101"/>
    <n v="5.8205375941210296"/>
    <n v="189.382462488843"/>
    <n v="0"/>
    <n v="0"/>
    <n v="1311.6780699999899"/>
    <n v="1122.2102624689901"/>
  </r>
  <r>
    <x v="16"/>
    <s v="Truck 0"/>
    <n v="730"/>
    <n v="730"/>
    <n v="25.658904109588999"/>
    <n v="103.584754487834"/>
    <n v="10.013468353123701"/>
    <n v="245.488538385189"/>
    <n v="0"/>
    <n v="0"/>
    <n v="1429.9200920000001"/>
    <n v="1261.640161301"/>
  </r>
  <r>
    <x v="16"/>
    <s v="Truck 1"/>
    <n v="718"/>
    <n v="718"/>
    <n v="25.268802228412198"/>
    <n v="103.253137156596"/>
    <n v="10.013468353123701"/>
    <n v="241.56475863674299"/>
    <n v="0"/>
    <n v="0"/>
    <n v="1416.91498199999"/>
    <n v="1242.525881967"/>
  </r>
  <r>
    <x v="16"/>
    <s v="Truck 2"/>
    <n v="711"/>
    <n v="711"/>
    <n v="24.992967651195499"/>
    <n v="101.558740619948"/>
    <n v="10.013468353123701"/>
    <n v="241.540965195517"/>
    <n v="0"/>
    <n v="0"/>
    <n v="1401.8886689999899"/>
    <n v="1230.97697330699"/>
  </r>
  <r>
    <x v="16"/>
    <s v="Truck 3"/>
    <n v="476"/>
    <n v="476"/>
    <n v="23.716386554621799"/>
    <n v="69.578554023070296"/>
    <n v="10.013468353123701"/>
    <n v="159.76521415626101"/>
    <n v="0"/>
    <n v="0"/>
    <n v="943.45328599999903"/>
    <n v="824.13460067599897"/>
  </r>
  <r>
    <x v="16"/>
    <s v="Truck 4"/>
    <n v="476"/>
    <n v="476"/>
    <n v="23.716386554621799"/>
    <n v="68.304637868316405"/>
    <n v="10.013468353123701"/>
    <n v="162.246962401535"/>
    <n v="0"/>
    <n v="0"/>
    <n v="900.85730799999999"/>
    <n v="792.94003966000002"/>
  </r>
  <r>
    <x v="16"/>
    <s v="Truck 5"/>
    <n v="476"/>
    <n v="476"/>
    <n v="23.716386554621799"/>
    <n v="68.029817522117895"/>
    <n v="10.013468353123701"/>
    <n v="161.02323195273101"/>
    <n v="0"/>
    <n v="0"/>
    <n v="881.88074900000004"/>
    <n v="774.23474633800004"/>
  </r>
  <r>
    <x v="16"/>
    <s v="Truck 6"/>
    <n v="0"/>
    <n v="0"/>
    <n v="0"/>
    <n v="0"/>
    <n v="10.013468353123701"/>
    <n v="0"/>
    <n v="0"/>
    <n v="0"/>
    <n v="0"/>
    <n v="0"/>
  </r>
  <r>
    <x v="16"/>
    <s v="Truck 7"/>
    <n v="0"/>
    <n v="0"/>
    <n v="0"/>
    <n v="0"/>
    <n v="10.013468353123701"/>
    <n v="0"/>
    <n v="0"/>
    <n v="0"/>
    <n v="0"/>
    <n v="0"/>
  </r>
  <r>
    <x v="16"/>
    <s v="Truck 8"/>
    <n v="0"/>
    <n v="0"/>
    <n v="0"/>
    <n v="0"/>
    <n v="10.013468353123701"/>
    <n v="0"/>
    <n v="0"/>
    <n v="0"/>
    <n v="0"/>
    <n v="0"/>
  </r>
  <r>
    <x v="16"/>
    <s v="Truck 9"/>
    <n v="0"/>
    <n v="0"/>
    <n v="0"/>
    <n v="0"/>
    <n v="10.013468353123701"/>
    <n v="0"/>
    <n v="0"/>
    <n v="0"/>
    <n v="0"/>
    <n v="0"/>
  </r>
  <r>
    <x v="16"/>
    <s v="Truck 10"/>
    <n v="0"/>
    <n v="0"/>
    <n v="0"/>
    <n v="0"/>
    <n v="10.013468353123701"/>
    <n v="0"/>
    <n v="0"/>
    <n v="0"/>
    <n v="0"/>
    <n v="0"/>
  </r>
  <r>
    <x v="16"/>
    <s v="Truck 11"/>
    <n v="0"/>
    <n v="0"/>
    <n v="0"/>
    <n v="0"/>
    <n v="10.013468353123701"/>
    <n v="0"/>
    <n v="0"/>
    <n v="0"/>
    <n v="0"/>
    <n v="0"/>
  </r>
  <r>
    <x v="17"/>
    <s v="Truck 0"/>
    <n v="730"/>
    <n v="730"/>
    <n v="25.658904109588999"/>
    <n v="103.953079977977"/>
    <n v="10.0053492866999"/>
    <n v="246.00731475870001"/>
    <n v="0"/>
    <n v="0"/>
    <n v="1433.4588489999901"/>
    <n v="1264.889460913"/>
  </r>
  <r>
    <x v="17"/>
    <s v="Truck 1"/>
    <n v="718"/>
    <n v="718"/>
    <n v="25.268802228412198"/>
    <n v="102.260319150383"/>
    <n v="10.0053492866999"/>
    <n v="240.532850610069"/>
    <n v="0"/>
    <n v="0"/>
    <n v="1406.3979979999899"/>
    <n v="1232.333997186"/>
  </r>
  <r>
    <x v="17"/>
    <s v="Truck 2"/>
    <n v="711"/>
    <n v="711"/>
    <n v="24.992967651195499"/>
    <n v="101.71211430375"/>
    <n v="10.0053492866999"/>
    <n v="241.11108603913601"/>
    <n v="0"/>
    <n v="0"/>
    <n v="1408.32036299999"/>
    <n v="1235.92976670399"/>
  </r>
  <r>
    <x v="17"/>
    <s v="Truck 3"/>
    <n v="476"/>
    <n v="476"/>
    <n v="23.716386554621799"/>
    <n v="69.027350312258804"/>
    <n v="10.0053492866999"/>
    <n v="160.718005028101"/>
    <n v="0"/>
    <n v="0"/>
    <n v="929.769982999999"/>
    <n v="815.07972400599897"/>
  </r>
  <r>
    <x v="17"/>
    <s v="Truck 4"/>
    <n v="476"/>
    <n v="476"/>
    <n v="23.716386554621799"/>
    <n v="69.200556681196801"/>
    <n v="10.0053492866999"/>
    <n v="160.824827248985"/>
    <n v="0"/>
    <n v="0"/>
    <n v="915.16337599999997"/>
    <n v="803.60327858000005"/>
  </r>
  <r>
    <x v="17"/>
    <s v="Truck 5"/>
    <n v="476"/>
    <n v="476"/>
    <n v="23.716386554621799"/>
    <n v="68.366431767513404"/>
    <n v="10.0053492866999"/>
    <n v="161.45318000570501"/>
    <n v="0"/>
    <n v="0"/>
    <n v="881.88074900000004"/>
    <n v="774.43977756499999"/>
  </r>
  <r>
    <x v="17"/>
    <s v="Truck 6"/>
    <n v="0"/>
    <n v="0"/>
    <n v="0"/>
    <n v="0"/>
    <n v="10.0053492866999"/>
    <n v="0"/>
    <n v="0"/>
    <n v="0"/>
    <n v="0"/>
    <n v="0"/>
  </r>
  <r>
    <x v="17"/>
    <s v="Truck 7"/>
    <n v="0"/>
    <n v="0"/>
    <n v="0"/>
    <n v="0"/>
    <n v="10.0053492866999"/>
    <n v="0"/>
    <n v="0"/>
    <n v="0"/>
    <n v="0"/>
    <n v="0"/>
  </r>
  <r>
    <x v="17"/>
    <s v="Truck 8"/>
    <n v="0"/>
    <n v="0"/>
    <n v="0"/>
    <n v="0"/>
    <n v="10.0053492866999"/>
    <n v="0"/>
    <n v="0"/>
    <n v="0"/>
    <n v="0"/>
    <n v="0"/>
  </r>
  <r>
    <x v="17"/>
    <s v="Truck 9"/>
    <n v="0"/>
    <n v="0"/>
    <n v="0"/>
    <n v="0"/>
    <n v="10.0053492866999"/>
    <n v="0"/>
    <n v="0"/>
    <n v="0"/>
    <n v="0"/>
    <n v="0"/>
  </r>
  <r>
    <x v="17"/>
    <s v="Truck 10"/>
    <n v="0"/>
    <n v="0"/>
    <n v="0"/>
    <n v="0"/>
    <n v="10.0053492866999"/>
    <n v="0"/>
    <n v="0"/>
    <n v="0"/>
    <n v="0"/>
    <n v="0"/>
  </r>
  <r>
    <x v="17"/>
    <s v="Truck 11"/>
    <n v="0"/>
    <n v="0"/>
    <n v="0"/>
    <n v="0"/>
    <n v="10.0053492866999"/>
    <n v="0"/>
    <n v="0"/>
    <n v="0"/>
    <n v="0"/>
    <n v="0"/>
  </r>
  <r>
    <x v="18"/>
    <s v="Truck 0"/>
    <n v="730"/>
    <n v="730"/>
    <n v="25.658904109588999"/>
    <n v="103.835866603909"/>
    <n v="10.0766773468472"/>
    <n v="246.60846616025299"/>
    <n v="0"/>
    <n v="0"/>
    <n v="1436.39925899999"/>
    <n v="1267.6854889599999"/>
  </r>
  <r>
    <x v="18"/>
    <s v="Truck 1"/>
    <n v="718"/>
    <n v="718"/>
    <n v="25.268802228412198"/>
    <n v="102.431012646187"/>
    <n v="10.0766773468472"/>
    <n v="239.17368604577899"/>
    <n v="0"/>
    <n v="0"/>
    <n v="1404.77377399999"/>
    <n v="1231.478990671"/>
  </r>
  <r>
    <x v="18"/>
    <s v="Truck 2"/>
    <n v="711"/>
    <n v="711"/>
    <n v="24.992967651195499"/>
    <n v="102.043834625572"/>
    <n v="10.0766773468472"/>
    <n v="240.51751469057399"/>
    <n v="0"/>
    <n v="0"/>
    <n v="1411.62381399999"/>
    <n v="1237.6821954879899"/>
  </r>
  <r>
    <x v="18"/>
    <s v="Truck 3"/>
    <n v="476"/>
    <n v="476"/>
    <n v="23.716386554621799"/>
    <n v="68.871755462130395"/>
    <n v="10.0766773468472"/>
    <n v="159.79911183070701"/>
    <n v="0"/>
    <n v="0"/>
    <n v="927.43730299999902"/>
    <n v="812.11433711099903"/>
  </r>
  <r>
    <x v="18"/>
    <s v="Truck 4"/>
    <n v="476"/>
    <n v="476"/>
    <n v="23.716386554621799"/>
    <n v="68.287859754417696"/>
    <n v="10.0766773468472"/>
    <n v="161.93154586453801"/>
    <n v="0"/>
    <n v="0"/>
    <n v="900.31576399999994"/>
    <n v="793.19571940000003"/>
  </r>
  <r>
    <x v="18"/>
    <s v="Truck 5"/>
    <n v="476"/>
    <n v="476"/>
    <n v="23.716386554621799"/>
    <n v="68.129732539627497"/>
    <n v="10.0766773468472"/>
    <n v="161.170957029813"/>
    <n v="0"/>
    <n v="0"/>
    <n v="881.88074900000004"/>
    <n v="774.42150744599996"/>
  </r>
  <r>
    <x v="18"/>
    <s v="Truck 6"/>
    <n v="0"/>
    <n v="0"/>
    <n v="0"/>
    <n v="0"/>
    <n v="10.0766773468472"/>
    <n v="0"/>
    <n v="0"/>
    <n v="0"/>
    <n v="0"/>
    <n v="0"/>
  </r>
  <r>
    <x v="18"/>
    <s v="Truck 7"/>
    <n v="0"/>
    <n v="0"/>
    <n v="0"/>
    <n v="0"/>
    <n v="10.0766773468472"/>
    <n v="0"/>
    <n v="0"/>
    <n v="0"/>
    <n v="0"/>
    <n v="0"/>
  </r>
  <r>
    <x v="18"/>
    <s v="Truck 8"/>
    <n v="0"/>
    <n v="0"/>
    <n v="0"/>
    <n v="0"/>
    <n v="10.0766773468472"/>
    <n v="0"/>
    <n v="0"/>
    <n v="0"/>
    <n v="0"/>
    <n v="0"/>
  </r>
  <r>
    <x v="18"/>
    <s v="Truck 9"/>
    <n v="0"/>
    <n v="0"/>
    <n v="0"/>
    <n v="0"/>
    <n v="10.0766773468472"/>
    <n v="0"/>
    <n v="0"/>
    <n v="0"/>
    <n v="0"/>
    <n v="0"/>
  </r>
  <r>
    <x v="18"/>
    <s v="Truck 10"/>
    <n v="0"/>
    <n v="0"/>
    <n v="0"/>
    <n v="0"/>
    <n v="10.0766773468472"/>
    <n v="0"/>
    <n v="0"/>
    <n v="0"/>
    <n v="0"/>
    <n v="0"/>
  </r>
  <r>
    <x v="18"/>
    <s v="Truck 11"/>
    <n v="0"/>
    <n v="0"/>
    <n v="0"/>
    <n v="0"/>
    <n v="10.0766773468472"/>
    <n v="0"/>
    <n v="0"/>
    <n v="0"/>
    <n v="0"/>
    <n v="0"/>
  </r>
  <r>
    <x v="19"/>
    <s v="Truck 0"/>
    <n v="730"/>
    <n v="730"/>
    <n v="25.658904109588999"/>
    <n v="103.593527031618"/>
    <n v="10.042239535270401"/>
    <n v="246.95680792331601"/>
    <n v="0"/>
    <n v="0"/>
    <n v="1436.4884809999901"/>
    <n v="1268.7891716520001"/>
  </r>
  <r>
    <x v="19"/>
    <s v="Truck 1"/>
    <n v="718"/>
    <n v="718"/>
    <n v="25.268802228412198"/>
    <n v="103.563880163387"/>
    <n v="10.042239535270401"/>
    <n v="241.30188661254701"/>
    <n v="0"/>
    <n v="0"/>
    <n v="1416.92174799999"/>
    <n v="1241.2322023270001"/>
  </r>
  <r>
    <x v="19"/>
    <s v="Truck 2"/>
    <n v="711"/>
    <n v="711"/>
    <n v="24.992967651195499"/>
    <n v="102.35630761055"/>
    <n v="10.042239535270401"/>
    <n v="241.57759225093301"/>
    <n v="0"/>
    <n v="0"/>
    <n v="1408.04788299999"/>
    <n v="1235.7482374419901"/>
  </r>
  <r>
    <x v="19"/>
    <s v="Truck 3"/>
    <n v="476"/>
    <n v="476"/>
    <n v="23.716386554621799"/>
    <n v="68.847033428574903"/>
    <n v="10.042239535270401"/>
    <n v="160.54625832428101"/>
    <n v="0"/>
    <n v="0"/>
    <n v="929.94342299999903"/>
    <n v="815.36859832399796"/>
  </r>
  <r>
    <x v="19"/>
    <s v="Truck 4"/>
    <n v="476"/>
    <n v="476"/>
    <n v="23.716386554621799"/>
    <n v="68.141593004922996"/>
    <n v="10.042239535270401"/>
    <n v="162.67342440679499"/>
    <n v="0"/>
    <n v="0"/>
    <n v="900.31576500000006"/>
    <n v="793.42931222300001"/>
  </r>
  <r>
    <x v="19"/>
    <s v="Truck 5"/>
    <n v="476"/>
    <n v="476"/>
    <n v="23.716386554621799"/>
    <n v="67.937184861912499"/>
    <n v="10.042239535270401"/>
    <n v="162.05501424985201"/>
    <n v="0"/>
    <n v="0"/>
    <n v="881.88074900000004"/>
    <n v="774.47483491399998"/>
  </r>
  <r>
    <x v="19"/>
    <s v="Truck 6"/>
    <n v="0"/>
    <n v="0"/>
    <n v="0"/>
    <n v="0"/>
    <n v="10.042239535270401"/>
    <n v="0"/>
    <n v="0"/>
    <n v="0"/>
    <n v="0"/>
    <n v="0"/>
  </r>
  <r>
    <x v="19"/>
    <s v="Truck 7"/>
    <n v="0"/>
    <n v="0"/>
    <n v="0"/>
    <n v="0"/>
    <n v="10.042239535270401"/>
    <n v="0"/>
    <n v="0"/>
    <n v="0"/>
    <n v="0"/>
    <n v="0"/>
  </r>
  <r>
    <x v="19"/>
    <s v="Truck 8"/>
    <n v="0"/>
    <n v="0"/>
    <n v="0"/>
    <n v="0"/>
    <n v="10.042239535270401"/>
    <n v="0"/>
    <n v="0"/>
    <n v="0"/>
    <n v="0"/>
    <n v="0"/>
  </r>
  <r>
    <x v="19"/>
    <s v="Truck 9"/>
    <n v="0"/>
    <n v="0"/>
    <n v="0"/>
    <n v="0"/>
    <n v="10.042239535270401"/>
    <n v="0"/>
    <n v="0"/>
    <n v="0"/>
    <n v="0"/>
    <n v="0"/>
  </r>
  <r>
    <x v="19"/>
    <s v="Truck 10"/>
    <n v="0"/>
    <n v="0"/>
    <n v="0"/>
    <n v="0"/>
    <n v="10.042239535270401"/>
    <n v="0"/>
    <n v="0"/>
    <n v="0"/>
    <n v="0"/>
    <n v="0"/>
  </r>
  <r>
    <x v="19"/>
    <s v="Truck 11"/>
    <n v="0"/>
    <n v="0"/>
    <n v="0"/>
    <n v="0"/>
    <n v="10.042239535270401"/>
    <n v="0"/>
    <n v="0"/>
    <n v="0"/>
    <n v="0"/>
    <n v="0"/>
  </r>
  <r>
    <x v="20"/>
    <s v="Truck 0"/>
    <n v="1078"/>
    <n v="1077"/>
    <n v="37.6669758812615"/>
    <n v="144.594423640538"/>
    <n v="11.2168285722035"/>
    <n v="367.18291336628403"/>
    <n v="0"/>
    <n v="0"/>
    <n v="1995.16171099999"/>
    <n v="1777.515604964"/>
  </r>
  <r>
    <x v="20"/>
    <s v="Truck 1"/>
    <n v="1067"/>
    <n v="1067"/>
    <n v="37.233364573570697"/>
    <n v="141.964078827886"/>
    <n v="11.2168285722035"/>
    <n v="359.37357174129198"/>
    <n v="0"/>
    <n v="0"/>
    <n v="1979.56247099999"/>
    <n v="1759.9000179519901"/>
  </r>
  <r>
    <x v="20"/>
    <s v="Truck 2"/>
    <n v="714"/>
    <n v="714"/>
    <n v="35.275910364145602"/>
    <n v="96.591194792797793"/>
    <n v="11.2168285722035"/>
    <n v="241.76866967960001"/>
    <n v="0"/>
    <n v="0"/>
    <n v="1334.26971399999"/>
    <n v="1185.131318663"/>
  </r>
  <r>
    <x v="20"/>
    <s v="Truck 3"/>
    <n v="714"/>
    <n v="714"/>
    <n v="35.275910364145602"/>
    <n v="95.260044778003405"/>
    <n v="11.2168285722035"/>
    <n v="243.092331010804"/>
    <n v="0"/>
    <n v="0"/>
    <n v="1248.09289899999"/>
    <n v="1109.3543907599999"/>
  </r>
  <r>
    <x v="20"/>
    <s v="Truck 4"/>
    <n v="0"/>
    <n v="0"/>
    <n v="0"/>
    <n v="0"/>
    <n v="11.2168285722035"/>
    <n v="0"/>
    <n v="0"/>
    <n v="0"/>
    <n v="0"/>
    <n v="0"/>
  </r>
  <r>
    <x v="20"/>
    <s v="Truck 5"/>
    <n v="0"/>
    <n v="0"/>
    <n v="0"/>
    <n v="0"/>
    <n v="11.2168285722035"/>
    <n v="0"/>
    <n v="0"/>
    <n v="0"/>
    <n v="0"/>
    <n v="0"/>
  </r>
  <r>
    <x v="20"/>
    <s v="Truck 6"/>
    <n v="0"/>
    <n v="0"/>
    <n v="0"/>
    <n v="0"/>
    <n v="11.2168285722035"/>
    <n v="0"/>
    <n v="0"/>
    <n v="0"/>
    <n v="0"/>
    <n v="0"/>
  </r>
  <r>
    <x v="20"/>
    <s v="Truck 7"/>
    <n v="0"/>
    <n v="0"/>
    <n v="0"/>
    <n v="0"/>
    <n v="11.2168285722035"/>
    <n v="0"/>
    <n v="0"/>
    <n v="0"/>
    <n v="0"/>
    <n v="0"/>
  </r>
  <r>
    <x v="21"/>
    <s v="Truck 0"/>
    <n v="730"/>
    <n v="730"/>
    <n v="25.658904109588999"/>
    <n v="103.690573867247"/>
    <n v="9.9975615266113298"/>
    <n v="246.14897272270599"/>
    <n v="0"/>
    <n v="0"/>
    <n v="1439.6967609999999"/>
    <n v="1269.863157211"/>
  </r>
  <r>
    <x v="21"/>
    <s v="Truck 1"/>
    <n v="718"/>
    <n v="718"/>
    <n v="25.268802228412198"/>
    <n v="102.607848830796"/>
    <n v="9.9975615266113298"/>
    <n v="241.50240754647299"/>
    <n v="0"/>
    <n v="0"/>
    <n v="1406.1370279999901"/>
    <n v="1233.409666019"/>
  </r>
  <r>
    <x v="21"/>
    <s v="Truck 2"/>
    <n v="711"/>
    <n v="711"/>
    <n v="24.992967651195499"/>
    <n v="101.77730507842899"/>
    <n v="9.9975615266113298"/>
    <n v="241.02198134657201"/>
    <n v="0"/>
    <n v="0"/>
    <n v="1405.85581999999"/>
    <n v="1233.1218014029901"/>
  </r>
  <r>
    <x v="21"/>
    <s v="Truck 3"/>
    <n v="476"/>
    <n v="476"/>
    <n v="23.716386554621799"/>
    <n v="69.309930650790506"/>
    <n v="9.9975615266113298"/>
    <n v="159.90378443914599"/>
    <n v="0"/>
    <n v="0"/>
    <n v="943.45328599999903"/>
    <n v="824.63132346399902"/>
  </r>
  <r>
    <x v="21"/>
    <s v="Truck 4"/>
    <n v="476"/>
    <n v="476"/>
    <n v="23.716386554621799"/>
    <n v="68.212857731576506"/>
    <n v="9.9975615266113298"/>
    <n v="160.67782113393301"/>
    <n v="0"/>
    <n v="0"/>
    <n v="900.31576399999994"/>
    <n v="792.28537776600001"/>
  </r>
  <r>
    <x v="21"/>
    <s v="Truck 5"/>
    <n v="476"/>
    <n v="476"/>
    <n v="23.716386554621799"/>
    <n v="68.238857920353595"/>
    <n v="9.9975615266113298"/>
    <n v="160.44997753113799"/>
    <n v="0"/>
    <n v="0"/>
    <n v="881.88074900000004"/>
    <n v="774.46655932500005"/>
  </r>
  <r>
    <x v="21"/>
    <s v="Truck 6"/>
    <n v="0"/>
    <n v="0"/>
    <n v="0"/>
    <n v="0"/>
    <n v="9.9975615266113298"/>
    <n v="0"/>
    <n v="0"/>
    <n v="0"/>
    <n v="0"/>
    <n v="0"/>
  </r>
  <r>
    <x v="21"/>
    <s v="Truck 7"/>
    <n v="0"/>
    <n v="0"/>
    <n v="0"/>
    <n v="0"/>
    <n v="9.9975615266113298"/>
    <n v="0"/>
    <n v="0"/>
    <n v="0"/>
    <n v="0"/>
    <n v="0"/>
  </r>
  <r>
    <x v="21"/>
    <s v="Truck 8"/>
    <n v="0"/>
    <n v="0"/>
    <n v="0"/>
    <n v="0"/>
    <n v="9.9975615266113298"/>
    <n v="0"/>
    <n v="0"/>
    <n v="0"/>
    <n v="0"/>
    <n v="0"/>
  </r>
  <r>
    <x v="21"/>
    <s v="Truck 9"/>
    <n v="0"/>
    <n v="0"/>
    <n v="0"/>
    <n v="0"/>
    <n v="9.9975615266113298"/>
    <n v="0"/>
    <n v="0"/>
    <n v="0"/>
    <n v="0"/>
    <n v="0"/>
  </r>
  <r>
    <x v="21"/>
    <s v="Truck 10"/>
    <n v="0"/>
    <n v="0"/>
    <n v="0"/>
    <n v="0"/>
    <n v="9.9975615266113298"/>
    <n v="0"/>
    <n v="0"/>
    <n v="0"/>
    <n v="0"/>
    <n v="0"/>
  </r>
  <r>
    <x v="21"/>
    <s v="Truck 11"/>
    <n v="0"/>
    <n v="0"/>
    <n v="0"/>
    <n v="0"/>
    <n v="9.9975615266113298"/>
    <n v="0"/>
    <n v="0"/>
    <n v="0"/>
    <n v="0"/>
    <n v="0"/>
  </r>
  <r>
    <x v="22"/>
    <s v="Truck 0"/>
    <n v="730"/>
    <n v="730"/>
    <n v="25.658904109588999"/>
    <n v="103.818535765612"/>
    <n v="9.9291351271179895"/>
    <n v="247.605271643566"/>
    <n v="0"/>
    <n v="0"/>
    <n v="1436.4884809999901"/>
    <n v="1268.842550089"/>
  </r>
  <r>
    <x v="22"/>
    <s v="Truck 1"/>
    <n v="718"/>
    <n v="718"/>
    <n v="25.268802228412198"/>
    <n v="102.97091217253499"/>
    <n v="9.9291351271179895"/>
    <n v="239.844681987435"/>
    <n v="0"/>
    <n v="0"/>
    <n v="1410.1781839999901"/>
    <n v="1239.0404092230001"/>
  </r>
  <r>
    <x v="22"/>
    <s v="Truck 2"/>
    <n v="711"/>
    <n v="711"/>
    <n v="24.992967651195499"/>
    <n v="101.502372198232"/>
    <n v="9.9291351271179895"/>
    <n v="241.539423927239"/>
    <n v="0"/>
    <n v="0"/>
    <n v="1412.40597799999"/>
    <n v="1239.10190742899"/>
  </r>
  <r>
    <x v="22"/>
    <s v="Truck 3"/>
    <n v="476"/>
    <n v="476"/>
    <n v="23.716386554621799"/>
    <n v="69.611023688892701"/>
    <n v="9.9291351271179895"/>
    <n v="159.65286593367199"/>
    <n v="0"/>
    <n v="0"/>
    <n v="943.45328599999903"/>
    <n v="825.08352421299901"/>
  </r>
  <r>
    <x v="22"/>
    <s v="Truck 4"/>
    <n v="476"/>
    <n v="476"/>
    <n v="23.716386554621799"/>
    <n v="68.132946363258199"/>
    <n v="9.9291351271179895"/>
    <n v="160.73165739818"/>
    <n v="0"/>
    <n v="0"/>
    <n v="900.15608799999995"/>
    <n v="791.84068160300001"/>
  </r>
  <r>
    <x v="22"/>
    <s v="Truck 5"/>
    <n v="476"/>
    <n v="476"/>
    <n v="23.716386554621799"/>
    <n v="68.544534126753007"/>
    <n v="9.9291351271179895"/>
    <n v="161.98058461830001"/>
    <n v="0"/>
    <n v="0"/>
    <n v="895.56841199999997"/>
    <n v="784.21838716599996"/>
  </r>
  <r>
    <x v="22"/>
    <s v="Truck 6"/>
    <n v="0"/>
    <n v="0"/>
    <n v="0"/>
    <n v="0"/>
    <n v="9.9291351271179895"/>
    <n v="0"/>
    <n v="0"/>
    <n v="0"/>
    <n v="0"/>
    <n v="0"/>
  </r>
  <r>
    <x v="22"/>
    <s v="Truck 7"/>
    <n v="0"/>
    <n v="0"/>
    <n v="0"/>
    <n v="0"/>
    <n v="9.9291351271179895"/>
    <n v="0"/>
    <n v="0"/>
    <n v="0"/>
    <n v="0"/>
    <n v="0"/>
  </r>
  <r>
    <x v="22"/>
    <s v="Truck 8"/>
    <n v="0"/>
    <n v="0"/>
    <n v="0"/>
    <n v="0"/>
    <n v="9.9291351271179895"/>
    <n v="0"/>
    <n v="0"/>
    <n v="0"/>
    <n v="0"/>
    <n v="0"/>
  </r>
  <r>
    <x v="22"/>
    <s v="Truck 9"/>
    <n v="0"/>
    <n v="0"/>
    <n v="0"/>
    <n v="0"/>
    <n v="9.9291351271179895"/>
    <n v="0"/>
    <n v="0"/>
    <n v="0"/>
    <n v="0"/>
    <n v="0"/>
  </r>
  <r>
    <x v="22"/>
    <s v="Truck 10"/>
    <n v="0"/>
    <n v="0"/>
    <n v="0"/>
    <n v="0"/>
    <n v="9.9291351271179895"/>
    <n v="0"/>
    <n v="0"/>
    <n v="0"/>
    <n v="0"/>
    <n v="0"/>
  </r>
  <r>
    <x v="22"/>
    <s v="Truck 11"/>
    <n v="0"/>
    <n v="0"/>
    <n v="0"/>
    <n v="0"/>
    <n v="9.9291351271179895"/>
    <n v="0"/>
    <n v="0"/>
    <n v="0"/>
    <n v="0"/>
    <n v="0"/>
  </r>
  <r>
    <x v="23"/>
    <s v="Truck 0"/>
    <n v="1078"/>
    <n v="1077"/>
    <n v="37.6669758812615"/>
    <n v="144.59225904352601"/>
    <n v="11.2593095391896"/>
    <n v="366.93564629010802"/>
    <n v="0"/>
    <n v="0"/>
    <n v="1986.15408999999"/>
    <n v="1768.1431690909999"/>
  </r>
  <r>
    <x v="23"/>
    <s v="Truck 1"/>
    <n v="1067"/>
    <n v="1067"/>
    <n v="37.233364573570697"/>
    <n v="142.41039842217899"/>
    <n v="11.2593095391896"/>
    <n v="363.107850350999"/>
    <n v="0"/>
    <n v="0"/>
    <n v="1979.6180829999901"/>
    <n v="1761.5099441909899"/>
  </r>
  <r>
    <x v="23"/>
    <s v="Truck 2"/>
    <n v="714"/>
    <n v="714"/>
    <n v="35.275910364145602"/>
    <n v="96.765335769068898"/>
    <n v="11.2593095391896"/>
    <n v="242.19301570356899"/>
    <n v="0"/>
    <n v="0"/>
    <n v="1334.90538699999"/>
    <n v="1186.234048133"/>
  </r>
  <r>
    <x v="23"/>
    <s v="Truck 3"/>
    <n v="714"/>
    <n v="714"/>
    <n v="35.275910364145602"/>
    <n v="95.441579809045805"/>
    <n v="11.2593095391896"/>
    <n v="243.76891788780901"/>
    <n v="0"/>
    <n v="0"/>
    <n v="1248.4020829999899"/>
    <n v="1111.1399500560001"/>
  </r>
  <r>
    <x v="23"/>
    <s v="Truck 4"/>
    <n v="0"/>
    <n v="0"/>
    <n v="0"/>
    <n v="0"/>
    <n v="11.2593095391896"/>
    <n v="0"/>
    <n v="0"/>
    <n v="0"/>
    <n v="0"/>
    <n v="0"/>
  </r>
  <r>
    <x v="23"/>
    <s v="Truck 5"/>
    <n v="0"/>
    <n v="0"/>
    <n v="0"/>
    <n v="0"/>
    <n v="11.2593095391896"/>
    <n v="0"/>
    <n v="0"/>
    <n v="0"/>
    <n v="0"/>
    <n v="0"/>
  </r>
  <r>
    <x v="23"/>
    <s v="Truck 6"/>
    <n v="0"/>
    <n v="0"/>
    <n v="0"/>
    <n v="0"/>
    <n v="11.2593095391896"/>
    <n v="0"/>
    <n v="0"/>
    <n v="0"/>
    <n v="0"/>
    <n v="0"/>
  </r>
  <r>
    <x v="23"/>
    <s v="Truck 7"/>
    <n v="0"/>
    <n v="0"/>
    <n v="0"/>
    <n v="0"/>
    <n v="11.2593095391896"/>
    <n v="0"/>
    <n v="0"/>
    <n v="0"/>
    <n v="0"/>
    <n v="0"/>
  </r>
  <r>
    <x v="24"/>
    <s v="Truck 0"/>
    <n v="730"/>
    <n v="730"/>
    <n v="25.658904109588999"/>
    <n v="104.135251092513"/>
    <n v="10.028663662313599"/>
    <n v="248.02031528266801"/>
    <n v="0"/>
    <n v="0"/>
    <n v="1435.6869469999999"/>
    <n v="1268.0104667529999"/>
  </r>
  <r>
    <x v="24"/>
    <s v="Truck 1"/>
    <n v="718"/>
    <n v="718"/>
    <n v="25.268802228412198"/>
    <n v="102.94014617692601"/>
    <n v="10.028663662313599"/>
    <n v="242.54821974906099"/>
    <n v="0"/>
    <n v="0"/>
    <n v="1418.21094099999"/>
    <n v="1243.3094368009999"/>
  </r>
  <r>
    <x v="24"/>
    <s v="Truck 2"/>
    <n v="711"/>
    <n v="711"/>
    <n v="24.992967651195499"/>
    <n v="101.880038523678"/>
    <n v="10.028663662313599"/>
    <n v="239.938161546798"/>
    <n v="0"/>
    <n v="0"/>
    <n v="1407.6022539999899"/>
    <n v="1235.52873423799"/>
  </r>
  <r>
    <x v="24"/>
    <s v="Truck 3"/>
    <n v="476"/>
    <n v="476"/>
    <n v="23.716386554621799"/>
    <n v="68.7517990583342"/>
    <n v="10.028663662313599"/>
    <n v="159.37946608436701"/>
    <n v="0"/>
    <n v="0"/>
    <n v="930.02039899999897"/>
    <n v="814.59651540499897"/>
  </r>
  <r>
    <x v="24"/>
    <s v="Truck 4"/>
    <n v="476"/>
    <n v="476"/>
    <n v="23.716386554621799"/>
    <n v="68.455903310972204"/>
    <n v="10.028663662313599"/>
    <n v="161.85690141615899"/>
    <n v="0"/>
    <n v="0"/>
    <n v="900.31576399999994"/>
    <n v="792.96330932900003"/>
  </r>
  <r>
    <x v="24"/>
    <s v="Truck 5"/>
    <n v="476"/>
    <n v="476"/>
    <n v="23.716386554621799"/>
    <n v="68.309007071270699"/>
    <n v="10.028663662313599"/>
    <n v="161.72523906089"/>
    <n v="0"/>
    <n v="0"/>
    <n v="882.022695"/>
    <n v="774.67869654200001"/>
  </r>
  <r>
    <x v="24"/>
    <s v="Truck 6"/>
    <n v="0"/>
    <n v="0"/>
    <n v="0"/>
    <n v="0"/>
    <n v="10.028663662313599"/>
    <n v="0"/>
    <n v="0"/>
    <n v="0"/>
    <n v="0"/>
    <n v="0"/>
  </r>
  <r>
    <x v="24"/>
    <s v="Truck 7"/>
    <n v="0"/>
    <n v="0"/>
    <n v="0"/>
    <n v="0"/>
    <n v="10.028663662313599"/>
    <n v="0"/>
    <n v="0"/>
    <n v="0"/>
    <n v="0"/>
    <n v="0"/>
  </r>
  <r>
    <x v="24"/>
    <s v="Truck 8"/>
    <n v="0"/>
    <n v="0"/>
    <n v="0"/>
    <n v="0"/>
    <n v="10.028663662313599"/>
    <n v="0"/>
    <n v="0"/>
    <n v="0"/>
    <n v="0"/>
    <n v="0"/>
  </r>
  <r>
    <x v="24"/>
    <s v="Truck 9"/>
    <n v="0"/>
    <n v="0"/>
    <n v="0"/>
    <n v="0"/>
    <n v="10.028663662313599"/>
    <n v="0"/>
    <n v="0"/>
    <n v="0"/>
    <n v="0"/>
    <n v="0"/>
  </r>
  <r>
    <x v="24"/>
    <s v="Truck 10"/>
    <n v="0"/>
    <n v="0"/>
    <n v="0"/>
    <n v="0"/>
    <n v="10.028663662313599"/>
    <n v="0"/>
    <n v="0"/>
    <n v="0"/>
    <n v="0"/>
    <n v="0"/>
  </r>
  <r>
    <x v="24"/>
    <s v="Truck 11"/>
    <n v="0"/>
    <n v="0"/>
    <n v="0"/>
    <n v="0"/>
    <n v="10.028663662313599"/>
    <n v="0"/>
    <n v="0"/>
    <n v="0"/>
    <n v="0"/>
    <n v="0"/>
  </r>
  <r>
    <x v="25"/>
    <s v="Truck 0"/>
    <n v="730"/>
    <n v="730"/>
    <n v="25.658904109588999"/>
    <n v="103.560117100849"/>
    <n v="9.8605815042096499"/>
    <n v="246.240739725418"/>
    <n v="0"/>
    <n v="0"/>
    <n v="1436.486825"/>
    <n v="1268.1260370790001"/>
  </r>
  <r>
    <x v="25"/>
    <s v="Truck 1"/>
    <n v="718"/>
    <n v="718"/>
    <n v="25.268802228412198"/>
    <n v="103.001002141755"/>
    <n v="9.8605815042096499"/>
    <n v="241.38624242707499"/>
    <n v="0"/>
    <n v="0"/>
    <n v="1416.6361119999899"/>
    <n v="1242.0022803859999"/>
  </r>
  <r>
    <x v="25"/>
    <s v="Truck 2"/>
    <n v="711"/>
    <n v="711"/>
    <n v="24.992967651195499"/>
    <n v="101.932468708416"/>
    <n v="9.8605815042096499"/>
    <n v="240.492891763286"/>
    <n v="0"/>
    <n v="0"/>
    <n v="1405.86508199999"/>
    <n v="1233.1215508729899"/>
  </r>
  <r>
    <x v="25"/>
    <s v="Truck 3"/>
    <n v="476"/>
    <n v="476"/>
    <n v="23.716386554621799"/>
    <n v="69.770047834978797"/>
    <n v="9.8605815042096499"/>
    <n v="161.21402456489699"/>
    <n v="0"/>
    <n v="0"/>
    <n v="950.21448799999905"/>
    <n v="832.44849798099904"/>
  </r>
  <r>
    <x v="25"/>
    <s v="Truck 4"/>
    <n v="476"/>
    <n v="476"/>
    <n v="23.716386554621799"/>
    <n v="68.578849397819297"/>
    <n v="9.8605815042096499"/>
    <n v="160.84333420194"/>
    <n v="0"/>
    <n v="0"/>
    <n v="900.15608899999995"/>
    <n v="790.994772711"/>
  </r>
  <r>
    <x v="25"/>
    <s v="Truck 5"/>
    <n v="476"/>
    <n v="476"/>
    <n v="23.716386554621799"/>
    <n v="68.554092634868695"/>
    <n v="9.8605815042096499"/>
    <n v="162.67429233516799"/>
    <n v="0"/>
    <n v="0"/>
    <n v="894.918631"/>
    <n v="784.61495011299996"/>
  </r>
  <r>
    <x v="25"/>
    <s v="Truck 6"/>
    <n v="0"/>
    <n v="0"/>
    <n v="0"/>
    <n v="0"/>
    <n v="9.8605815042096499"/>
    <n v="0"/>
    <n v="0"/>
    <n v="0"/>
    <n v="0"/>
    <n v="0"/>
  </r>
  <r>
    <x v="25"/>
    <s v="Truck 7"/>
    <n v="0"/>
    <n v="0"/>
    <n v="0"/>
    <n v="0"/>
    <n v="9.8605815042096499"/>
    <n v="0"/>
    <n v="0"/>
    <n v="0"/>
    <n v="0"/>
    <n v="0"/>
  </r>
  <r>
    <x v="25"/>
    <s v="Truck 8"/>
    <n v="0"/>
    <n v="0"/>
    <n v="0"/>
    <n v="0"/>
    <n v="9.8605815042096499"/>
    <n v="0"/>
    <n v="0"/>
    <n v="0"/>
    <n v="0"/>
    <n v="0"/>
  </r>
  <r>
    <x v="25"/>
    <s v="Truck 9"/>
    <n v="0"/>
    <n v="0"/>
    <n v="0"/>
    <n v="0"/>
    <n v="9.8605815042096499"/>
    <n v="0"/>
    <n v="0"/>
    <n v="0"/>
    <n v="0"/>
    <n v="0"/>
  </r>
  <r>
    <x v="25"/>
    <s v="Truck 10"/>
    <n v="0"/>
    <n v="0"/>
    <n v="0"/>
    <n v="0"/>
    <n v="9.8605815042096499"/>
    <n v="0"/>
    <n v="0"/>
    <n v="0"/>
    <n v="0"/>
    <n v="0"/>
  </r>
  <r>
    <x v="25"/>
    <s v="Truck 11"/>
    <n v="0"/>
    <n v="0"/>
    <n v="0"/>
    <n v="0"/>
    <n v="9.8605815042096499"/>
    <n v="0"/>
    <n v="0"/>
    <n v="0"/>
    <n v="0"/>
    <n v="0"/>
  </r>
  <r>
    <x v="26"/>
    <s v="Truck 0"/>
    <n v="730"/>
    <n v="730"/>
    <n v="25.658904109588999"/>
    <n v="104.186261700019"/>
    <n v="9.9439738342009001"/>
    <n v="246.92705586886601"/>
    <n v="0"/>
    <n v="0"/>
    <n v="1434.133241"/>
    <n v="1266.9400469239999"/>
  </r>
  <r>
    <x v="26"/>
    <s v="Truck 1"/>
    <n v="718"/>
    <n v="718"/>
    <n v="25.268802228412198"/>
    <n v="102.512197556774"/>
    <n v="9.9439738342009001"/>
    <n v="241.489012804156"/>
    <n v="0"/>
    <n v="0"/>
    <n v="1406.67025499999"/>
    <n v="1233.5598502810001"/>
  </r>
  <r>
    <x v="26"/>
    <s v="Truck 2"/>
    <n v="711"/>
    <n v="711"/>
    <n v="24.992967651195499"/>
    <n v="102.19892246013499"/>
    <n v="9.9439738342009001"/>
    <n v="241.112150375711"/>
    <n v="0"/>
    <n v="0"/>
    <n v="1401.8886689999899"/>
    <n v="1230.88112038399"/>
  </r>
  <r>
    <x v="26"/>
    <s v="Truck 3"/>
    <n v="476"/>
    <n v="476"/>
    <n v="23.716386554621799"/>
    <n v="68.795429271155598"/>
    <n v="9.9439738342009001"/>
    <n v="159.36853437034301"/>
    <n v="0"/>
    <n v="0"/>
    <n v="930.02039899999897"/>
    <n v="813.97904701399898"/>
  </r>
  <r>
    <x v="26"/>
    <s v="Truck 4"/>
    <n v="476"/>
    <n v="476"/>
    <n v="23.716386554621799"/>
    <n v="69.186025452489901"/>
    <n v="9.9439738342009001"/>
    <n v="160.97008799532799"/>
    <n v="0"/>
    <n v="0"/>
    <n v="917.49265000000003"/>
    <n v="805.88791746000004"/>
  </r>
  <r>
    <x v="26"/>
    <s v="Truck 5"/>
    <n v="476"/>
    <n v="476"/>
    <n v="23.716386554621799"/>
    <n v="68.964329315195997"/>
    <n v="9.9439738342009001"/>
    <n v="163.29796635810399"/>
    <n v="0"/>
    <n v="0"/>
    <n v="894.918631"/>
    <n v="784.62626603299998"/>
  </r>
  <r>
    <x v="26"/>
    <s v="Truck 6"/>
    <n v="0"/>
    <n v="0"/>
    <n v="0"/>
    <n v="0"/>
    <n v="9.9439738342009001"/>
    <n v="0"/>
    <n v="0"/>
    <n v="0"/>
    <n v="0"/>
    <n v="0"/>
  </r>
  <r>
    <x v="26"/>
    <s v="Truck 7"/>
    <n v="0"/>
    <n v="0"/>
    <n v="0"/>
    <n v="0"/>
    <n v="9.9439738342009001"/>
    <n v="0"/>
    <n v="0"/>
    <n v="0"/>
    <n v="0"/>
    <n v="0"/>
  </r>
  <r>
    <x v="26"/>
    <s v="Truck 8"/>
    <n v="0"/>
    <n v="0"/>
    <n v="0"/>
    <n v="0"/>
    <n v="9.9439738342009001"/>
    <n v="0"/>
    <n v="0"/>
    <n v="0"/>
    <n v="0"/>
    <n v="0"/>
  </r>
  <r>
    <x v="26"/>
    <s v="Truck 9"/>
    <n v="0"/>
    <n v="0"/>
    <n v="0"/>
    <n v="0"/>
    <n v="9.9439738342009001"/>
    <n v="0"/>
    <n v="0"/>
    <n v="0"/>
    <n v="0"/>
    <n v="0"/>
  </r>
  <r>
    <x v="26"/>
    <s v="Truck 10"/>
    <n v="0"/>
    <n v="0"/>
    <n v="0"/>
    <n v="0"/>
    <n v="9.9439738342009001"/>
    <n v="0"/>
    <n v="0"/>
    <n v="0"/>
    <n v="0"/>
    <n v="0"/>
  </r>
  <r>
    <x v="26"/>
    <s v="Truck 11"/>
    <n v="0"/>
    <n v="0"/>
    <n v="0"/>
    <n v="0"/>
    <n v="9.9439738342009001"/>
    <n v="0"/>
    <n v="0"/>
    <n v="0"/>
    <n v="0"/>
    <n v="0"/>
  </r>
  <r>
    <x v="27"/>
    <s v="Truck 0"/>
    <n v="1290"/>
    <n v="1213"/>
    <n v="77.439534883720896"/>
    <n v="201.779427764367"/>
    <n v="6.2723542623481396"/>
    <n v="421.59987397588498"/>
    <n v="0"/>
    <n v="0"/>
    <n v="2824.3230800000001"/>
    <n v="2450.1293511039898"/>
  </r>
  <r>
    <x v="27"/>
    <s v="Truck 1"/>
    <n v="1126"/>
    <n v="1126"/>
    <n v="70.253108348134901"/>
    <n v="197.833394475674"/>
    <n v="6.2723542623481396"/>
    <n v="385.19154241938497"/>
    <n v="0"/>
    <n v="0"/>
    <n v="2729.439343"/>
    <n v="2338.3321200649898"/>
  </r>
  <r>
    <x v="27"/>
    <s v="Truck 2"/>
    <n v="702"/>
    <n v="702"/>
    <n v="88.769230769230703"/>
    <n v="112.0194776945"/>
    <n v="6.2723542623481396"/>
    <n v="189.745669952263"/>
    <n v="0"/>
    <n v="0"/>
    <n v="1298.5757129999899"/>
    <n v="1101.4539831099901"/>
  </r>
  <r>
    <x v="27"/>
    <s v="Truck 3"/>
    <n v="697"/>
    <n v="697"/>
    <n v="88.130559540889493"/>
    <n v="111.096662560049"/>
    <n v="6.2723542623481396"/>
    <n v="188.93786923626399"/>
    <n v="0"/>
    <n v="0"/>
    <n v="1285.1518719999899"/>
    <n v="1089.98662384"/>
  </r>
  <r>
    <x v="28"/>
    <s v="Truck 0"/>
    <n v="1295"/>
    <n v="1217"/>
    <n v="77.910424710424707"/>
    <n v="202.44684780247201"/>
    <n v="6.2109348381754197"/>
    <n v="421.52578570278899"/>
    <n v="0"/>
    <n v="0"/>
    <n v="2830.3307089999998"/>
    <n v="2452.0718017699901"/>
  </r>
  <r>
    <x v="28"/>
    <s v="Truck 1"/>
    <n v="1131"/>
    <n v="1129"/>
    <n v="70.818744473916894"/>
    <n v="198.970266068576"/>
    <n v="6.2109348381754197"/>
    <n v="385.23752810843899"/>
    <n v="0"/>
    <n v="0"/>
    <n v="2788.64122"/>
    <n v="2384.9155312619901"/>
  </r>
  <r>
    <x v="28"/>
    <s v="Truck 2"/>
    <n v="693"/>
    <n v="693"/>
    <n v="87.490620490620401"/>
    <n v="111.577580140601"/>
    <n v="6.2109348381754197"/>
    <n v="190.19911040098501"/>
    <n v="0"/>
    <n v="0"/>
    <n v="1277.80340799999"/>
    <n v="1082.3939036269901"/>
  </r>
  <r>
    <x v="28"/>
    <s v="Truck 3"/>
    <n v="688"/>
    <n v="688"/>
    <n v="86.885174418604606"/>
    <n v="110.90015819065999"/>
    <n v="6.2109348381754197"/>
    <n v="189.32612987929301"/>
    <n v="0"/>
    <n v="0"/>
    <n v="1270.8495909999899"/>
    <n v="1079.014434446"/>
  </r>
  <r>
    <x v="29"/>
    <s v="Truck 0"/>
    <n v="1288"/>
    <n v="1210"/>
    <n v="77.253105590062106"/>
    <n v="202.167693513063"/>
    <n v="6.2822365403698699"/>
    <n v="422.77382884910799"/>
    <n v="0"/>
    <n v="0"/>
    <n v="2834.94246599999"/>
    <n v="2456.4087847119899"/>
  </r>
  <r>
    <x v="29"/>
    <s v="Truck 1"/>
    <n v="1125"/>
    <n v="1124"/>
    <n v="70.141333333333293"/>
    <n v="197.43776000836601"/>
    <n v="6.2822365403698699"/>
    <n v="386.42657475226503"/>
    <n v="0"/>
    <n v="0"/>
    <n v="2745.2421979999999"/>
    <n v="2353.4642361389901"/>
  </r>
  <r>
    <x v="29"/>
    <s v="Truck 2"/>
    <n v="695"/>
    <n v="695"/>
    <n v="87.772661870503597"/>
    <n v="111.528162025041"/>
    <n v="6.2822365403698699"/>
    <n v="188.80651070255399"/>
    <n v="0"/>
    <n v="0"/>
    <n v="1275.1164469999901"/>
    <n v="1081.8147216329901"/>
  </r>
  <r>
    <x v="29"/>
    <s v="Truck 3"/>
    <n v="691"/>
    <n v="691"/>
    <n v="87.276410998552805"/>
    <n v="110.172441893581"/>
    <n v="6.2822365403698699"/>
    <n v="189.335791825977"/>
    <n v="0"/>
    <n v="0"/>
    <n v="1275.47410099999"/>
    <n v="1082.157858301"/>
  </r>
  <r>
    <x v="30"/>
    <s v="Truck 0"/>
    <n v="1289"/>
    <n v="1212"/>
    <n v="77.346004654771093"/>
    <n v="202.138749769958"/>
    <n v="6.2869789946445103"/>
    <n v="422.77008248241799"/>
    <n v="0"/>
    <n v="0"/>
    <n v="2847.7118699999901"/>
    <n v="2470.49191151999"/>
  </r>
  <r>
    <x v="30"/>
    <s v="Truck 1"/>
    <n v="1125"/>
    <n v="1123"/>
    <n v="70.141333333333293"/>
    <n v="197.06119062827699"/>
    <n v="6.2869789946445103"/>
    <n v="386.81185557515499"/>
    <n v="0"/>
    <n v="0"/>
    <n v="2732.9777289999902"/>
    <n v="2342.75869705899"/>
  </r>
  <r>
    <x v="30"/>
    <s v="Truck 2"/>
    <n v="697"/>
    <n v="697"/>
    <n v="88.055954088952603"/>
    <n v="111.528131305831"/>
    <n v="6.2869789946445103"/>
    <n v="188.56755666498199"/>
    <n v="0"/>
    <n v="0"/>
    <n v="1280.2471310000001"/>
    <n v="1085.6436380169901"/>
  </r>
  <r>
    <x v="30"/>
    <s v="Truck 3"/>
    <n v="693"/>
    <n v="693"/>
    <n v="87.594516594516506"/>
    <n v="110.92178053924501"/>
    <n v="6.2869789946445103"/>
    <n v="190.08953526525701"/>
    <n v="0"/>
    <n v="0"/>
    <n v="1275.8611969999899"/>
    <n v="1081.423091677"/>
  </r>
  <r>
    <x v="31"/>
    <s v="Truck 0"/>
    <n v="1293"/>
    <n v="1215"/>
    <n v="77.723897911832907"/>
    <n v="202.96219224129601"/>
    <n v="6.3332257013516999"/>
    <n v="425.93858724151301"/>
    <n v="0"/>
    <n v="0"/>
    <n v="2811.3945879999901"/>
    <n v="2437.8102630429898"/>
  </r>
  <r>
    <x v="31"/>
    <s v="Truck 1"/>
    <n v="1128"/>
    <n v="1126"/>
    <n v="70.480496453900699"/>
    <n v="197.31862085178099"/>
    <n v="6.3332257013516999"/>
    <n v="385.29942596171003"/>
    <n v="0"/>
    <n v="0"/>
    <n v="2740.9682769999999"/>
    <n v="2349.67506391799"/>
  </r>
  <r>
    <x v="31"/>
    <s v="Truck 2"/>
    <n v="699"/>
    <n v="699"/>
    <n v="88.349070100142995"/>
    <n v="111.59278711512999"/>
    <n v="6.3332257013516999"/>
    <n v="188.72301660829999"/>
    <n v="0"/>
    <n v="0"/>
    <n v="1267.0438159999901"/>
    <n v="1076.4564543499901"/>
  </r>
  <r>
    <x v="31"/>
    <s v="Truck 3"/>
    <n v="694"/>
    <n v="694"/>
    <n v="87.714697406339994"/>
    <n v="111.259229069444"/>
    <n v="6.3332257013516999"/>
    <n v="190.685402042595"/>
    <n v="0"/>
    <n v="0"/>
    <n v="1277.1177539999901"/>
    <n v="1082.344515585"/>
  </r>
  <r>
    <x v="32"/>
    <s v="Truck 0"/>
    <n v="1288"/>
    <n v="1210"/>
    <n v="77.253105590062106"/>
    <n v="202.090357863268"/>
    <n v="6.2661883822284796"/>
    <n v="422.57974577789503"/>
    <n v="0"/>
    <n v="0"/>
    <n v="2830.7992489999901"/>
    <n v="2455.02845694399"/>
  </r>
  <r>
    <x v="32"/>
    <s v="Truck 1"/>
    <n v="1124"/>
    <n v="1124"/>
    <n v="70.028469750889599"/>
    <n v="196.79743590001999"/>
    <n v="6.2661883822284796"/>
    <n v="383.67562883620201"/>
    <n v="0"/>
    <n v="0"/>
    <n v="2735.9998329999999"/>
    <n v="2344.1089398599902"/>
  </r>
  <r>
    <x v="32"/>
    <s v="Truck 2"/>
    <n v="697"/>
    <n v="697"/>
    <n v="88.064562410329899"/>
    <n v="110.81563599147501"/>
    <n v="6.2661883822284796"/>
    <n v="188.47317315308899"/>
    <n v="0"/>
    <n v="0"/>
    <n v="1281.05039299999"/>
    <n v="1086.0830298809999"/>
  </r>
  <r>
    <x v="32"/>
    <s v="Truck 3"/>
    <n v="693"/>
    <n v="693"/>
    <n v="87.5772005772005"/>
    <n v="110.42917977637499"/>
    <n v="6.2661883822284796"/>
    <n v="189.581056473996"/>
    <n v="0"/>
    <n v="0"/>
    <n v="1271.3129239999901"/>
    <n v="1078.2550499240001"/>
  </r>
  <r>
    <x v="33"/>
    <s v="Truck 0"/>
    <n v="1289"/>
    <n v="1212"/>
    <n v="77.346004654771093"/>
    <n v="201.52355513145"/>
    <n v="6.3130363884975296"/>
    <n v="422.34160319938002"/>
    <n v="0"/>
    <n v="0"/>
    <n v="2838.5696029999899"/>
    <n v="2461.57572544599"/>
  </r>
  <r>
    <x v="33"/>
    <s v="Truck 1"/>
    <n v="1124"/>
    <n v="1122"/>
    <n v="70.028469750889599"/>
    <n v="197.94612430973001"/>
    <n v="6.3130363884975296"/>
    <n v="385.19061725049301"/>
    <n v="0"/>
    <n v="0"/>
    <n v="2743.6976460000001"/>
    <n v="2350.92851216899"/>
  </r>
  <r>
    <x v="33"/>
    <s v="Truck 2"/>
    <n v="699"/>
    <n v="699"/>
    <n v="88.340486409155901"/>
    <n v="112.56891400671"/>
    <n v="6.3130363884975296"/>
    <n v="189.76430173857801"/>
    <n v="0"/>
    <n v="0"/>
    <n v="1284.32839099999"/>
    <n v="1091.6044907739899"/>
  </r>
  <r>
    <x v="33"/>
    <s v="Truck 3"/>
    <n v="695"/>
    <n v="695"/>
    <n v="87.880575539568298"/>
    <n v="111.35540049506901"/>
    <n v="6.3130363884975296"/>
    <n v="189.55431884908401"/>
    <n v="0"/>
    <n v="0"/>
    <n v="1283.71180999999"/>
    <n v="1089.1707899630001"/>
  </r>
  <r>
    <x v="34"/>
    <s v="Truck 0"/>
    <n v="1287"/>
    <n v="1210"/>
    <n v="77.160839160839103"/>
    <n v="200.82815732027601"/>
    <n v="6.2488382633774497"/>
    <n v="422.62906596649998"/>
    <n v="0"/>
    <n v="0"/>
    <n v="2833.1422539999899"/>
    <n v="2455.6314342139899"/>
  </r>
  <r>
    <x v="34"/>
    <s v="Truck 1"/>
    <n v="1124"/>
    <n v="1122"/>
    <n v="70.028469750889599"/>
    <n v="198.20939651250501"/>
    <n v="6.2488382633774497"/>
    <n v="386.81864978378098"/>
    <n v="0"/>
    <n v="0"/>
    <n v="2779.90102599999"/>
    <n v="2379.31158998199"/>
  </r>
  <r>
    <x v="34"/>
    <s v="Truck 2"/>
    <n v="696"/>
    <n v="696"/>
    <n v="87.9152298850574"/>
    <n v="110.502188561088"/>
    <n v="6.2488382633774497"/>
    <n v="187.124355910368"/>
    <n v="0"/>
    <n v="0"/>
    <n v="1263.1676189999901"/>
    <n v="1072.4943812869999"/>
  </r>
  <r>
    <x v="34"/>
    <s v="Truck 3"/>
    <n v="691"/>
    <n v="691"/>
    <n v="87.279305354558602"/>
    <n v="110.41398506966701"/>
    <n v="6.2488382633774497"/>
    <n v="189.89546721642401"/>
    <n v="0"/>
    <n v="0"/>
    <n v="1271.15898699999"/>
    <n v="1078.198629454"/>
  </r>
  <r>
    <x v="35"/>
    <s v="Truck 0"/>
    <n v="1078"/>
    <n v="1078"/>
    <n v="37.6669758812615"/>
    <n v="139.91583267078801"/>
    <n v="13.777419069066999"/>
    <n v="369.11129757457701"/>
    <n v="0"/>
    <n v="0"/>
    <n v="1901.8850629999899"/>
    <n v="1685.5099999179999"/>
  </r>
  <r>
    <x v="35"/>
    <s v="Truck 1"/>
    <n v="1067"/>
    <n v="1067"/>
    <n v="37.233364573570697"/>
    <n v="139.72578424297799"/>
    <n v="13.777419069066999"/>
    <n v="361.52233473992698"/>
    <n v="0"/>
    <n v="0"/>
    <n v="1906.48122299999"/>
    <n v="1688.7507785719999"/>
  </r>
  <r>
    <x v="35"/>
    <s v="Truck 2"/>
    <n v="714"/>
    <n v="714"/>
    <n v="35.275910364145602"/>
    <n v="94.443617239898401"/>
    <n v="13.777419069066999"/>
    <n v="240.25431661397801"/>
    <n v="0"/>
    <n v="0"/>
    <n v="1287.93827499999"/>
    <n v="1136.8721597389899"/>
  </r>
  <r>
    <x v="35"/>
    <s v="Truck 3"/>
    <n v="714"/>
    <n v="714"/>
    <n v="35.275910364145602"/>
    <n v="93.445580116863596"/>
    <n v="13.777419069066999"/>
    <n v="241.52492914941701"/>
    <n v="0"/>
    <n v="0"/>
    <n v="1195.13428199999"/>
    <n v="1056.5697678219999"/>
  </r>
  <r>
    <x v="35"/>
    <s v="Truck 4"/>
    <n v="0"/>
    <n v="0"/>
    <n v="0"/>
    <n v="0"/>
    <n v="13.777419069066999"/>
    <n v="0"/>
    <n v="0"/>
    <n v="0"/>
    <n v="0"/>
    <n v="0"/>
  </r>
  <r>
    <x v="35"/>
    <s v="Truck 5"/>
    <n v="0"/>
    <n v="0"/>
    <n v="0"/>
    <n v="0"/>
    <n v="13.777419069066999"/>
    <n v="0"/>
    <n v="0"/>
    <n v="0"/>
    <n v="0"/>
    <n v="0"/>
  </r>
  <r>
    <x v="35"/>
    <s v="Truck 6"/>
    <n v="0"/>
    <n v="0"/>
    <n v="0"/>
    <n v="0"/>
    <n v="13.777419069066999"/>
    <n v="0"/>
    <n v="0"/>
    <n v="0"/>
    <n v="0"/>
    <n v="0"/>
  </r>
  <r>
    <x v="35"/>
    <s v="Truck 7"/>
    <n v="0"/>
    <n v="0"/>
    <n v="0"/>
    <n v="0"/>
    <n v="13.777419069066999"/>
    <n v="0"/>
    <n v="0"/>
    <n v="0"/>
    <n v="0"/>
    <n v="0"/>
  </r>
  <r>
    <x v="36"/>
    <s v="Truck 0"/>
    <n v="1078"/>
    <n v="1078"/>
    <n v="37.6669758812615"/>
    <n v="139.88169180010399"/>
    <n v="13.859444676722401"/>
    <n v="369.56009124610102"/>
    <n v="0"/>
    <n v="0"/>
    <n v="1903.7988399999899"/>
    <n v="1687.9879790739999"/>
  </r>
  <r>
    <x v="36"/>
    <s v="Truck 1"/>
    <n v="1067"/>
    <n v="1067"/>
    <n v="37.233364573570697"/>
    <n v="139.007598258635"/>
    <n v="13.859444676722401"/>
    <n v="364.41801297122697"/>
    <n v="0"/>
    <n v="0"/>
    <n v="1904.4663859999901"/>
    <n v="1686.0292665889999"/>
  </r>
  <r>
    <x v="36"/>
    <s v="Truck 2"/>
    <n v="714"/>
    <n v="714"/>
    <n v="35.275910364145602"/>
    <n v="94.471140578735401"/>
    <n v="13.859444676722401"/>
    <n v="243.02887317629299"/>
    <n v="0"/>
    <n v="0"/>
    <n v="1279.6945909999899"/>
    <n v="1131.11288964199"/>
  </r>
  <r>
    <x v="36"/>
    <s v="Truck 3"/>
    <n v="714"/>
    <n v="714"/>
    <n v="35.275910364145602"/>
    <n v="93.149313967795393"/>
    <n v="13.859444676722401"/>
    <n v="242.624154157953"/>
    <n v="0"/>
    <n v="0"/>
    <n v="1194.7261429999901"/>
    <n v="1056.437549345"/>
  </r>
  <r>
    <x v="36"/>
    <s v="Truck 4"/>
    <n v="0"/>
    <n v="0"/>
    <n v="0"/>
    <n v="0"/>
    <n v="13.859444676722401"/>
    <n v="0"/>
    <n v="0"/>
    <n v="0"/>
    <n v="0"/>
    <n v="0"/>
  </r>
  <r>
    <x v="36"/>
    <s v="Truck 5"/>
    <n v="0"/>
    <n v="0"/>
    <n v="0"/>
    <n v="0"/>
    <n v="13.859444676722401"/>
    <n v="0"/>
    <n v="0"/>
    <n v="0"/>
    <n v="0"/>
    <n v="0"/>
  </r>
  <r>
    <x v="36"/>
    <s v="Truck 6"/>
    <n v="0"/>
    <n v="0"/>
    <n v="0"/>
    <n v="0"/>
    <n v="13.859444676722401"/>
    <n v="0"/>
    <n v="0"/>
    <n v="0"/>
    <n v="0"/>
    <n v="0"/>
  </r>
  <r>
    <x v="36"/>
    <s v="Truck 7"/>
    <n v="0"/>
    <n v="0"/>
    <n v="0"/>
    <n v="0"/>
    <n v="13.859444676722401"/>
    <n v="0"/>
    <n v="0"/>
    <n v="0"/>
    <n v="0"/>
    <n v="0"/>
  </r>
  <r>
    <x v="37"/>
    <s v="Truck 0"/>
    <n v="1078"/>
    <n v="1078"/>
    <n v="37.6669758812615"/>
    <n v="140.19588123743401"/>
    <n v="13.821565353079301"/>
    <n v="370.61303601081698"/>
    <n v="0"/>
    <n v="0"/>
    <n v="1892.50761499999"/>
    <n v="1678.7555884210001"/>
  </r>
  <r>
    <x v="37"/>
    <s v="Truck 1"/>
    <n v="1067"/>
    <n v="1067"/>
    <n v="37.233364573570697"/>
    <n v="139.61450232409399"/>
    <n v="13.821565353079301"/>
    <n v="361.11921092828902"/>
    <n v="0"/>
    <n v="0"/>
    <n v="1906.86223699999"/>
    <n v="1688.726328559"/>
  </r>
  <r>
    <x v="37"/>
    <s v="Truck 2"/>
    <n v="714"/>
    <n v="714"/>
    <n v="35.275910364145602"/>
    <n v="94.218173914314903"/>
    <n v="13.821565353079301"/>
    <n v="241.657551649949"/>
    <n v="0"/>
    <n v="0"/>
    <n v="1279.41555699999"/>
    <n v="1129.7754480579899"/>
  </r>
  <r>
    <x v="37"/>
    <s v="Truck 3"/>
    <n v="714"/>
    <n v="714"/>
    <n v="35.275910364145602"/>
    <n v="93.168246323122403"/>
    <n v="13.821565353079301"/>
    <n v="242.90795248192501"/>
    <n v="0"/>
    <n v="0"/>
    <n v="1191.73193499999"/>
    <n v="1054.945093782"/>
  </r>
  <r>
    <x v="37"/>
    <s v="Truck 4"/>
    <n v="0"/>
    <n v="0"/>
    <n v="0"/>
    <n v="0"/>
    <n v="13.821565353079301"/>
    <n v="0"/>
    <n v="0"/>
    <n v="0"/>
    <n v="0"/>
    <n v="0"/>
  </r>
  <r>
    <x v="37"/>
    <s v="Truck 5"/>
    <n v="0"/>
    <n v="0"/>
    <n v="0"/>
    <n v="0"/>
    <n v="13.821565353079301"/>
    <n v="0"/>
    <n v="0"/>
    <n v="0"/>
    <n v="0"/>
    <n v="0"/>
  </r>
  <r>
    <x v="37"/>
    <s v="Truck 6"/>
    <n v="0"/>
    <n v="0"/>
    <n v="0"/>
    <n v="0"/>
    <n v="13.821565353079301"/>
    <n v="0"/>
    <n v="0"/>
    <n v="0"/>
    <n v="0"/>
    <n v="0"/>
  </r>
  <r>
    <x v="37"/>
    <s v="Truck 7"/>
    <n v="0"/>
    <n v="0"/>
    <n v="0"/>
    <n v="0"/>
    <n v="13.821565353079301"/>
    <n v="0"/>
    <n v="0"/>
    <n v="0"/>
    <n v="0"/>
    <n v="0"/>
  </r>
  <r>
    <x v="38"/>
    <s v="Truck 0"/>
    <n v="1078"/>
    <n v="1078"/>
    <n v="37.6669758812615"/>
    <n v="139.85109433603699"/>
    <n v="14.136178372484901"/>
    <n v="371.14901591180598"/>
    <n v="0"/>
    <n v="0"/>
    <n v="1893.5781139999899"/>
    <n v="1679.7874143689901"/>
  </r>
  <r>
    <x v="38"/>
    <s v="Truck 1"/>
    <n v="1067"/>
    <n v="1067"/>
    <n v="37.233364573570697"/>
    <n v="139.19600024693599"/>
    <n v="14.136178372484901"/>
    <n v="360.546298525098"/>
    <n v="0"/>
    <n v="0"/>
    <n v="1902.1707229999899"/>
    <n v="1685.21901430199"/>
  </r>
  <r>
    <x v="38"/>
    <s v="Truck 2"/>
    <n v="714"/>
    <n v="714"/>
    <n v="35.275910364145602"/>
    <n v="94.149075608692698"/>
    <n v="14.136178372484901"/>
    <n v="241.303507263819"/>
    <n v="0"/>
    <n v="0"/>
    <n v="1264.2986059999901"/>
    <n v="1118.1835395109899"/>
  </r>
  <r>
    <x v="38"/>
    <s v="Truck 3"/>
    <n v="714"/>
    <n v="714"/>
    <n v="35.275910364145602"/>
    <n v="92.557779411911298"/>
    <n v="14.136178372484901"/>
    <n v="242.712518332977"/>
    <n v="0"/>
    <n v="0"/>
    <n v="1180.0638629999901"/>
    <n v="1045.1895262779999"/>
  </r>
  <r>
    <x v="38"/>
    <s v="Truck 4"/>
    <n v="0"/>
    <n v="0"/>
    <n v="0"/>
    <n v="0"/>
    <n v="14.136178372484901"/>
    <n v="0"/>
    <n v="0"/>
    <n v="0"/>
    <n v="0"/>
    <n v="0"/>
  </r>
  <r>
    <x v="38"/>
    <s v="Truck 5"/>
    <n v="0"/>
    <n v="0"/>
    <n v="0"/>
    <n v="0"/>
    <n v="14.136178372484901"/>
    <n v="0"/>
    <n v="0"/>
    <n v="0"/>
    <n v="0"/>
    <n v="0"/>
  </r>
  <r>
    <x v="38"/>
    <s v="Truck 6"/>
    <n v="0"/>
    <n v="0"/>
    <n v="0"/>
    <n v="0"/>
    <n v="14.136178372484901"/>
    <n v="0"/>
    <n v="0"/>
    <n v="0"/>
    <n v="0"/>
    <n v="0"/>
  </r>
  <r>
    <x v="38"/>
    <s v="Truck 7"/>
    <n v="0"/>
    <n v="0"/>
    <n v="0"/>
    <n v="0"/>
    <n v="14.136178372484901"/>
    <n v="0"/>
    <n v="0"/>
    <n v="0"/>
    <n v="0"/>
    <n v="0"/>
  </r>
  <r>
    <x v="39"/>
    <s v="Truck 0"/>
    <n v="1287"/>
    <n v="1209"/>
    <n v="77.160839160839103"/>
    <n v="201.504803108206"/>
    <n v="6.3724031994442498"/>
    <n v="425.72679075251699"/>
    <n v="0"/>
    <n v="0"/>
    <n v="2793.3199279999899"/>
    <n v="2423.5327666029898"/>
  </r>
  <r>
    <x v="39"/>
    <s v="Truck 1"/>
    <n v="1124"/>
    <n v="1122"/>
    <n v="70.030249110320199"/>
    <n v="197.33630161672701"/>
    <n v="6.3724031994442498"/>
    <n v="386.35227161515598"/>
    <n v="0"/>
    <n v="0"/>
    <n v="2734.9962519999999"/>
    <n v="2343.3742238099899"/>
  </r>
  <r>
    <x v="39"/>
    <s v="Truck 2"/>
    <n v="700"/>
    <n v="700"/>
    <n v="88.484285714285704"/>
    <n v="111.264130445722"/>
    <n v="6.3724031994442498"/>
    <n v="190.165246538746"/>
    <n v="0"/>
    <n v="0"/>
    <n v="1276.6291329999899"/>
    <n v="1085.02628625699"/>
  </r>
  <r>
    <x v="39"/>
    <s v="Truck 3"/>
    <n v="695"/>
    <n v="695"/>
    <n v="87.847482014388405"/>
    <n v="110.87230226405001"/>
    <n v="6.3724031994442498"/>
    <n v="189.395089389655"/>
    <n v="0"/>
    <n v="0"/>
    <n v="1276.5925259999899"/>
    <n v="1082.584851821"/>
  </r>
  <r>
    <x v="40"/>
    <s v="Truck 0"/>
    <n v="1078"/>
    <n v="1078"/>
    <n v="37.6669758812615"/>
    <n v="140.48361726238301"/>
    <n v="13.9468796030439"/>
    <n v="368.19515278368698"/>
    <n v="0"/>
    <n v="0"/>
    <n v="1901.7667669999901"/>
    <n v="1684.8101157379999"/>
  </r>
  <r>
    <x v="40"/>
    <s v="Truck 1"/>
    <n v="1067"/>
    <n v="1067"/>
    <n v="37.233364573570697"/>
    <n v="138.92846348332901"/>
    <n v="13.9468796030439"/>
    <n v="361.28470551285301"/>
    <n v="0"/>
    <n v="0"/>
    <n v="1906.87326999999"/>
    <n v="1690.38451710099"/>
  </r>
  <r>
    <x v="40"/>
    <s v="Truck 2"/>
    <n v="714"/>
    <n v="714"/>
    <n v="35.275910364145602"/>
    <n v="94.259148846718304"/>
    <n v="13.9468796030439"/>
    <n v="240.96655818617401"/>
    <n v="0"/>
    <n v="0"/>
    <n v="1279.75084099999"/>
    <n v="1131.57967749299"/>
  </r>
  <r>
    <x v="40"/>
    <s v="Truck 3"/>
    <n v="714"/>
    <n v="714"/>
    <n v="35.275910364145602"/>
    <n v="92.442805811281602"/>
    <n v="13.9468796030439"/>
    <n v="242.93210898210501"/>
    <n v="0"/>
    <n v="0"/>
    <n v="1180.2967739999899"/>
    <n v="1045.490159984"/>
  </r>
  <r>
    <x v="40"/>
    <s v="Truck 4"/>
    <n v="0"/>
    <n v="0"/>
    <n v="0"/>
    <n v="0"/>
    <n v="13.9468796030439"/>
    <n v="0"/>
    <n v="0"/>
    <n v="0"/>
    <n v="0"/>
    <n v="0"/>
  </r>
  <r>
    <x v="40"/>
    <s v="Truck 5"/>
    <n v="0"/>
    <n v="0"/>
    <n v="0"/>
    <n v="0"/>
    <n v="13.9468796030439"/>
    <n v="0"/>
    <n v="0"/>
    <n v="0"/>
    <n v="0"/>
    <n v="0"/>
  </r>
  <r>
    <x v="40"/>
    <s v="Truck 6"/>
    <n v="0"/>
    <n v="0"/>
    <n v="0"/>
    <n v="0"/>
    <n v="13.9468796030439"/>
    <n v="0"/>
    <n v="0"/>
    <n v="0"/>
    <n v="0"/>
    <n v="0"/>
  </r>
  <r>
    <x v="40"/>
    <s v="Truck 7"/>
    <n v="0"/>
    <n v="0"/>
    <n v="0"/>
    <n v="0"/>
    <n v="13.9468796030439"/>
    <n v="0"/>
    <n v="0"/>
    <n v="0"/>
    <n v="0"/>
    <n v="0"/>
  </r>
  <r>
    <x v="41"/>
    <s v="Truck 0"/>
    <n v="1078"/>
    <n v="1078"/>
    <n v="37.6669758812615"/>
    <n v="140.35332729067599"/>
    <n v="13.9602569620377"/>
    <n v="368.85668857769502"/>
    <n v="0"/>
    <n v="0"/>
    <n v="1905.4664129999901"/>
    <n v="1688.3831220540001"/>
  </r>
  <r>
    <x v="41"/>
    <s v="Truck 1"/>
    <n v="1067"/>
    <n v="1067"/>
    <n v="37.233364573570697"/>
    <n v="139.21966989412101"/>
    <n v="13.9602569620377"/>
    <n v="362.11546352915002"/>
    <n v="0"/>
    <n v="0"/>
    <n v="1906.4593129999901"/>
    <n v="1687.45682338499"/>
  </r>
  <r>
    <x v="41"/>
    <s v="Truck 2"/>
    <n v="714"/>
    <n v="714"/>
    <n v="35.275910364145602"/>
    <n v="93.764962961065194"/>
    <n v="13.9602569620377"/>
    <n v="241.18050759122499"/>
    <n v="0"/>
    <n v="0"/>
    <n v="1264.8295539999899"/>
    <n v="1118.1149500859899"/>
  </r>
  <r>
    <x v="41"/>
    <s v="Truck 3"/>
    <n v="714"/>
    <n v="714"/>
    <n v="35.275910364145602"/>
    <n v="93.462804033368698"/>
    <n v="13.9602569620377"/>
    <n v="242.38969599920901"/>
    <n v="0"/>
    <n v="0"/>
    <n v="1193.89524799999"/>
    <n v="1055.9553794389999"/>
  </r>
  <r>
    <x v="41"/>
    <s v="Truck 4"/>
    <n v="0"/>
    <n v="0"/>
    <n v="0"/>
    <n v="0"/>
    <n v="13.9602569620377"/>
    <n v="0"/>
    <n v="0"/>
    <n v="0"/>
    <n v="0"/>
    <n v="0"/>
  </r>
  <r>
    <x v="41"/>
    <s v="Truck 5"/>
    <n v="0"/>
    <n v="0"/>
    <n v="0"/>
    <n v="0"/>
    <n v="13.9602569620377"/>
    <n v="0"/>
    <n v="0"/>
    <n v="0"/>
    <n v="0"/>
    <n v="0"/>
  </r>
  <r>
    <x v="41"/>
    <s v="Truck 6"/>
    <n v="0"/>
    <n v="0"/>
    <n v="0"/>
    <n v="0"/>
    <n v="13.9602569620377"/>
    <n v="0"/>
    <n v="0"/>
    <n v="0"/>
    <n v="0"/>
    <n v="0"/>
  </r>
  <r>
    <x v="41"/>
    <s v="Truck 7"/>
    <n v="0"/>
    <n v="0"/>
    <n v="0"/>
    <n v="0"/>
    <n v="13.9602569620377"/>
    <n v="0"/>
    <n v="0"/>
    <n v="0"/>
    <n v="0"/>
    <n v="0"/>
  </r>
  <r>
    <x v="42"/>
    <s v="Truck 0"/>
    <n v="1078"/>
    <n v="1078"/>
    <n v="37.6669758812615"/>
    <n v="140.46358258477599"/>
    <n v="13.9306803537596"/>
    <n v="367.32352066186701"/>
    <n v="0"/>
    <n v="0"/>
    <n v="1898.50169799999"/>
    <n v="1681.977363495"/>
  </r>
  <r>
    <x v="42"/>
    <s v="Truck 1"/>
    <n v="1067"/>
    <n v="1067"/>
    <n v="37.233364573570697"/>
    <n v="139.51223292010499"/>
    <n v="13.9306803537596"/>
    <n v="362.09236964271901"/>
    <n v="0"/>
    <n v="0"/>
    <n v="1907.27761099999"/>
    <n v="1690.3324331459901"/>
  </r>
  <r>
    <x v="42"/>
    <s v="Truck 2"/>
    <n v="714"/>
    <n v="714"/>
    <n v="35.275910364145602"/>
    <n v="93.832101258620398"/>
    <n v="13.9306803537596"/>
    <n v="239.70516161184401"/>
    <n v="0"/>
    <n v="0"/>
    <n v="1264.7983629999901"/>
    <n v="1119.2946331559899"/>
  </r>
  <r>
    <x v="42"/>
    <s v="Truck 3"/>
    <n v="714"/>
    <n v="714"/>
    <n v="35.275910364145602"/>
    <n v="93.626961655442202"/>
    <n v="13.9306803537596"/>
    <n v="242.848138860657"/>
    <n v="0"/>
    <n v="0"/>
    <n v="1194.6833529999899"/>
    <n v="1056.628386332"/>
  </r>
  <r>
    <x v="42"/>
    <s v="Truck 4"/>
    <n v="0"/>
    <n v="0"/>
    <n v="0"/>
    <n v="0"/>
    <n v="13.9306803537596"/>
    <n v="0"/>
    <n v="0"/>
    <n v="0"/>
    <n v="0"/>
    <n v="0"/>
  </r>
  <r>
    <x v="42"/>
    <s v="Truck 5"/>
    <n v="0"/>
    <n v="0"/>
    <n v="0"/>
    <n v="0"/>
    <n v="13.9306803537596"/>
    <n v="0"/>
    <n v="0"/>
    <n v="0"/>
    <n v="0"/>
    <n v="0"/>
  </r>
  <r>
    <x v="42"/>
    <s v="Truck 6"/>
    <n v="0"/>
    <n v="0"/>
    <n v="0"/>
    <n v="0"/>
    <n v="13.9306803537596"/>
    <n v="0"/>
    <n v="0"/>
    <n v="0"/>
    <n v="0"/>
    <n v="0"/>
  </r>
  <r>
    <x v="42"/>
    <s v="Truck 7"/>
    <n v="0"/>
    <n v="0"/>
    <n v="0"/>
    <n v="0"/>
    <n v="13.9306803537596"/>
    <n v="0"/>
    <n v="0"/>
    <n v="0"/>
    <n v="0"/>
    <n v="0"/>
  </r>
  <r>
    <x v="43"/>
    <s v="Truck 0"/>
    <n v="1078"/>
    <n v="1078"/>
    <n v="37.6669758812615"/>
    <n v="140.141007513163"/>
    <n v="13.915986258389101"/>
    <n v="366.43712601608797"/>
    <n v="0"/>
    <n v="0"/>
    <n v="1901.3124869999899"/>
    <n v="1684.160101576"/>
  </r>
  <r>
    <x v="43"/>
    <s v="Truck 1"/>
    <n v="1067"/>
    <n v="1067"/>
    <n v="37.233364573570697"/>
    <n v="139.40583790945101"/>
    <n v="13.915986258389101"/>
    <n v="360.17117468355298"/>
    <n v="0"/>
    <n v="0"/>
    <n v="1907.4117819999899"/>
    <n v="1689.36486732199"/>
  </r>
  <r>
    <x v="43"/>
    <s v="Truck 2"/>
    <n v="714"/>
    <n v="714"/>
    <n v="35.275910364145602"/>
    <n v="93.807901295289696"/>
    <n v="13.915986258389101"/>
    <n v="240.53420825220201"/>
    <n v="0"/>
    <n v="0"/>
    <n v="1264.8295539999899"/>
    <n v="1117.98779110499"/>
  </r>
  <r>
    <x v="43"/>
    <s v="Truck 3"/>
    <n v="714"/>
    <n v="714"/>
    <n v="35.275910364145602"/>
    <n v="92.9820636325815"/>
    <n v="13.915986258389101"/>
    <n v="243.54829552800999"/>
    <n v="0"/>
    <n v="0"/>
    <n v="1194.3500319999901"/>
    <n v="1056.4469076800001"/>
  </r>
  <r>
    <x v="43"/>
    <s v="Truck 4"/>
    <n v="0"/>
    <n v="0"/>
    <n v="0"/>
    <n v="0"/>
    <n v="13.915986258389101"/>
    <n v="0"/>
    <n v="0"/>
    <n v="0"/>
    <n v="0"/>
    <n v="0"/>
  </r>
  <r>
    <x v="43"/>
    <s v="Truck 5"/>
    <n v="0"/>
    <n v="0"/>
    <n v="0"/>
    <n v="0"/>
    <n v="13.915986258389101"/>
    <n v="0"/>
    <n v="0"/>
    <n v="0"/>
    <n v="0"/>
    <n v="0"/>
  </r>
  <r>
    <x v="43"/>
    <s v="Truck 6"/>
    <n v="0"/>
    <n v="0"/>
    <n v="0"/>
    <n v="0"/>
    <n v="13.915986258389101"/>
    <n v="0"/>
    <n v="0"/>
    <n v="0"/>
    <n v="0"/>
    <n v="0"/>
  </r>
  <r>
    <x v="43"/>
    <s v="Truck 7"/>
    <n v="0"/>
    <n v="0"/>
    <n v="0"/>
    <n v="0"/>
    <n v="13.915986258389101"/>
    <n v="0"/>
    <n v="0"/>
    <n v="0"/>
    <n v="0"/>
    <n v="0"/>
  </r>
  <r>
    <x v="44"/>
    <s v="Truck 0"/>
    <n v="730"/>
    <n v="730"/>
    <n v="25.658904109588999"/>
    <n v="102.087243864534"/>
    <n v="10.9288171039237"/>
    <n v="247.51111946298201"/>
    <n v="0"/>
    <n v="0"/>
    <n v="1398.4658240000001"/>
    <n v="1213.9574989519999"/>
  </r>
  <r>
    <x v="44"/>
    <s v="Truck 1"/>
    <n v="718"/>
    <n v="718"/>
    <n v="25.268802228412198"/>
    <n v="100.56611347625601"/>
    <n v="10.9288171039237"/>
    <n v="239.62741082632601"/>
    <n v="0"/>
    <n v="0"/>
    <n v="1378.7749189999899"/>
    <n v="1191.6152149669899"/>
  </r>
  <r>
    <x v="44"/>
    <s v="Truck 2"/>
    <n v="711"/>
    <n v="711"/>
    <n v="24.992967651195499"/>
    <n v="100.36055391549201"/>
    <n v="10.9288171039237"/>
    <n v="241.47063681028499"/>
    <n v="0"/>
    <n v="0"/>
    <n v="1381.0728749999901"/>
    <n v="1197.364608246"/>
  </r>
  <r>
    <x v="44"/>
    <s v="Truck 3"/>
    <n v="476"/>
    <n v="476"/>
    <n v="23.716386554621799"/>
    <n v="68.727359521473204"/>
    <n v="10.9288171039237"/>
    <n v="160.56578264726301"/>
    <n v="0"/>
    <n v="0"/>
    <n v="935.64821899999902"/>
    <n v="804.84606467799995"/>
  </r>
  <r>
    <x v="44"/>
    <s v="Truck 4"/>
    <n v="476"/>
    <n v="476"/>
    <n v="23.716386554621799"/>
    <n v="68.634944522063606"/>
    <n v="10.9288171039237"/>
    <n v="162.18721668423501"/>
    <n v="0"/>
    <n v="0"/>
    <n v="900.274496"/>
    <n v="776.42209001499998"/>
  </r>
  <r>
    <x v="44"/>
    <s v="Truck 5"/>
    <n v="476"/>
    <n v="476"/>
    <n v="23.716386554621799"/>
    <n v="68.287947783372601"/>
    <n v="10.9288171039237"/>
    <n v="161.73653210444499"/>
    <n v="0"/>
    <n v="0"/>
    <n v="884.59301000000005"/>
    <n v="760.19657443200003"/>
  </r>
  <r>
    <x v="44"/>
    <s v="Truck 6"/>
    <n v="0"/>
    <n v="0"/>
    <n v="0"/>
    <n v="0"/>
    <n v="10.9288171039237"/>
    <n v="0"/>
    <n v="0"/>
    <n v="0"/>
    <n v="0"/>
    <n v="0"/>
  </r>
  <r>
    <x v="44"/>
    <s v="Truck 7"/>
    <n v="0"/>
    <n v="0"/>
    <n v="0"/>
    <n v="0"/>
    <n v="10.9288171039237"/>
    <n v="0"/>
    <n v="0"/>
    <n v="0"/>
    <n v="0"/>
    <n v="0"/>
  </r>
  <r>
    <x v="44"/>
    <s v="Truck 8"/>
    <n v="0"/>
    <n v="0"/>
    <n v="0"/>
    <n v="0"/>
    <n v="10.9288171039237"/>
    <n v="0"/>
    <n v="0"/>
    <n v="0"/>
    <n v="0"/>
    <n v="0"/>
  </r>
  <r>
    <x v="44"/>
    <s v="Truck 9"/>
    <n v="0"/>
    <n v="0"/>
    <n v="0"/>
    <n v="0"/>
    <n v="10.9288171039237"/>
    <n v="0"/>
    <n v="0"/>
    <n v="0"/>
    <n v="0"/>
    <n v="0"/>
  </r>
  <r>
    <x v="44"/>
    <s v="Truck 10"/>
    <n v="0"/>
    <n v="0"/>
    <n v="0"/>
    <n v="0"/>
    <n v="10.9288171039237"/>
    <n v="0"/>
    <n v="0"/>
    <n v="0"/>
    <n v="0"/>
    <n v="0"/>
  </r>
  <r>
    <x v="44"/>
    <s v="Truck 11"/>
    <n v="0"/>
    <n v="0"/>
    <n v="0"/>
    <n v="0"/>
    <n v="10.9288171039237"/>
    <n v="0"/>
    <n v="0"/>
    <n v="0"/>
    <n v="0"/>
    <n v="0"/>
  </r>
  <r>
    <x v="45"/>
    <s v="Truck 0"/>
    <n v="730"/>
    <n v="730"/>
    <n v="25.658904109588999"/>
    <n v="102.458399705038"/>
    <n v="10.905279146247899"/>
    <n v="247.11905066340699"/>
    <n v="0"/>
    <n v="0"/>
    <n v="1401.1910909999999"/>
    <n v="1216.5061801700001"/>
  </r>
  <r>
    <x v="45"/>
    <s v="Truck 1"/>
    <n v="718"/>
    <n v="718"/>
    <n v="25.268802228412198"/>
    <n v="101.03447849948699"/>
    <n v="10.905279146247899"/>
    <n v="238.459799801043"/>
    <n v="0"/>
    <n v="0"/>
    <n v="1374.73710199999"/>
    <n v="1188.8599396509901"/>
  </r>
  <r>
    <x v="45"/>
    <s v="Truck 2"/>
    <n v="711"/>
    <n v="711"/>
    <n v="24.992967651195499"/>
    <n v="100.17933302544699"/>
    <n v="10.905279146247899"/>
    <n v="242.61351939918299"/>
    <n v="0"/>
    <n v="0"/>
    <n v="1379.34490199999"/>
    <n v="1196.0158055899999"/>
  </r>
  <r>
    <x v="45"/>
    <s v="Truck 3"/>
    <n v="476"/>
    <n v="476"/>
    <n v="23.716386554621799"/>
    <n v="69.284227926258694"/>
    <n v="10.905279146247899"/>
    <n v="159.465325448367"/>
    <n v="0"/>
    <n v="0"/>
    <n v="936.06882599999904"/>
    <n v="806.67844054900002"/>
  </r>
  <r>
    <x v="45"/>
    <s v="Truck 4"/>
    <n v="476"/>
    <n v="476"/>
    <n v="23.716386554621799"/>
    <n v="68.655789661640497"/>
    <n v="10.905279146247899"/>
    <n v="161.68593027114699"/>
    <n v="0"/>
    <n v="0"/>
    <n v="898.30395899999996"/>
    <n v="775.03338751900003"/>
  </r>
  <r>
    <x v="45"/>
    <s v="Truck 5"/>
    <n v="476"/>
    <n v="476"/>
    <n v="23.716386554621799"/>
    <n v="68.231389886333702"/>
    <n v="10.905279146247899"/>
    <n v="161.14235965037199"/>
    <n v="0"/>
    <n v="0"/>
    <n v="885.27715899999998"/>
    <n v="763.46883186299999"/>
  </r>
  <r>
    <x v="45"/>
    <s v="Truck 6"/>
    <n v="0"/>
    <n v="0"/>
    <n v="0"/>
    <n v="0"/>
    <n v="10.905279146247899"/>
    <n v="0"/>
    <n v="0"/>
    <n v="0"/>
    <n v="0"/>
    <n v="0"/>
  </r>
  <r>
    <x v="45"/>
    <s v="Truck 7"/>
    <n v="0"/>
    <n v="0"/>
    <n v="0"/>
    <n v="0"/>
    <n v="10.905279146247899"/>
    <n v="0"/>
    <n v="0"/>
    <n v="0"/>
    <n v="0"/>
    <n v="0"/>
  </r>
  <r>
    <x v="45"/>
    <s v="Truck 8"/>
    <n v="0"/>
    <n v="0"/>
    <n v="0"/>
    <n v="0"/>
    <n v="10.905279146247899"/>
    <n v="0"/>
    <n v="0"/>
    <n v="0"/>
    <n v="0"/>
    <n v="0"/>
  </r>
  <r>
    <x v="45"/>
    <s v="Truck 9"/>
    <n v="0"/>
    <n v="0"/>
    <n v="0"/>
    <n v="0"/>
    <n v="10.905279146247899"/>
    <n v="0"/>
    <n v="0"/>
    <n v="0"/>
    <n v="0"/>
    <n v="0"/>
  </r>
  <r>
    <x v="45"/>
    <s v="Truck 10"/>
    <n v="0"/>
    <n v="0"/>
    <n v="0"/>
    <n v="0"/>
    <n v="10.905279146247899"/>
    <n v="0"/>
    <n v="0"/>
    <n v="0"/>
    <n v="0"/>
    <n v="0"/>
  </r>
  <r>
    <x v="45"/>
    <s v="Truck 11"/>
    <n v="0"/>
    <n v="0"/>
    <n v="0"/>
    <n v="0"/>
    <n v="10.905279146247899"/>
    <n v="0"/>
    <n v="0"/>
    <n v="0"/>
    <n v="0"/>
    <n v="0"/>
  </r>
  <r>
    <x v="46"/>
    <s v="Truck 0"/>
    <n v="730"/>
    <n v="730"/>
    <n v="25.658904109588999"/>
    <n v="102.626389192858"/>
    <n v="10.9369689363227"/>
    <n v="247.79907616208101"/>
    <n v="0"/>
    <n v="0"/>
    <n v="1403.159269"/>
    <n v="1219.8699838749999"/>
  </r>
  <r>
    <x v="46"/>
    <s v="Truck 1"/>
    <n v="718"/>
    <n v="718"/>
    <n v="25.268802228412198"/>
    <n v="100.669356221802"/>
    <n v="10.9369689363227"/>
    <n v="241.078391441219"/>
    <n v="0"/>
    <n v="0"/>
    <n v="1376.0724259999899"/>
    <n v="1192.5136546199899"/>
  </r>
  <r>
    <x v="46"/>
    <s v="Truck 2"/>
    <n v="711"/>
    <n v="711"/>
    <n v="24.992967651195499"/>
    <n v="100.215720454148"/>
    <n v="10.9369689363227"/>
    <n v="241.78852074615801"/>
    <n v="0"/>
    <n v="0"/>
    <n v="1381.96515399999"/>
    <n v="1196.8589564009999"/>
  </r>
  <r>
    <x v="46"/>
    <s v="Truck 3"/>
    <n v="476"/>
    <n v="476"/>
    <n v="23.716386554621799"/>
    <n v="68.964585107306405"/>
    <n v="10.9369689363227"/>
    <n v="160.044391481286"/>
    <n v="0"/>
    <n v="0"/>
    <n v="935.09771699999897"/>
    <n v="804.86873655699901"/>
  </r>
  <r>
    <x v="46"/>
    <s v="Truck 4"/>
    <n v="476"/>
    <n v="476"/>
    <n v="23.716386554621799"/>
    <n v="68.568649303417004"/>
    <n v="10.9369689363227"/>
    <n v="162.49774026192699"/>
    <n v="0"/>
    <n v="0"/>
    <n v="896.20687499999997"/>
    <n v="770.96836212400001"/>
  </r>
  <r>
    <x v="46"/>
    <s v="Truck 5"/>
    <n v="476"/>
    <n v="476"/>
    <n v="23.716386554621799"/>
    <n v="68.365059695736605"/>
    <n v="10.9369689363227"/>
    <n v="160.795431839146"/>
    <n v="0"/>
    <n v="0"/>
    <n v="886.16614600000003"/>
    <n v="761.65137329599997"/>
  </r>
  <r>
    <x v="46"/>
    <s v="Truck 6"/>
    <n v="0"/>
    <n v="0"/>
    <n v="0"/>
    <n v="0"/>
    <n v="10.9369689363227"/>
    <n v="0"/>
    <n v="0"/>
    <n v="0"/>
    <n v="0"/>
    <n v="0"/>
  </r>
  <r>
    <x v="46"/>
    <s v="Truck 7"/>
    <n v="0"/>
    <n v="0"/>
    <n v="0"/>
    <n v="0"/>
    <n v="10.9369689363227"/>
    <n v="0"/>
    <n v="0"/>
    <n v="0"/>
    <n v="0"/>
    <n v="0"/>
  </r>
  <r>
    <x v="46"/>
    <s v="Truck 8"/>
    <n v="0"/>
    <n v="0"/>
    <n v="0"/>
    <n v="0"/>
    <n v="10.9369689363227"/>
    <n v="0"/>
    <n v="0"/>
    <n v="0"/>
    <n v="0"/>
    <n v="0"/>
  </r>
  <r>
    <x v="46"/>
    <s v="Truck 9"/>
    <n v="0"/>
    <n v="0"/>
    <n v="0"/>
    <n v="0"/>
    <n v="10.9369689363227"/>
    <n v="0"/>
    <n v="0"/>
    <n v="0"/>
    <n v="0"/>
    <n v="0"/>
  </r>
  <r>
    <x v="46"/>
    <s v="Truck 10"/>
    <n v="0"/>
    <n v="0"/>
    <n v="0"/>
    <n v="0"/>
    <n v="10.9369689363227"/>
    <n v="0"/>
    <n v="0"/>
    <n v="0"/>
    <n v="0"/>
    <n v="0"/>
  </r>
  <r>
    <x v="46"/>
    <s v="Truck 11"/>
    <n v="0"/>
    <n v="0"/>
    <n v="0"/>
    <n v="0"/>
    <n v="10.9369689363227"/>
    <n v="0"/>
    <n v="0"/>
    <n v="0"/>
    <n v="0"/>
    <n v="0"/>
  </r>
  <r>
    <x v="47"/>
    <s v="Truck 0"/>
    <n v="730"/>
    <n v="730"/>
    <n v="25.658904109588999"/>
    <n v="101.823220589325"/>
    <n v="10.899792900983099"/>
    <n v="246.490521575022"/>
    <n v="0"/>
    <n v="0"/>
    <n v="1404.5938120000001"/>
    <n v="1219.585096062"/>
  </r>
  <r>
    <x v="47"/>
    <s v="Truck 1"/>
    <n v="718"/>
    <n v="718"/>
    <n v="25.268802228412198"/>
    <n v="100.936390166547"/>
    <n v="10.899792900983099"/>
    <n v="240.88690800247701"/>
    <n v="0"/>
    <n v="0"/>
    <n v="1379.4813999999899"/>
    <n v="1193.71784338099"/>
  </r>
  <r>
    <x v="47"/>
    <s v="Truck 2"/>
    <n v="711"/>
    <n v="711"/>
    <n v="24.992967651195499"/>
    <n v="100.745425018106"/>
    <n v="10.899792900983099"/>
    <n v="240.791091101055"/>
    <n v="0"/>
    <n v="0"/>
    <n v="1377.6244239999901"/>
    <n v="1193.6202223089999"/>
  </r>
  <r>
    <x v="47"/>
    <s v="Truck 3"/>
    <n v="476"/>
    <n v="476"/>
    <n v="23.716386554621799"/>
    <n v="68.709602120569997"/>
    <n v="10.899792900983099"/>
    <n v="160.029994069987"/>
    <n v="0"/>
    <n v="0"/>
    <n v="930.94773799999905"/>
    <n v="800.42409528999997"/>
  </r>
  <r>
    <x v="47"/>
    <s v="Truck 4"/>
    <n v="476"/>
    <n v="476"/>
    <n v="23.716386554621799"/>
    <n v="68.195328007976201"/>
    <n v="10.899792900983099"/>
    <n v="160.978461478236"/>
    <n v="0"/>
    <n v="0"/>
    <n v="895.10089500000004"/>
    <n v="771.77883385500002"/>
  </r>
  <r>
    <x v="47"/>
    <s v="Truck 5"/>
    <n v="476"/>
    <n v="476"/>
    <n v="23.716386554621799"/>
    <n v="68.037155318160302"/>
    <n v="10.899792900983099"/>
    <n v="160.70003578234699"/>
    <n v="0"/>
    <n v="0"/>
    <n v="886.18713600000001"/>
    <n v="762.93000140699996"/>
  </r>
  <r>
    <x v="47"/>
    <s v="Truck 6"/>
    <n v="0"/>
    <n v="0"/>
    <n v="0"/>
    <n v="0"/>
    <n v="10.899792900983099"/>
    <n v="0"/>
    <n v="0"/>
    <n v="0"/>
    <n v="0"/>
    <n v="0"/>
  </r>
  <r>
    <x v="47"/>
    <s v="Truck 7"/>
    <n v="0"/>
    <n v="0"/>
    <n v="0"/>
    <n v="0"/>
    <n v="10.899792900983099"/>
    <n v="0"/>
    <n v="0"/>
    <n v="0"/>
    <n v="0"/>
    <n v="0"/>
  </r>
  <r>
    <x v="47"/>
    <s v="Truck 8"/>
    <n v="0"/>
    <n v="0"/>
    <n v="0"/>
    <n v="0"/>
    <n v="10.899792900983099"/>
    <n v="0"/>
    <n v="0"/>
    <n v="0"/>
    <n v="0"/>
    <n v="0"/>
  </r>
  <r>
    <x v="47"/>
    <s v="Truck 9"/>
    <n v="0"/>
    <n v="0"/>
    <n v="0"/>
    <n v="0"/>
    <n v="10.899792900983099"/>
    <n v="0"/>
    <n v="0"/>
    <n v="0"/>
    <n v="0"/>
    <n v="0"/>
  </r>
  <r>
    <x v="47"/>
    <s v="Truck 10"/>
    <n v="0"/>
    <n v="0"/>
    <n v="0"/>
    <n v="0"/>
    <n v="10.899792900983099"/>
    <n v="0"/>
    <n v="0"/>
    <n v="0"/>
    <n v="0"/>
    <n v="0"/>
  </r>
  <r>
    <x v="47"/>
    <s v="Truck 11"/>
    <n v="0"/>
    <n v="0"/>
    <n v="0"/>
    <n v="0"/>
    <n v="10.899792900983099"/>
    <n v="0"/>
    <n v="0"/>
    <n v="0"/>
    <n v="0"/>
    <n v="0"/>
  </r>
  <r>
    <x v="48"/>
    <s v="Truck 0"/>
    <n v="1078"/>
    <n v="1078"/>
    <n v="37.6669758812615"/>
    <n v="140.037447892702"/>
    <n v="14.0522441599175"/>
    <n v="367.27753945748401"/>
    <n v="0"/>
    <n v="0"/>
    <n v="1895.7726209999901"/>
    <n v="1684.0522763490001"/>
  </r>
  <r>
    <x v="48"/>
    <s v="Truck 1"/>
    <n v="1067"/>
    <n v="1067"/>
    <n v="37.233364573570697"/>
    <n v="139.09507338264899"/>
    <n v="14.0522441599175"/>
    <n v="360.69158557494802"/>
    <n v="0"/>
    <n v="0"/>
    <n v="1907.4782679999901"/>
    <n v="1686.718200561"/>
  </r>
  <r>
    <x v="48"/>
    <s v="Truck 2"/>
    <n v="714"/>
    <n v="714"/>
    <n v="35.275910364145602"/>
    <n v="93.941905731069795"/>
    <n v="14.0522441599175"/>
    <n v="239.85565608850999"/>
    <n v="0"/>
    <n v="0"/>
    <n v="1265.14368899999"/>
    <n v="1119.5053394199899"/>
  </r>
  <r>
    <x v="48"/>
    <s v="Truck 3"/>
    <n v="714"/>
    <n v="714"/>
    <n v="35.275910364145602"/>
    <n v="92.687570543742495"/>
    <n v="14.0522441599175"/>
    <n v="240.668216631966"/>
    <n v="0"/>
    <n v="0"/>
    <n v="1180.5957269999899"/>
    <n v="1045.537503298"/>
  </r>
  <r>
    <x v="48"/>
    <s v="Truck 4"/>
    <n v="0"/>
    <n v="0"/>
    <n v="0"/>
    <n v="0"/>
    <n v="14.0522441599175"/>
    <n v="0"/>
    <n v="0"/>
    <n v="0"/>
    <n v="0"/>
    <n v="0"/>
  </r>
  <r>
    <x v="48"/>
    <s v="Truck 5"/>
    <n v="0"/>
    <n v="0"/>
    <n v="0"/>
    <n v="0"/>
    <n v="14.0522441599175"/>
    <n v="0"/>
    <n v="0"/>
    <n v="0"/>
    <n v="0"/>
    <n v="0"/>
  </r>
  <r>
    <x v="48"/>
    <s v="Truck 6"/>
    <n v="0"/>
    <n v="0"/>
    <n v="0"/>
    <n v="0"/>
    <n v="14.0522441599175"/>
    <n v="0"/>
    <n v="0"/>
    <n v="0"/>
    <n v="0"/>
    <n v="0"/>
  </r>
  <r>
    <x v="48"/>
    <s v="Truck 7"/>
    <n v="0"/>
    <n v="0"/>
    <n v="0"/>
    <n v="0"/>
    <n v="14.0522441599175"/>
    <n v="0"/>
    <n v="0"/>
    <n v="0"/>
    <n v="0"/>
    <n v="0"/>
  </r>
  <r>
    <x v="49"/>
    <s v="Truck 0"/>
    <n v="730"/>
    <n v="730"/>
    <n v="25.658904109588999"/>
    <n v="102.47537332380899"/>
    <n v="10.9370162074169"/>
    <n v="247.74937929253801"/>
    <n v="0"/>
    <n v="0"/>
    <n v="1404.82422"/>
    <n v="1221.2209566270001"/>
  </r>
  <r>
    <x v="49"/>
    <s v="Truck 1"/>
    <n v="718"/>
    <n v="718"/>
    <n v="25.268802228412198"/>
    <n v="100.742234160206"/>
    <n v="10.9370162074169"/>
    <n v="241.06686846000201"/>
    <n v="0"/>
    <n v="0"/>
    <n v="1380.1428679999899"/>
    <n v="1194.3974342489901"/>
  </r>
  <r>
    <x v="49"/>
    <s v="Truck 2"/>
    <n v="711"/>
    <n v="711"/>
    <n v="24.992967651195499"/>
    <n v="100.244638054045"/>
    <n v="10.9370162074169"/>
    <n v="241.25062373124601"/>
    <n v="0"/>
    <n v="0"/>
    <n v="1382.5729429999899"/>
    <n v="1197.8042781500001"/>
  </r>
  <r>
    <x v="49"/>
    <s v="Truck 3"/>
    <n v="476"/>
    <n v="476"/>
    <n v="23.716386554621799"/>
    <n v="69.085006495835103"/>
    <n v="10.9370162074169"/>
    <n v="159.54466390342799"/>
    <n v="0"/>
    <n v="0"/>
    <n v="929.97662999999898"/>
    <n v="799.03549303499994"/>
  </r>
  <r>
    <x v="49"/>
    <s v="Truck 4"/>
    <n v="476"/>
    <n v="476"/>
    <n v="23.716386554621799"/>
    <n v="68.530539433837504"/>
    <n v="10.9370162074169"/>
    <n v="162.288639319948"/>
    <n v="0"/>
    <n v="0"/>
    <n v="900.29255000000001"/>
    <n v="776.07857564200003"/>
  </r>
  <r>
    <x v="49"/>
    <s v="Truck 5"/>
    <n v="476"/>
    <n v="476"/>
    <n v="23.716386554621799"/>
    <n v="68.148173019230796"/>
    <n v="10.9370162074169"/>
    <n v="162.10862431611099"/>
    <n v="0"/>
    <n v="0"/>
    <n v="883.947497"/>
    <n v="761.43968344500001"/>
  </r>
  <r>
    <x v="49"/>
    <s v="Truck 6"/>
    <n v="0"/>
    <n v="0"/>
    <n v="0"/>
    <n v="0"/>
    <n v="10.9370162074169"/>
    <n v="0"/>
    <n v="0"/>
    <n v="0"/>
    <n v="0"/>
    <n v="0"/>
  </r>
  <r>
    <x v="49"/>
    <s v="Truck 7"/>
    <n v="0"/>
    <n v="0"/>
    <n v="0"/>
    <n v="0"/>
    <n v="10.9370162074169"/>
    <n v="0"/>
    <n v="0"/>
    <n v="0"/>
    <n v="0"/>
    <n v="0"/>
  </r>
  <r>
    <x v="49"/>
    <s v="Truck 8"/>
    <n v="0"/>
    <n v="0"/>
    <n v="0"/>
    <n v="0"/>
    <n v="10.9370162074169"/>
    <n v="0"/>
    <n v="0"/>
    <n v="0"/>
    <n v="0"/>
    <n v="0"/>
  </r>
  <r>
    <x v="49"/>
    <s v="Truck 9"/>
    <n v="0"/>
    <n v="0"/>
    <n v="0"/>
    <n v="0"/>
    <n v="10.9370162074169"/>
    <n v="0"/>
    <n v="0"/>
    <n v="0"/>
    <n v="0"/>
    <n v="0"/>
  </r>
  <r>
    <x v="49"/>
    <s v="Truck 10"/>
    <n v="0"/>
    <n v="0"/>
    <n v="0"/>
    <n v="0"/>
    <n v="10.9370162074169"/>
    <n v="0"/>
    <n v="0"/>
    <n v="0"/>
    <n v="0"/>
    <n v="0"/>
  </r>
  <r>
    <x v="49"/>
    <s v="Truck 11"/>
    <n v="0"/>
    <n v="0"/>
    <n v="0"/>
    <n v="0"/>
    <n v="10.9370162074169"/>
    <n v="0"/>
    <n v="0"/>
    <n v="0"/>
    <n v="0"/>
    <n v="0"/>
  </r>
  <r>
    <x v="50"/>
    <s v="Truck 0"/>
    <n v="730"/>
    <n v="730"/>
    <n v="25.658904109588999"/>
    <n v="102.08714475041"/>
    <n v="10.918517062874701"/>
    <n v="247.583532378971"/>
    <n v="0"/>
    <n v="0"/>
    <n v="1399.660118"/>
    <n v="1213.78548628"/>
  </r>
  <r>
    <x v="50"/>
    <s v="Truck 1"/>
    <n v="718"/>
    <n v="718"/>
    <n v="25.268802228412198"/>
    <n v="100.728103044112"/>
    <n v="10.918517062874701"/>
    <n v="240.86598842610201"/>
    <n v="0"/>
    <n v="0"/>
    <n v="1379.8293369999899"/>
    <n v="1194.1234073359899"/>
  </r>
  <r>
    <x v="50"/>
    <s v="Truck 2"/>
    <n v="711"/>
    <n v="711"/>
    <n v="24.992967651195499"/>
    <n v="100.36083204939899"/>
    <n v="10.918517062874701"/>
    <n v="240.11938345556999"/>
    <n v="0"/>
    <n v="0"/>
    <n v="1383.09046699999"/>
    <n v="1198.2201155140001"/>
  </r>
  <r>
    <x v="50"/>
    <s v="Truck 3"/>
    <n v="476"/>
    <n v="476"/>
    <n v="23.716386554621799"/>
    <n v="68.973586026000405"/>
    <n v="10.918517062874701"/>
    <n v="160.27571661060199"/>
    <n v="0"/>
    <n v="0"/>
    <n v="935.64821899999902"/>
    <n v="803.97276896799997"/>
  </r>
  <r>
    <x v="50"/>
    <s v="Truck 4"/>
    <n v="476"/>
    <n v="476"/>
    <n v="23.716386554621799"/>
    <n v="68.271743545915001"/>
    <n v="10.918517062874701"/>
    <n v="160.92090973319799"/>
    <n v="0"/>
    <n v="0"/>
    <n v="895.11894900000004"/>
    <n v="773.36753987099996"/>
  </r>
  <r>
    <x v="50"/>
    <s v="Truck 5"/>
    <n v="476"/>
    <n v="476"/>
    <n v="23.716386554621799"/>
    <n v="68.483860610029097"/>
    <n v="10.918517062874701"/>
    <n v="162.189863374655"/>
    <n v="0"/>
    <n v="0"/>
    <n v="886.41814999999997"/>
    <n v="762.03508768300003"/>
  </r>
  <r>
    <x v="50"/>
    <s v="Truck 6"/>
    <n v="0"/>
    <n v="0"/>
    <n v="0"/>
    <n v="0"/>
    <n v="10.918517062874701"/>
    <n v="0"/>
    <n v="0"/>
    <n v="0"/>
    <n v="0"/>
    <n v="0"/>
  </r>
  <r>
    <x v="50"/>
    <s v="Truck 7"/>
    <n v="0"/>
    <n v="0"/>
    <n v="0"/>
    <n v="0"/>
    <n v="10.918517062874701"/>
    <n v="0"/>
    <n v="0"/>
    <n v="0"/>
    <n v="0"/>
    <n v="0"/>
  </r>
  <r>
    <x v="50"/>
    <s v="Truck 8"/>
    <n v="0"/>
    <n v="0"/>
    <n v="0"/>
    <n v="0"/>
    <n v="10.918517062874701"/>
    <n v="0"/>
    <n v="0"/>
    <n v="0"/>
    <n v="0"/>
    <n v="0"/>
  </r>
  <r>
    <x v="50"/>
    <s v="Truck 9"/>
    <n v="0"/>
    <n v="0"/>
    <n v="0"/>
    <n v="0"/>
    <n v="10.918517062874701"/>
    <n v="0"/>
    <n v="0"/>
    <n v="0"/>
    <n v="0"/>
    <n v="0"/>
  </r>
  <r>
    <x v="50"/>
    <s v="Truck 10"/>
    <n v="0"/>
    <n v="0"/>
    <n v="0"/>
    <n v="0"/>
    <n v="10.918517062874701"/>
    <n v="0"/>
    <n v="0"/>
    <n v="0"/>
    <n v="0"/>
    <n v="0"/>
  </r>
  <r>
    <x v="50"/>
    <s v="Truck 11"/>
    <n v="0"/>
    <n v="0"/>
    <n v="0"/>
    <n v="0"/>
    <n v="10.918517062874701"/>
    <n v="0"/>
    <n v="0"/>
    <n v="0"/>
    <n v="0"/>
    <n v="0"/>
  </r>
  <r>
    <x v="51"/>
    <s v="Truck 0"/>
    <n v="1289"/>
    <n v="1211"/>
    <n v="77.346004654771093"/>
    <n v="199.74199291531201"/>
    <n v="6.6634415643507303"/>
    <n v="424.28160065993399"/>
    <n v="0"/>
    <n v="0"/>
    <n v="2775.4779999999901"/>
    <n v="2379.6254626939899"/>
  </r>
  <r>
    <x v="51"/>
    <s v="Truck 1"/>
    <n v="1126"/>
    <n v="1126"/>
    <n v="70.253108348134901"/>
    <n v="194.702784544248"/>
    <n v="6.6634415643507303"/>
    <n v="383.35221786270898"/>
    <n v="0"/>
    <n v="0"/>
    <n v="2665.193593"/>
    <n v="2265.0053414039999"/>
  </r>
  <r>
    <x v="51"/>
    <s v="Truck 2"/>
    <n v="701"/>
    <n v="701"/>
    <n v="88.626248216833005"/>
    <n v="110.823016336723"/>
    <n v="6.6634415643507303"/>
    <n v="189.09695919442299"/>
    <n v="0"/>
    <n v="0"/>
    <n v="1261.0932989999999"/>
    <n v="1064.32387865899"/>
  </r>
  <r>
    <x v="51"/>
    <s v="Truck 3"/>
    <n v="696"/>
    <n v="696"/>
    <n v="87.987068965517196"/>
    <n v="110.040513293453"/>
    <n v="6.6634415643507303"/>
    <n v="189.36182073736299"/>
    <n v="0"/>
    <n v="0"/>
    <n v="1244.9308039999901"/>
    <n v="1051.9326628639999"/>
  </r>
  <r>
    <x v="52"/>
    <s v="Truck 0"/>
    <n v="1288"/>
    <n v="1211"/>
    <n v="77.253105590062106"/>
    <n v="199.153916044814"/>
    <n v="6.7418628368940796"/>
    <n v="423.10767107146199"/>
    <n v="0"/>
    <n v="0"/>
    <n v="2790.42736499999"/>
    <n v="2393.2229401259901"/>
  </r>
  <r>
    <x v="52"/>
    <s v="Truck 1"/>
    <n v="1124"/>
    <n v="1124"/>
    <n v="70.030249110320199"/>
    <n v="193.860980095407"/>
    <n v="6.7418628368940796"/>
    <n v="386.03558232987598"/>
    <n v="0"/>
    <n v="0"/>
    <n v="2639.3423739999998"/>
    <n v="2245.1329071099999"/>
  </r>
  <r>
    <x v="52"/>
    <s v="Truck 2"/>
    <n v="697"/>
    <n v="697"/>
    <n v="88.058823529411697"/>
    <n v="110.04606532739"/>
    <n v="6.7418628368940796"/>
    <n v="188.72468030820701"/>
    <n v="0"/>
    <n v="0"/>
    <n v="1240.7788889999999"/>
    <n v="1047.9993169740001"/>
  </r>
  <r>
    <x v="52"/>
    <s v="Truck 3"/>
    <n v="692"/>
    <n v="692"/>
    <n v="87.455202312138695"/>
    <n v="110.90268884149199"/>
    <n v="6.7418628368940796"/>
    <n v="188.69992558381099"/>
    <n v="0"/>
    <n v="0"/>
    <n v="1242.6429739999901"/>
    <n v="1049.3366369509999"/>
  </r>
  <r>
    <x v="53"/>
    <s v="Truck 0"/>
    <n v="730"/>
    <n v="730"/>
    <n v="25.658904109588999"/>
    <n v="102.845892785755"/>
    <n v="10.914702213848701"/>
    <n v="245.74167688535701"/>
    <n v="0"/>
    <n v="0"/>
    <n v="1403.77614899999"/>
    <n v="1220.4108342750001"/>
  </r>
  <r>
    <x v="53"/>
    <s v="Truck 1"/>
    <n v="718"/>
    <n v="718"/>
    <n v="25.268802228412198"/>
    <n v="100.702080529393"/>
    <n v="10.914702213848701"/>
    <n v="240.221282568101"/>
    <n v="0"/>
    <n v="0"/>
    <n v="1377.34080899999"/>
    <n v="1191.5955468299901"/>
  </r>
  <r>
    <x v="53"/>
    <s v="Truck 2"/>
    <n v="711"/>
    <n v="711"/>
    <n v="24.992967651195499"/>
    <n v="100.409742926729"/>
    <n v="10.914702213848701"/>
    <n v="240.838125917745"/>
    <n v="0"/>
    <n v="0"/>
    <n v="1378.47530999999"/>
    <n v="1195.959398747"/>
  </r>
  <r>
    <x v="53"/>
    <s v="Truck 3"/>
    <n v="476"/>
    <n v="476"/>
    <n v="23.716386554621799"/>
    <n v="68.966296355095196"/>
    <n v="10.914702213848701"/>
    <n v="159.83583833722199"/>
    <n v="0"/>
    <n v="0"/>
    <n v="934.66458699999896"/>
    <n v="805.41924064700004"/>
  </r>
  <r>
    <x v="53"/>
    <s v="Truck 4"/>
    <n v="476"/>
    <n v="476"/>
    <n v="23.716386554621799"/>
    <n v="68.080525182437199"/>
    <n v="10.914702213848701"/>
    <n v="162.33862818693001"/>
    <n v="0"/>
    <n v="0"/>
    <n v="895.84842100000003"/>
    <n v="771.64808470100002"/>
  </r>
  <r>
    <x v="53"/>
    <s v="Truck 5"/>
    <n v="476"/>
    <n v="476"/>
    <n v="23.716386554621799"/>
    <n v="68.252064158190805"/>
    <n v="10.914702213848701"/>
    <n v="162.556393841855"/>
    <n v="0"/>
    <n v="0"/>
    <n v="885.60600099999999"/>
    <n v="762.40833644700001"/>
  </r>
  <r>
    <x v="53"/>
    <s v="Truck 6"/>
    <n v="0"/>
    <n v="0"/>
    <n v="0"/>
    <n v="0"/>
    <n v="10.914702213848701"/>
    <n v="0"/>
    <n v="0"/>
    <n v="0"/>
    <n v="0"/>
    <n v="0"/>
  </r>
  <r>
    <x v="53"/>
    <s v="Truck 7"/>
    <n v="0"/>
    <n v="0"/>
    <n v="0"/>
    <n v="0"/>
    <n v="10.914702213848701"/>
    <n v="0"/>
    <n v="0"/>
    <n v="0"/>
    <n v="0"/>
    <n v="0"/>
  </r>
  <r>
    <x v="53"/>
    <s v="Truck 8"/>
    <n v="0"/>
    <n v="0"/>
    <n v="0"/>
    <n v="0"/>
    <n v="10.914702213848701"/>
    <n v="0"/>
    <n v="0"/>
    <n v="0"/>
    <n v="0"/>
    <n v="0"/>
  </r>
  <r>
    <x v="53"/>
    <s v="Truck 9"/>
    <n v="0"/>
    <n v="0"/>
    <n v="0"/>
    <n v="0"/>
    <n v="10.914702213848701"/>
    <n v="0"/>
    <n v="0"/>
    <n v="0"/>
    <n v="0"/>
    <n v="0"/>
  </r>
  <r>
    <x v="53"/>
    <s v="Truck 10"/>
    <n v="0"/>
    <n v="0"/>
    <n v="0"/>
    <n v="0"/>
    <n v="10.914702213848701"/>
    <n v="0"/>
    <n v="0"/>
    <n v="0"/>
    <n v="0"/>
    <n v="0"/>
  </r>
  <r>
    <x v="53"/>
    <s v="Truck 11"/>
    <n v="0"/>
    <n v="0"/>
    <n v="0"/>
    <n v="0"/>
    <n v="10.914702213848701"/>
    <n v="0"/>
    <n v="0"/>
    <n v="0"/>
    <n v="0"/>
    <n v="0"/>
  </r>
  <r>
    <x v="54"/>
    <s v="Truck 0"/>
    <n v="730"/>
    <n v="730"/>
    <n v="25.658904109588999"/>
    <n v="102.617327448548"/>
    <n v="10.8999620433051"/>
    <n v="246.211045142643"/>
    <n v="0"/>
    <n v="0"/>
    <n v="1405.053559"/>
    <n v="1219.0213387700001"/>
  </r>
  <r>
    <x v="54"/>
    <s v="Truck 1"/>
    <n v="718"/>
    <n v="718"/>
    <n v="25.268802228412198"/>
    <n v="100.71926984047499"/>
    <n v="10.8999620433051"/>
    <n v="239.466710747571"/>
    <n v="0"/>
    <n v="0"/>
    <n v="1375.79151999999"/>
    <n v="1189.56023400399"/>
  </r>
  <r>
    <x v="54"/>
    <s v="Truck 2"/>
    <n v="711"/>
    <n v="711"/>
    <n v="24.992967651195499"/>
    <n v="99.996423870390998"/>
    <n v="10.8999620433051"/>
    <n v="241.733515642773"/>
    <n v="0"/>
    <n v="0"/>
    <n v="1378.54262499999"/>
    <n v="1195.4278867549999"/>
  </r>
  <r>
    <x v="54"/>
    <s v="Truck 3"/>
    <n v="476"/>
    <n v="476"/>
    <n v="23.716386554621799"/>
    <n v="69.148576360539593"/>
    <n v="10.8999620433051"/>
    <n v="160.16972189459301"/>
    <n v="0"/>
    <n v="0"/>
    <n v="936.39505099999894"/>
    <n v="805.13045311199903"/>
  </r>
  <r>
    <x v="54"/>
    <s v="Truck 4"/>
    <n v="476"/>
    <n v="476"/>
    <n v="23.716386554621799"/>
    <n v="68.593310733509099"/>
    <n v="10.8999620433051"/>
    <n v="160.950598077873"/>
    <n v="0"/>
    <n v="0"/>
    <n v="891.05132700000001"/>
    <n v="767.88410789299996"/>
  </r>
  <r>
    <x v="54"/>
    <s v="Truck 5"/>
    <n v="476"/>
    <n v="476"/>
    <n v="23.716386554621799"/>
    <n v="68.161353574948805"/>
    <n v="10.8999620433051"/>
    <n v="161.36419530141399"/>
    <n v="0"/>
    <n v="0"/>
    <n v="885.35399700000005"/>
    <n v="763.38817379900001"/>
  </r>
  <r>
    <x v="54"/>
    <s v="Truck 6"/>
    <n v="0"/>
    <n v="0"/>
    <n v="0"/>
    <n v="0"/>
    <n v="10.8999620433051"/>
    <n v="0"/>
    <n v="0"/>
    <n v="0"/>
    <n v="0"/>
    <n v="0"/>
  </r>
  <r>
    <x v="54"/>
    <s v="Truck 7"/>
    <n v="0"/>
    <n v="0"/>
    <n v="0"/>
    <n v="0"/>
    <n v="10.8999620433051"/>
    <n v="0"/>
    <n v="0"/>
    <n v="0"/>
    <n v="0"/>
    <n v="0"/>
  </r>
  <r>
    <x v="54"/>
    <s v="Truck 8"/>
    <n v="0"/>
    <n v="0"/>
    <n v="0"/>
    <n v="0"/>
    <n v="10.8999620433051"/>
    <n v="0"/>
    <n v="0"/>
    <n v="0"/>
    <n v="0"/>
    <n v="0"/>
  </r>
  <r>
    <x v="54"/>
    <s v="Truck 9"/>
    <n v="0"/>
    <n v="0"/>
    <n v="0"/>
    <n v="0"/>
    <n v="10.8999620433051"/>
    <n v="0"/>
    <n v="0"/>
    <n v="0"/>
    <n v="0"/>
    <n v="0"/>
  </r>
  <r>
    <x v="54"/>
    <s v="Truck 10"/>
    <n v="0"/>
    <n v="0"/>
    <n v="0"/>
    <n v="0"/>
    <n v="10.8999620433051"/>
    <n v="0"/>
    <n v="0"/>
    <n v="0"/>
    <n v="0"/>
    <n v="0"/>
  </r>
  <r>
    <x v="54"/>
    <s v="Truck 11"/>
    <n v="0"/>
    <n v="0"/>
    <n v="0"/>
    <n v="0"/>
    <n v="10.8999620433051"/>
    <n v="0"/>
    <n v="0"/>
    <n v="0"/>
    <n v="0"/>
    <n v="0"/>
  </r>
  <r>
    <x v="55"/>
    <s v="Truck 0"/>
    <n v="1287"/>
    <n v="1210"/>
    <n v="77.160062160062097"/>
    <n v="199.25405062598"/>
    <n v="6.70247266245216"/>
    <n v="423.18892666502302"/>
    <n v="0"/>
    <n v="0"/>
    <n v="2796.6273999999898"/>
    <n v="2397.97229246699"/>
  </r>
  <r>
    <x v="55"/>
    <s v="Truck 1"/>
    <n v="1122"/>
    <n v="1122"/>
    <n v="69.804812834224606"/>
    <n v="193.07528556601801"/>
    <n v="6.70247266245216"/>
    <n v="385.39176429084699"/>
    <n v="0"/>
    <n v="0"/>
    <n v="2637.9782489999998"/>
    <n v="2243.0269019719999"/>
  </r>
  <r>
    <x v="55"/>
    <s v="Truck 2"/>
    <n v="699"/>
    <n v="699"/>
    <n v="88.349070100142995"/>
    <n v="110.41558610919"/>
    <n v="6.70247266245216"/>
    <n v="188.51230828405701"/>
    <n v="0"/>
    <n v="0"/>
    <n v="1246.3093669999901"/>
    <n v="1049.8969207159901"/>
  </r>
  <r>
    <x v="55"/>
    <s v="Truck 3"/>
    <n v="694"/>
    <n v="694"/>
    <n v="87.746397694524404"/>
    <n v="111.080852645322"/>
    <n v="6.70247266245216"/>
    <n v="189.24466201410601"/>
    <n v="0"/>
    <n v="0"/>
    <n v="1243.37557699999"/>
    <n v="1050.2895027110001"/>
  </r>
  <r>
    <x v="56"/>
    <s v="Truck 0"/>
    <n v="1291"/>
    <n v="1214"/>
    <n v="77.536018590240104"/>
    <n v="199.256295361924"/>
    <n v="6.72274555396198"/>
    <n v="424.94119007911502"/>
    <n v="0"/>
    <n v="0"/>
    <n v="2784.7733559999901"/>
    <n v="2385.9450779569902"/>
  </r>
  <r>
    <x v="56"/>
    <s v="Truck 1"/>
    <n v="1126"/>
    <n v="1126"/>
    <n v="70.258436944937799"/>
    <n v="192.97565888820199"/>
    <n v="6.72274555396198"/>
    <n v="385.10612706470801"/>
    <n v="0"/>
    <n v="0"/>
    <n v="2647.5367509999901"/>
    <n v="2251.4746884789902"/>
  </r>
  <r>
    <x v="56"/>
    <s v="Truck 2"/>
    <n v="699"/>
    <n v="699"/>
    <n v="88.343347639484904"/>
    <n v="110.063007768083"/>
    <n v="6.72274555396198"/>
    <n v="190.16924073913299"/>
    <n v="0"/>
    <n v="0"/>
    <n v="1247.9888109999899"/>
    <n v="1053.6579651919899"/>
  </r>
  <r>
    <x v="56"/>
    <s v="Truck 3"/>
    <n v="694"/>
    <n v="694"/>
    <n v="87.703170028818406"/>
    <n v="110.219263000149"/>
    <n v="6.72274555396198"/>
    <n v="189.709405168312"/>
    <n v="0"/>
    <n v="0"/>
    <n v="1247.1771759999899"/>
    <n v="1053.608558057"/>
  </r>
  <r>
    <x v="57"/>
    <s v="Truck 0"/>
    <n v="1291"/>
    <n v="1214"/>
    <n v="77.536018590240104"/>
    <n v="198.463687846055"/>
    <n v="6.6638581393257397"/>
    <n v="423.52029075444199"/>
    <n v="0"/>
    <n v="0"/>
    <n v="2783.0896349999998"/>
    <n v="2385.84834373899"/>
  </r>
  <r>
    <x v="57"/>
    <s v="Truck 1"/>
    <n v="1126"/>
    <n v="1126"/>
    <n v="70.254884547069196"/>
    <n v="192.981969073946"/>
    <n v="6.6638581393257397"/>
    <n v="382.48775451534902"/>
    <n v="0"/>
    <n v="0"/>
    <n v="2664.6139560000001"/>
    <n v="2265.0323310640001"/>
  </r>
  <r>
    <x v="57"/>
    <s v="Truck 2"/>
    <n v="695"/>
    <n v="695"/>
    <n v="87.772661870503597"/>
    <n v="110.88160685383799"/>
    <n v="6.6638581393257397"/>
    <n v="190.724212899582"/>
    <n v="0"/>
    <n v="0"/>
    <n v="1247.1573020000001"/>
    <n v="1052.1056742369999"/>
  </r>
  <r>
    <x v="57"/>
    <s v="Truck 3"/>
    <n v="691"/>
    <n v="691"/>
    <n v="87.309696092619305"/>
    <n v="109.938030600009"/>
    <n v="6.6638581393257397"/>
    <n v="189.434490630608"/>
    <n v="0"/>
    <n v="0"/>
    <n v="1246.4768199999901"/>
    <n v="1051.112303782"/>
  </r>
  <r>
    <x v="58"/>
    <s v="Truck 0"/>
    <n v="730"/>
    <n v="730"/>
    <n v="25.658904109588999"/>
    <n v="101.997340666962"/>
    <n v="10.919400573729201"/>
    <n v="248.35989591829099"/>
    <n v="0"/>
    <n v="0"/>
    <n v="1400.8653220000001"/>
    <n v="1215.976294495"/>
  </r>
  <r>
    <x v="58"/>
    <s v="Truck 1"/>
    <n v="718"/>
    <n v="718"/>
    <n v="25.268802228412198"/>
    <n v="100.93217290490701"/>
    <n v="10.919400573729201"/>
    <n v="239.74651257533"/>
    <n v="0"/>
    <n v="0"/>
    <n v="1374.8907789999901"/>
    <n v="1188.5434638459899"/>
  </r>
  <r>
    <x v="58"/>
    <s v="Truck 2"/>
    <n v="711"/>
    <n v="711"/>
    <n v="24.992967651195499"/>
    <n v="100.771485973365"/>
    <n v="10.919400573729201"/>
    <n v="241.62393822371601"/>
    <n v="0"/>
    <n v="0"/>
    <n v="1382.0815129999901"/>
    <n v="1198.6133759899999"/>
  </r>
  <r>
    <x v="58"/>
    <s v="Truck 3"/>
    <n v="476"/>
    <n v="476"/>
    <n v="23.716386554621799"/>
    <n v="69.167874211567707"/>
    <n v="10.919400573729201"/>
    <n v="160.157347995376"/>
    <n v="0"/>
    <n v="0"/>
    <n v="935.09771799999896"/>
    <n v="804.52223679500003"/>
  </r>
  <r>
    <x v="58"/>
    <s v="Truck 4"/>
    <n v="476"/>
    <n v="476"/>
    <n v="23.716386554621799"/>
    <n v="68.309855799987105"/>
    <n v="10.919400573729201"/>
    <n v="161.81285739422"/>
    <n v="0"/>
    <n v="0"/>
    <n v="896.22492899999997"/>
    <n v="771.28637716100002"/>
  </r>
  <r>
    <x v="58"/>
    <s v="Truck 5"/>
    <n v="476"/>
    <n v="476"/>
    <n v="23.716386554621799"/>
    <n v="68.277625390969604"/>
    <n v="10.919400573729201"/>
    <n v="160.352911577008"/>
    <n v="0"/>
    <n v="0"/>
    <n v="885.41430500000001"/>
    <n v="762.47503891500003"/>
  </r>
  <r>
    <x v="58"/>
    <s v="Truck 6"/>
    <n v="0"/>
    <n v="0"/>
    <n v="0"/>
    <n v="0"/>
    <n v="10.919400573729201"/>
    <n v="0"/>
    <n v="0"/>
    <n v="0"/>
    <n v="0"/>
    <n v="0"/>
  </r>
  <r>
    <x v="58"/>
    <s v="Truck 7"/>
    <n v="0"/>
    <n v="0"/>
    <n v="0"/>
    <n v="0"/>
    <n v="10.919400573729201"/>
    <n v="0"/>
    <n v="0"/>
    <n v="0"/>
    <n v="0"/>
    <n v="0"/>
  </r>
  <r>
    <x v="58"/>
    <s v="Truck 8"/>
    <n v="0"/>
    <n v="0"/>
    <n v="0"/>
    <n v="0"/>
    <n v="10.919400573729201"/>
    <n v="0"/>
    <n v="0"/>
    <n v="0"/>
    <n v="0"/>
    <n v="0"/>
  </r>
  <r>
    <x v="58"/>
    <s v="Truck 9"/>
    <n v="0"/>
    <n v="0"/>
    <n v="0"/>
    <n v="0"/>
    <n v="10.919400573729201"/>
    <n v="0"/>
    <n v="0"/>
    <n v="0"/>
    <n v="0"/>
    <n v="0"/>
  </r>
  <r>
    <x v="58"/>
    <s v="Truck 10"/>
    <n v="0"/>
    <n v="0"/>
    <n v="0"/>
    <n v="0"/>
    <n v="10.919400573729201"/>
    <n v="0"/>
    <n v="0"/>
    <n v="0"/>
    <n v="0"/>
    <n v="0"/>
  </r>
  <r>
    <x v="58"/>
    <s v="Truck 11"/>
    <n v="0"/>
    <n v="0"/>
    <n v="0"/>
    <n v="0"/>
    <n v="10.919400573729201"/>
    <n v="0"/>
    <n v="0"/>
    <n v="0"/>
    <n v="0"/>
    <n v="0"/>
  </r>
  <r>
    <x v="59"/>
    <s v="Truck 0"/>
    <n v="1296"/>
    <n v="1219"/>
    <n v="78.009259259259196"/>
    <n v="200.34045948466701"/>
    <n v="6.7306785344749098"/>
    <n v="423.88928145997301"/>
    <n v="0"/>
    <n v="0"/>
    <n v="2811.131582"/>
    <n v="2408.72784546499"/>
  </r>
  <r>
    <x v="59"/>
    <s v="Truck 1"/>
    <n v="1131"/>
    <n v="1131"/>
    <n v="70.822281167108699"/>
    <n v="193.344457277846"/>
    <n v="6.7306785344749098"/>
    <n v="386.54741547712098"/>
    <n v="0"/>
    <n v="0"/>
    <n v="2643.8544819999902"/>
    <n v="2250.6237350659999"/>
  </r>
  <r>
    <x v="59"/>
    <s v="Truck 2"/>
    <n v="699"/>
    <n v="699"/>
    <n v="88.349070100142995"/>
    <n v="111.979213480656"/>
    <n v="6.7306785344749098"/>
    <n v="189.46910423396901"/>
    <n v="0"/>
    <n v="0"/>
    <n v="1265.1494619999901"/>
    <n v="1067.513490629"/>
  </r>
  <r>
    <x v="59"/>
    <s v="Truck 3"/>
    <n v="694"/>
    <n v="694"/>
    <n v="87.707492795389001"/>
    <n v="110.66825487471399"/>
    <n v="6.7306785344749098"/>
    <n v="191.42429943099501"/>
    <n v="0"/>
    <n v="0"/>
    <n v="1251.92416999999"/>
    <n v="1056.821999155"/>
  </r>
  <r>
    <x v="60"/>
    <s v="Truck 0"/>
    <n v="1078"/>
    <n v="1078"/>
    <n v="37.6669758812615"/>
    <n v="138.63573380206901"/>
    <n v="15.7587441614931"/>
    <n v="366.94188375641602"/>
    <n v="0"/>
    <n v="0"/>
    <n v="1861.8367479999899"/>
    <n v="1641.405454815"/>
  </r>
  <r>
    <x v="60"/>
    <s v="Truck 1"/>
    <n v="1067"/>
    <n v="1067"/>
    <n v="37.233364573570697"/>
    <n v="136.909903000931"/>
    <n v="15.7587441614931"/>
    <n v="362.78622658955101"/>
    <n v="0"/>
    <n v="0"/>
    <n v="1852.12397499999"/>
    <n v="1628.9261435649901"/>
  </r>
  <r>
    <x v="60"/>
    <s v="Truck 2"/>
    <n v="714"/>
    <n v="714"/>
    <n v="35.275910364145602"/>
    <n v="93.081237252451402"/>
    <n v="15.7587441614931"/>
    <n v="240.227930500714"/>
    <n v="0"/>
    <n v="0"/>
    <n v="1262.54422799999"/>
    <n v="1101.89449820299"/>
  </r>
  <r>
    <x v="60"/>
    <s v="Truck 3"/>
    <n v="714"/>
    <n v="714"/>
    <n v="35.275910364145602"/>
    <n v="91.833532562491698"/>
    <n v="15.7587441614931"/>
    <n v="243.467259588291"/>
    <n v="0"/>
    <n v="0"/>
    <n v="1169.6562269999999"/>
    <n v="1018.713535313"/>
  </r>
  <r>
    <x v="60"/>
    <s v="Truck 4"/>
    <n v="0"/>
    <n v="0"/>
    <n v="0"/>
    <n v="0"/>
    <n v="15.7587441614931"/>
    <n v="0"/>
    <n v="0"/>
    <n v="0"/>
    <n v="0"/>
    <n v="0"/>
  </r>
  <r>
    <x v="60"/>
    <s v="Truck 5"/>
    <n v="0"/>
    <n v="0"/>
    <n v="0"/>
    <n v="0"/>
    <n v="15.7587441614931"/>
    <n v="0"/>
    <n v="0"/>
    <n v="0"/>
    <n v="0"/>
    <n v="0"/>
  </r>
  <r>
    <x v="60"/>
    <s v="Truck 6"/>
    <n v="0"/>
    <n v="0"/>
    <n v="0"/>
    <n v="0"/>
    <n v="15.7587441614931"/>
    <n v="0"/>
    <n v="0"/>
    <n v="0"/>
    <n v="0"/>
    <n v="0"/>
  </r>
  <r>
    <x v="60"/>
    <s v="Truck 7"/>
    <n v="0"/>
    <n v="0"/>
    <n v="0"/>
    <n v="0"/>
    <n v="15.7587441614931"/>
    <n v="0"/>
    <n v="0"/>
    <n v="0"/>
    <n v="0"/>
    <n v="0"/>
  </r>
  <r>
    <x v="61"/>
    <s v="Truck 0"/>
    <n v="1078"/>
    <n v="1078"/>
    <n v="37.6669758812615"/>
    <n v="138.583541185511"/>
    <n v="15.7621924807393"/>
    <n v="368.21147848293202"/>
    <n v="0"/>
    <n v="0"/>
    <n v="1859.77234999999"/>
    <n v="1638.179336421"/>
  </r>
  <r>
    <x v="61"/>
    <s v="Truck 1"/>
    <n v="1067"/>
    <n v="1067"/>
    <n v="37.233364573570697"/>
    <n v="137.50321592109799"/>
    <n v="15.7621924807393"/>
    <n v="361.88405557347301"/>
    <n v="0"/>
    <n v="0"/>
    <n v="1848.0990819999899"/>
    <n v="1624.7455635449901"/>
  </r>
  <r>
    <x v="61"/>
    <s v="Truck 2"/>
    <n v="714"/>
    <n v="714"/>
    <n v="35.275910364145602"/>
    <n v="93.589120998938498"/>
    <n v="15.7621924807393"/>
    <n v="240.88455356021001"/>
    <n v="0"/>
    <n v="0"/>
    <n v="1262.2996129999899"/>
    <n v="1101.8620424189901"/>
  </r>
  <r>
    <x v="61"/>
    <s v="Truck 3"/>
    <n v="714"/>
    <n v="714"/>
    <n v="35.275910364145602"/>
    <n v="91.803513057612506"/>
    <n v="15.7621924807393"/>
    <n v="242.70873340031"/>
    <n v="0"/>
    <n v="0"/>
    <n v="1158.3100889999901"/>
    <n v="1009.264127249"/>
  </r>
  <r>
    <x v="61"/>
    <s v="Truck 4"/>
    <n v="0"/>
    <n v="0"/>
    <n v="0"/>
    <n v="0"/>
    <n v="15.7621924807393"/>
    <n v="0"/>
    <n v="0"/>
    <n v="0"/>
    <n v="0"/>
    <n v="0"/>
  </r>
  <r>
    <x v="61"/>
    <s v="Truck 5"/>
    <n v="0"/>
    <n v="0"/>
    <n v="0"/>
    <n v="0"/>
    <n v="15.7621924807393"/>
    <n v="0"/>
    <n v="0"/>
    <n v="0"/>
    <n v="0"/>
    <n v="0"/>
  </r>
  <r>
    <x v="61"/>
    <s v="Truck 6"/>
    <n v="0"/>
    <n v="0"/>
    <n v="0"/>
    <n v="0"/>
    <n v="15.7621924807393"/>
    <n v="0"/>
    <n v="0"/>
    <n v="0"/>
    <n v="0"/>
    <n v="0"/>
  </r>
  <r>
    <x v="61"/>
    <s v="Truck 7"/>
    <n v="0"/>
    <n v="0"/>
    <n v="0"/>
    <n v="0"/>
    <n v="15.7621924807393"/>
    <n v="0"/>
    <n v="0"/>
    <n v="0"/>
    <n v="0"/>
    <n v="0"/>
  </r>
  <r>
    <x v="62"/>
    <s v="Truck 0"/>
    <n v="1290"/>
    <n v="1213"/>
    <n v="77.444186046511604"/>
    <n v="198.55450578635001"/>
    <n v="6.6642265014248201"/>
    <n v="422.58762970319901"/>
    <n v="0"/>
    <n v="0"/>
    <n v="2774.586937"/>
    <n v="2377.3887450329898"/>
  </r>
  <r>
    <x v="62"/>
    <s v="Truck 1"/>
    <n v="1127"/>
    <n v="1127"/>
    <n v="70.373558118899695"/>
    <n v="196.542839557935"/>
    <n v="6.6642265014248201"/>
    <n v="385.96537164566098"/>
    <n v="0"/>
    <n v="0"/>
    <n v="2672.8602089999999"/>
    <n v="2270.8575071"/>
  </r>
  <r>
    <x v="62"/>
    <s v="Truck 2"/>
    <n v="698"/>
    <n v="698"/>
    <n v="88.210601719197697"/>
    <n v="110.536429858476"/>
    <n v="6.6642265014248201"/>
    <n v="189.047659011061"/>
    <n v="0"/>
    <n v="0"/>
    <n v="1249.987768"/>
    <n v="1053.4956382539899"/>
  </r>
  <r>
    <x v="62"/>
    <s v="Truck 3"/>
    <n v="693"/>
    <n v="693"/>
    <n v="87.5772005772005"/>
    <n v="109.171463302821"/>
    <n v="6.6642265014248201"/>
    <n v="188.631656893697"/>
    <n v="0"/>
    <n v="0"/>
    <n v="1241.4408469999901"/>
    <n v="1048.1252781769999"/>
  </r>
  <r>
    <x v="63"/>
    <s v="Truck 0"/>
    <n v="1078"/>
    <n v="1078"/>
    <n v="37.6669758812615"/>
    <n v="138.80150601440801"/>
    <n v="16.024290706082599"/>
    <n v="370.395044112981"/>
    <n v="0"/>
    <n v="0"/>
    <n v="1860.81541899999"/>
    <n v="1641.591244577"/>
  </r>
  <r>
    <x v="63"/>
    <s v="Truck 1"/>
    <n v="1067"/>
    <n v="1067"/>
    <n v="37.233364573570697"/>
    <n v="136.29036512075299"/>
    <n v="16.024290706082599"/>
    <n v="360.87316545146098"/>
    <n v="0"/>
    <n v="0"/>
    <n v="1838.43469799999"/>
    <n v="1618.50552889699"/>
  </r>
  <r>
    <x v="63"/>
    <s v="Truck 2"/>
    <n v="714"/>
    <n v="714"/>
    <n v="35.275910364145602"/>
    <n v="93.508004867779107"/>
    <n v="16.024290706082599"/>
    <n v="243.228846357468"/>
    <n v="0"/>
    <n v="0"/>
    <n v="1263.4446209999901"/>
    <n v="1104.28569347999"/>
  </r>
  <r>
    <x v="63"/>
    <s v="Truck 3"/>
    <n v="714"/>
    <n v="714"/>
    <n v="35.275910364145602"/>
    <n v="92.101460325930105"/>
    <n v="16.024290706082599"/>
    <n v="243.34903774037201"/>
    <n v="0"/>
    <n v="0"/>
    <n v="1167.572741"/>
    <n v="1016.816652415"/>
  </r>
  <r>
    <x v="63"/>
    <s v="Truck 4"/>
    <n v="0"/>
    <n v="0"/>
    <n v="0"/>
    <n v="0"/>
    <n v="16.024290706082599"/>
    <n v="0"/>
    <n v="0"/>
    <n v="0"/>
    <n v="0"/>
    <n v="0"/>
  </r>
  <r>
    <x v="63"/>
    <s v="Truck 5"/>
    <n v="0"/>
    <n v="0"/>
    <n v="0"/>
    <n v="0"/>
    <n v="16.024290706082599"/>
    <n v="0"/>
    <n v="0"/>
    <n v="0"/>
    <n v="0"/>
    <n v="0"/>
  </r>
  <r>
    <x v="63"/>
    <s v="Truck 6"/>
    <n v="0"/>
    <n v="0"/>
    <n v="0"/>
    <n v="0"/>
    <n v="16.024290706082599"/>
    <n v="0"/>
    <n v="0"/>
    <n v="0"/>
    <n v="0"/>
    <n v="0"/>
  </r>
  <r>
    <x v="63"/>
    <s v="Truck 7"/>
    <n v="0"/>
    <n v="0"/>
    <n v="0"/>
    <n v="0"/>
    <n v="16.024290706082599"/>
    <n v="0"/>
    <n v="0"/>
    <n v="0"/>
    <n v="0"/>
    <n v="0"/>
  </r>
  <r>
    <x v="64"/>
    <s v="Truck 0"/>
    <n v="1078"/>
    <n v="1078"/>
    <n v="37.6669758812615"/>
    <n v="138.37150633170799"/>
    <n v="15.7783949191129"/>
    <n v="370.04219253176501"/>
    <n v="0"/>
    <n v="0"/>
    <n v="1859.26716299999"/>
    <n v="1641.295409069"/>
  </r>
  <r>
    <x v="64"/>
    <s v="Truck 1"/>
    <n v="1067"/>
    <n v="1067"/>
    <n v="37.233364573570697"/>
    <n v="137.45655972980401"/>
    <n v="15.7783949191129"/>
    <n v="360.42907617152503"/>
    <n v="0"/>
    <n v="0"/>
    <n v="1849.6486379999899"/>
    <n v="1624.1616489139899"/>
  </r>
  <r>
    <x v="64"/>
    <s v="Truck 2"/>
    <n v="714"/>
    <n v="714"/>
    <n v="35.275910364145602"/>
    <n v="93.604290760565206"/>
    <n v="15.7783949191129"/>
    <n v="241.494910054195"/>
    <n v="0"/>
    <n v="0"/>
    <n v="1263.4446209999901"/>
    <n v="1102.41064679999"/>
  </r>
  <r>
    <x v="64"/>
    <s v="Truck 3"/>
    <n v="714"/>
    <n v="714"/>
    <n v="35.275910364145602"/>
    <n v="92.902143242193404"/>
    <n v="15.7783949191129"/>
    <n v="242.970230014208"/>
    <n v="0"/>
    <n v="0"/>
    <n v="1170.38692499999"/>
    <n v="1019.7482389960001"/>
  </r>
  <r>
    <x v="64"/>
    <s v="Truck 4"/>
    <n v="0"/>
    <n v="0"/>
    <n v="0"/>
    <n v="0"/>
    <n v="15.7783949191129"/>
    <n v="0"/>
    <n v="0"/>
    <n v="0"/>
    <n v="0"/>
    <n v="0"/>
  </r>
  <r>
    <x v="64"/>
    <s v="Truck 5"/>
    <n v="0"/>
    <n v="0"/>
    <n v="0"/>
    <n v="0"/>
    <n v="15.7783949191129"/>
    <n v="0"/>
    <n v="0"/>
    <n v="0"/>
    <n v="0"/>
    <n v="0"/>
  </r>
  <r>
    <x v="64"/>
    <s v="Truck 6"/>
    <n v="0"/>
    <n v="0"/>
    <n v="0"/>
    <n v="0"/>
    <n v="15.7783949191129"/>
    <n v="0"/>
    <n v="0"/>
    <n v="0"/>
    <n v="0"/>
    <n v="0"/>
  </r>
  <r>
    <x v="64"/>
    <s v="Truck 7"/>
    <n v="0"/>
    <n v="0"/>
    <n v="0"/>
    <n v="0"/>
    <n v="15.7783949191129"/>
    <n v="0"/>
    <n v="0"/>
    <n v="0"/>
    <n v="0"/>
    <n v="0"/>
  </r>
  <r>
    <x v="65"/>
    <s v="Truck 0"/>
    <n v="1298"/>
    <n v="1221"/>
    <n v="78.199537750385204"/>
    <n v="198.84557587198401"/>
    <n v="6.6541676508182404"/>
    <n v="421.04574887838498"/>
    <n v="0"/>
    <n v="0"/>
    <n v="2793.5756529999999"/>
    <n v="2394.8997101159898"/>
  </r>
  <r>
    <x v="65"/>
    <s v="Truck 1"/>
    <n v="1135"/>
    <n v="1135"/>
    <n v="71.279295154184993"/>
    <n v="195.559128620862"/>
    <n v="6.6541676508182404"/>
    <n v="385.22935614194802"/>
    <n v="0"/>
    <n v="0"/>
    <n v="2674.8094839999999"/>
    <n v="2273.3888780329999"/>
  </r>
  <r>
    <x v="65"/>
    <s v="Truck 2"/>
    <n v="695"/>
    <n v="695"/>
    <n v="87.772661870503597"/>
    <n v="110.445723174438"/>
    <n v="6.6541676508182404"/>
    <n v="189.000120827481"/>
    <n v="0"/>
    <n v="0"/>
    <n v="1250.0713459999899"/>
    <n v="1055.4341030999999"/>
  </r>
  <r>
    <x v="65"/>
    <s v="Truck 3"/>
    <n v="690"/>
    <n v="690"/>
    <n v="87.136231884057906"/>
    <n v="110.449829886898"/>
    <n v="6.6541676508182404"/>
    <n v="189.166615997832"/>
    <n v="0"/>
    <n v="0"/>
    <n v="1244.2630609999901"/>
    <n v="1051.2285398189999"/>
  </r>
  <r>
    <x v="66"/>
    <s v="Truck 0"/>
    <n v="1289"/>
    <n v="1212"/>
    <n v="77.346780449961201"/>
    <n v="199.029954640445"/>
    <n v="6.7502613916988796"/>
    <n v="423.90245903115101"/>
    <n v="0"/>
    <n v="0"/>
    <n v="2780.2630909999898"/>
    <n v="2383.38899829399"/>
  </r>
  <r>
    <x v="66"/>
    <s v="Truck 1"/>
    <n v="1125"/>
    <n v="1125"/>
    <n v="70.140444444444398"/>
    <n v="192.301996163463"/>
    <n v="6.7502613916988796"/>
    <n v="386.22265410782001"/>
    <n v="0"/>
    <n v="0"/>
    <n v="2624.3834339999999"/>
    <n v="2231.0251825599998"/>
  </r>
  <r>
    <x v="66"/>
    <s v="Truck 2"/>
    <n v="696"/>
    <n v="696"/>
    <n v="87.919540229885001"/>
    <n v="109.953190031158"/>
    <n v="6.7502613916988796"/>
    <n v="187.714676158277"/>
    <n v="0"/>
    <n v="0"/>
    <n v="1256.98127999999"/>
    <n v="1060.5556374569901"/>
  </r>
  <r>
    <x v="66"/>
    <s v="Truck 3"/>
    <n v="691"/>
    <n v="691"/>
    <n v="87.315484804630898"/>
    <n v="109.349251556129"/>
    <n v="6.7502613916988796"/>
    <n v="190.206215641754"/>
    <n v="0"/>
    <n v="0"/>
    <n v="1241.95428299999"/>
    <n v="1049.9408411110001"/>
  </r>
  <r>
    <x v="67"/>
    <s v="Truck 0"/>
    <n v="1078"/>
    <n v="1078"/>
    <n v="37.6669758812615"/>
    <n v="137.97935026465601"/>
    <n v="15.8101445500261"/>
    <n v="370.26834927120802"/>
    <n v="0"/>
    <n v="0"/>
    <n v="1858.45976899999"/>
    <n v="1636.4272365439999"/>
  </r>
  <r>
    <x v="67"/>
    <s v="Truck 1"/>
    <n v="1067"/>
    <n v="1067"/>
    <n v="37.233364573570697"/>
    <n v="137.28043615472299"/>
    <n v="15.8101445500261"/>
    <n v="362.81562681285402"/>
    <n v="0"/>
    <n v="0"/>
    <n v="1851.0129689999901"/>
    <n v="1627.4188159350001"/>
  </r>
  <r>
    <x v="67"/>
    <s v="Truck 2"/>
    <n v="714"/>
    <n v="714"/>
    <n v="35.275910364145602"/>
    <n v="93.315909151436301"/>
    <n v="15.8101445500261"/>
    <n v="241.61518514700299"/>
    <n v="0"/>
    <n v="0"/>
    <n v="1262.36828099999"/>
    <n v="1101.48127284099"/>
  </r>
  <r>
    <x v="67"/>
    <s v="Truck 3"/>
    <n v="714"/>
    <n v="714"/>
    <n v="35.275910364145602"/>
    <n v="92.141010986226206"/>
    <n v="15.8101445500261"/>
    <n v="242.68196912094899"/>
    <n v="0"/>
    <n v="0"/>
    <n v="1167.0320079999899"/>
    <n v="1015.882297007"/>
  </r>
  <r>
    <x v="67"/>
    <s v="Truck 4"/>
    <n v="0"/>
    <n v="0"/>
    <n v="0"/>
    <n v="0"/>
    <n v="15.8101445500261"/>
    <n v="0"/>
    <n v="0"/>
    <n v="0"/>
    <n v="0"/>
    <n v="0"/>
  </r>
  <r>
    <x v="67"/>
    <s v="Truck 5"/>
    <n v="0"/>
    <n v="0"/>
    <n v="0"/>
    <n v="0"/>
    <n v="15.8101445500261"/>
    <n v="0"/>
    <n v="0"/>
    <n v="0"/>
    <n v="0"/>
    <n v="0"/>
  </r>
  <r>
    <x v="67"/>
    <s v="Truck 6"/>
    <n v="0"/>
    <n v="0"/>
    <n v="0"/>
    <n v="0"/>
    <n v="15.8101445500261"/>
    <n v="0"/>
    <n v="0"/>
    <n v="0"/>
    <n v="0"/>
    <n v="0"/>
  </r>
  <r>
    <x v="67"/>
    <s v="Truck 7"/>
    <n v="0"/>
    <n v="0"/>
    <n v="0"/>
    <n v="0"/>
    <n v="15.8101445500261"/>
    <n v="0"/>
    <n v="0"/>
    <n v="0"/>
    <n v="0"/>
    <n v="0"/>
  </r>
  <r>
    <x v="68"/>
    <s v="Truck 0"/>
    <n v="1078"/>
    <n v="1078"/>
    <n v="37.6669758812615"/>
    <n v="138.56943125499899"/>
    <n v="15.741695872723501"/>
    <n v="368.19230483322798"/>
    <n v="0"/>
    <n v="0"/>
    <n v="1859.2512829999901"/>
    <n v="1637.5248177829999"/>
  </r>
  <r>
    <x v="68"/>
    <s v="Truck 1"/>
    <n v="1067"/>
    <n v="1067"/>
    <n v="37.233364573570697"/>
    <n v="137.089053610733"/>
    <n v="15.741695872723501"/>
    <n v="359.65458280208298"/>
    <n v="0"/>
    <n v="0"/>
    <n v="1847.81456599999"/>
    <n v="1623.6627548259901"/>
  </r>
  <r>
    <x v="68"/>
    <s v="Truck 2"/>
    <n v="714"/>
    <n v="714"/>
    <n v="35.275910364145602"/>
    <n v="93.413583065205501"/>
    <n v="15.741695872723501"/>
    <n v="241.015448209417"/>
    <n v="0"/>
    <n v="0"/>
    <n v="1263.7045109999899"/>
    <n v="1102.0237073539899"/>
  </r>
  <r>
    <x v="68"/>
    <s v="Truck 3"/>
    <n v="714"/>
    <n v="714"/>
    <n v="35.275910364145602"/>
    <n v="92.125353097155994"/>
    <n v="15.741695872723501"/>
    <n v="243.24824635498101"/>
    <n v="0"/>
    <n v="0"/>
    <n v="1167.4348069999901"/>
    <n v="1016.18271396"/>
  </r>
  <r>
    <x v="68"/>
    <s v="Truck 4"/>
    <n v="0"/>
    <n v="0"/>
    <n v="0"/>
    <n v="0"/>
    <n v="15.741695872723501"/>
    <n v="0"/>
    <n v="0"/>
    <n v="0"/>
    <n v="0"/>
    <n v="0"/>
  </r>
  <r>
    <x v="68"/>
    <s v="Truck 5"/>
    <n v="0"/>
    <n v="0"/>
    <n v="0"/>
    <n v="0"/>
    <n v="15.741695872723501"/>
    <n v="0"/>
    <n v="0"/>
    <n v="0"/>
    <n v="0"/>
    <n v="0"/>
  </r>
  <r>
    <x v="68"/>
    <s v="Truck 6"/>
    <n v="0"/>
    <n v="0"/>
    <n v="0"/>
    <n v="0"/>
    <n v="15.741695872723501"/>
    <n v="0"/>
    <n v="0"/>
    <n v="0"/>
    <n v="0"/>
    <n v="0"/>
  </r>
  <r>
    <x v="68"/>
    <s v="Truck 7"/>
    <n v="0"/>
    <n v="0"/>
    <n v="0"/>
    <n v="0"/>
    <n v="15.741695872723501"/>
    <n v="0"/>
    <n v="0"/>
    <n v="0"/>
    <n v="0"/>
    <n v="0"/>
  </r>
  <r>
    <x v="69"/>
    <s v="Truck 0"/>
    <n v="1078"/>
    <n v="1078"/>
    <n v="37.6669758812615"/>
    <n v="138.66224869344001"/>
    <n v="15.7647177630675"/>
    <n v="369.59122458875402"/>
    <n v="0"/>
    <n v="0"/>
    <n v="1860.64567699999"/>
    <n v="1641.8181107119999"/>
  </r>
  <r>
    <x v="69"/>
    <s v="Truck 1"/>
    <n v="1067"/>
    <n v="1067"/>
    <n v="37.233364573570697"/>
    <n v="137.02569882960299"/>
    <n v="15.7647177630675"/>
    <n v="360.50987965670902"/>
    <n v="0"/>
    <n v="0"/>
    <n v="1846.08384399999"/>
    <n v="1623.2671656939899"/>
  </r>
  <r>
    <x v="69"/>
    <s v="Truck 2"/>
    <n v="714"/>
    <n v="714"/>
    <n v="35.275910364145602"/>
    <n v="93.623892830093794"/>
    <n v="15.7647177630675"/>
    <n v="240.14035296258299"/>
    <n v="0"/>
    <n v="0"/>
    <n v="1262.9581369999901"/>
    <n v="1102.55719066499"/>
  </r>
  <r>
    <x v="69"/>
    <s v="Truck 3"/>
    <n v="714"/>
    <n v="714"/>
    <n v="35.275910364145602"/>
    <n v="92.047318345825104"/>
    <n v="15.7647177630675"/>
    <n v="243.64181054815501"/>
    <n v="0"/>
    <n v="0"/>
    <n v="1166.465076"/>
    <n v="1014.451214028"/>
  </r>
  <r>
    <x v="69"/>
    <s v="Truck 4"/>
    <n v="0"/>
    <n v="0"/>
    <n v="0"/>
    <n v="0"/>
    <n v="15.7647177630675"/>
    <n v="0"/>
    <n v="0"/>
    <n v="0"/>
    <n v="0"/>
    <n v="0"/>
  </r>
  <r>
    <x v="69"/>
    <s v="Truck 5"/>
    <n v="0"/>
    <n v="0"/>
    <n v="0"/>
    <n v="0"/>
    <n v="15.7647177630675"/>
    <n v="0"/>
    <n v="0"/>
    <n v="0"/>
    <n v="0"/>
    <n v="0"/>
  </r>
  <r>
    <x v="69"/>
    <s v="Truck 6"/>
    <n v="0"/>
    <n v="0"/>
    <n v="0"/>
    <n v="0"/>
    <n v="15.7647177630675"/>
    <n v="0"/>
    <n v="0"/>
    <n v="0"/>
    <n v="0"/>
    <n v="0"/>
  </r>
  <r>
    <x v="69"/>
    <s v="Truck 7"/>
    <n v="0"/>
    <n v="0"/>
    <n v="0"/>
    <n v="0"/>
    <n v="15.7647177630675"/>
    <n v="0"/>
    <n v="0"/>
    <n v="0"/>
    <n v="0"/>
    <n v="0"/>
  </r>
  <r>
    <x v="70"/>
    <s v="Truck 0"/>
    <n v="730"/>
    <n v="730"/>
    <n v="25.658904109588999"/>
    <n v="101.532617888283"/>
    <n v="12.1301578686115"/>
    <n v="246.81488904083201"/>
    <n v="0"/>
    <n v="0"/>
    <n v="1378.90985"/>
    <n v="1191.8451028009999"/>
  </r>
  <r>
    <x v="70"/>
    <s v="Truck 1"/>
    <n v="718"/>
    <n v="718"/>
    <n v="25.268802228412198"/>
    <n v="100.073264426893"/>
    <n v="12.1301578686115"/>
    <n v="241.119166704234"/>
    <n v="0"/>
    <n v="0"/>
    <n v="1358.97846399999"/>
    <n v="1172.603680592"/>
  </r>
  <r>
    <x v="70"/>
    <s v="Truck 2"/>
    <n v="711"/>
    <n v="711"/>
    <n v="24.992967651195499"/>
    <n v="99.2201844150445"/>
    <n v="12.1301578686115"/>
    <n v="242.006488473031"/>
    <n v="0"/>
    <n v="0"/>
    <n v="1357.43997499999"/>
    <n v="1171.500060286"/>
  </r>
  <r>
    <x v="70"/>
    <s v="Truck 3"/>
    <n v="476"/>
    <n v="476"/>
    <n v="23.716386554621799"/>
    <n v="66.847442073257696"/>
    <n v="12.1301578686115"/>
    <n v="159.83416159694599"/>
    <n v="0"/>
    <n v="0"/>
    <n v="894.44914799999901"/>
    <n v="772.61828055999899"/>
  </r>
  <r>
    <x v="70"/>
    <s v="Truck 4"/>
    <n v="476"/>
    <n v="476"/>
    <n v="23.716386554621799"/>
    <n v="66.750742839632395"/>
    <n v="12.1301578686115"/>
    <n v="161.53614949213099"/>
    <n v="0"/>
    <n v="0"/>
    <n v="856.92559800000004"/>
    <n v="741.61057031400003"/>
  </r>
  <r>
    <x v="70"/>
    <s v="Truck 5"/>
    <n v="476"/>
    <n v="476"/>
    <n v="23.716386554621799"/>
    <n v="67.070891786629403"/>
    <n v="12.1301578686115"/>
    <n v="161.70493155398"/>
    <n v="0"/>
    <n v="0"/>
    <n v="856.46256400000004"/>
    <n v="740.51705710800002"/>
  </r>
  <r>
    <x v="70"/>
    <s v="Truck 6"/>
    <n v="0"/>
    <n v="0"/>
    <n v="0"/>
    <n v="0"/>
    <n v="12.1301578686115"/>
    <n v="0"/>
    <n v="0"/>
    <n v="0"/>
    <n v="0"/>
    <n v="0"/>
  </r>
  <r>
    <x v="70"/>
    <s v="Truck 7"/>
    <n v="0"/>
    <n v="0"/>
    <n v="0"/>
    <n v="0"/>
    <n v="12.1301578686115"/>
    <n v="0"/>
    <n v="0"/>
    <n v="0"/>
    <n v="0"/>
    <n v="0"/>
  </r>
  <r>
    <x v="70"/>
    <s v="Truck 8"/>
    <n v="0"/>
    <n v="0"/>
    <n v="0"/>
    <n v="0"/>
    <n v="12.1301578686115"/>
    <n v="0"/>
    <n v="0"/>
    <n v="0"/>
    <n v="0"/>
    <n v="0"/>
  </r>
  <r>
    <x v="70"/>
    <s v="Truck 9"/>
    <n v="0"/>
    <n v="0"/>
    <n v="0"/>
    <n v="0"/>
    <n v="12.1301578686115"/>
    <n v="0"/>
    <n v="0"/>
    <n v="0"/>
    <n v="0"/>
    <n v="0"/>
  </r>
  <r>
    <x v="70"/>
    <s v="Truck 10"/>
    <n v="0"/>
    <n v="0"/>
    <n v="0"/>
    <n v="0"/>
    <n v="12.1301578686115"/>
    <n v="0"/>
    <n v="0"/>
    <n v="0"/>
    <n v="0"/>
    <n v="0"/>
  </r>
  <r>
    <x v="70"/>
    <s v="Truck 11"/>
    <n v="0"/>
    <n v="0"/>
    <n v="0"/>
    <n v="0"/>
    <n v="12.1301578686115"/>
    <n v="0"/>
    <n v="0"/>
    <n v="0"/>
    <n v="0"/>
    <n v="0"/>
  </r>
  <r>
    <x v="71"/>
    <s v="Truck 0"/>
    <n v="1078"/>
    <n v="1078"/>
    <n v="37.6669758812615"/>
    <n v="138.49393693409399"/>
    <n v="15.7524119289097"/>
    <n v="367.910115935644"/>
    <n v="0"/>
    <n v="0"/>
    <n v="1859.1660379999901"/>
    <n v="1637.401183296"/>
  </r>
  <r>
    <x v="71"/>
    <s v="Truck 1"/>
    <n v="1067"/>
    <n v="1067"/>
    <n v="37.233364573570697"/>
    <n v="136.824764395476"/>
    <n v="15.7524119289097"/>
    <n v="362.31497624370797"/>
    <n v="0"/>
    <n v="0"/>
    <n v="1846.8881919999901"/>
    <n v="1625.402163404"/>
  </r>
  <r>
    <x v="71"/>
    <s v="Truck 2"/>
    <n v="714"/>
    <n v="714"/>
    <n v="35.275910364145602"/>
    <n v="93.289641353870394"/>
    <n v="15.7524119289097"/>
    <n v="240.875426755501"/>
    <n v="0"/>
    <n v="0"/>
    <n v="1263.4446209999901"/>
    <n v="1102.09914084099"/>
  </r>
  <r>
    <x v="71"/>
    <s v="Truck 3"/>
    <n v="714"/>
    <n v="714"/>
    <n v="35.275910364145602"/>
    <n v="91.9710234669394"/>
    <n v="15.7524119289097"/>
    <n v="241.83519959119499"/>
    <n v="0"/>
    <n v="0"/>
    <n v="1167.323257"/>
    <n v="1015.140484734"/>
  </r>
  <r>
    <x v="71"/>
    <s v="Truck 4"/>
    <n v="0"/>
    <n v="0"/>
    <n v="0"/>
    <n v="0"/>
    <n v="15.7524119289097"/>
    <n v="0"/>
    <n v="0"/>
    <n v="0"/>
    <n v="0"/>
    <n v="0"/>
  </r>
  <r>
    <x v="71"/>
    <s v="Truck 5"/>
    <n v="0"/>
    <n v="0"/>
    <n v="0"/>
    <n v="0"/>
    <n v="15.7524119289097"/>
    <n v="0"/>
    <n v="0"/>
    <n v="0"/>
    <n v="0"/>
    <n v="0"/>
  </r>
  <r>
    <x v="71"/>
    <s v="Truck 6"/>
    <n v="0"/>
    <n v="0"/>
    <n v="0"/>
    <n v="0"/>
    <n v="15.7524119289097"/>
    <n v="0"/>
    <n v="0"/>
    <n v="0"/>
    <n v="0"/>
    <n v="0"/>
  </r>
  <r>
    <x v="71"/>
    <s v="Truck 7"/>
    <n v="0"/>
    <n v="0"/>
    <n v="0"/>
    <n v="0"/>
    <n v="15.7524119289097"/>
    <n v="0"/>
    <n v="0"/>
    <n v="0"/>
    <n v="0"/>
    <n v="0"/>
  </r>
  <r>
    <x v="72"/>
    <s v="Truck 0"/>
    <n v="730"/>
    <n v="730"/>
    <n v="25.658904109588999"/>
    <n v="101.532851113992"/>
    <n v="12.126618158062699"/>
    <n v="246.51592601791501"/>
    <n v="0"/>
    <n v="0"/>
    <n v="1377.5243390000001"/>
    <n v="1190.6801343259999"/>
  </r>
  <r>
    <x v="72"/>
    <s v="Truck 1"/>
    <n v="718"/>
    <n v="718"/>
    <n v="25.268802228412198"/>
    <n v="100.33310882895201"/>
    <n v="12.126618158062699"/>
    <n v="239.96884415245299"/>
    <n v="0"/>
    <n v="0"/>
    <n v="1358.15065199999"/>
    <n v="1171.2499152360001"/>
  </r>
  <r>
    <x v="72"/>
    <s v="Truck 2"/>
    <n v="711"/>
    <n v="711"/>
    <n v="24.992967651195499"/>
    <n v="100.13683122497299"/>
    <n v="12.126618158062699"/>
    <n v="242.132510022953"/>
    <n v="0"/>
    <n v="0"/>
    <n v="1357.43997499999"/>
    <n v="1170.7995777789999"/>
  </r>
  <r>
    <x v="72"/>
    <s v="Truck 3"/>
    <n v="476"/>
    <n v="476"/>
    <n v="23.716386554621799"/>
    <n v="67.336596566565902"/>
    <n v="12.126618158062699"/>
    <n v="160.62072383032901"/>
    <n v="0"/>
    <n v="0"/>
    <n v="893.80479699999898"/>
    <n v="771.87575246199901"/>
  </r>
  <r>
    <x v="72"/>
    <s v="Truck 4"/>
    <n v="476"/>
    <n v="476"/>
    <n v="23.716386554621799"/>
    <n v="67.470454774088395"/>
    <n v="12.126618158062699"/>
    <n v="161.986497972525"/>
    <n v="0"/>
    <n v="0"/>
    <n v="875.17303400000003"/>
    <n v="755.68352951500003"/>
  </r>
  <r>
    <x v="72"/>
    <s v="Truck 5"/>
    <n v="476"/>
    <n v="476"/>
    <n v="23.716386554621799"/>
    <n v="66.485771087729205"/>
    <n v="12.126618158062699"/>
    <n v="161.43731381009499"/>
    <n v="0"/>
    <n v="0"/>
    <n v="834.20448899999997"/>
    <n v="720.21105172199998"/>
  </r>
  <r>
    <x v="72"/>
    <s v="Truck 6"/>
    <n v="0"/>
    <n v="0"/>
    <n v="0"/>
    <n v="0"/>
    <n v="12.126618158062699"/>
    <n v="0"/>
    <n v="0"/>
    <n v="0"/>
    <n v="0"/>
    <n v="0"/>
  </r>
  <r>
    <x v="72"/>
    <s v="Truck 7"/>
    <n v="0"/>
    <n v="0"/>
    <n v="0"/>
    <n v="0"/>
    <n v="12.126618158062699"/>
    <n v="0"/>
    <n v="0"/>
    <n v="0"/>
    <n v="0"/>
    <n v="0"/>
  </r>
  <r>
    <x v="72"/>
    <s v="Truck 8"/>
    <n v="0"/>
    <n v="0"/>
    <n v="0"/>
    <n v="0"/>
    <n v="12.126618158062699"/>
    <n v="0"/>
    <n v="0"/>
    <n v="0"/>
    <n v="0"/>
    <n v="0"/>
  </r>
  <r>
    <x v="72"/>
    <s v="Truck 9"/>
    <n v="0"/>
    <n v="0"/>
    <n v="0"/>
    <n v="0"/>
    <n v="12.126618158062699"/>
    <n v="0"/>
    <n v="0"/>
    <n v="0"/>
    <n v="0"/>
    <n v="0"/>
  </r>
  <r>
    <x v="72"/>
    <s v="Truck 10"/>
    <n v="0"/>
    <n v="0"/>
    <n v="0"/>
    <n v="0"/>
    <n v="12.126618158062699"/>
    <n v="0"/>
    <n v="0"/>
    <n v="0"/>
    <n v="0"/>
    <n v="0"/>
  </r>
  <r>
    <x v="72"/>
    <s v="Truck 11"/>
    <n v="0"/>
    <n v="0"/>
    <n v="0"/>
    <n v="0"/>
    <n v="12.126618158062699"/>
    <n v="0"/>
    <n v="0"/>
    <n v="0"/>
    <n v="0"/>
    <n v="0"/>
  </r>
  <r>
    <x v="73"/>
    <s v="Truck 0"/>
    <n v="730"/>
    <n v="730"/>
    <n v="25.658904109588999"/>
    <n v="101.51323851838001"/>
    <n v="12.2355172344312"/>
    <n v="247.18357546047201"/>
    <n v="0"/>
    <n v="0"/>
    <n v="1378.6178179999999"/>
    <n v="1192.8753060399999"/>
  </r>
  <r>
    <x v="73"/>
    <s v="Truck 1"/>
    <n v="718"/>
    <n v="718"/>
    <n v="25.268802228412198"/>
    <n v="100.894490210919"/>
    <n v="12.2355172344312"/>
    <n v="240.627296444096"/>
    <n v="0"/>
    <n v="0"/>
    <n v="1361.8337119999901"/>
    <n v="1175.424318549"/>
  </r>
  <r>
    <x v="73"/>
    <s v="Truck 2"/>
    <n v="711"/>
    <n v="711"/>
    <n v="24.992967651195499"/>
    <n v="99.128570922396904"/>
    <n v="12.2355172344312"/>
    <n v="240.081446726709"/>
    <n v="0"/>
    <n v="0"/>
    <n v="1342.0808019999899"/>
    <n v="1159.296157989"/>
  </r>
  <r>
    <x v="73"/>
    <s v="Truck 3"/>
    <n v="476"/>
    <n v="476"/>
    <n v="23.716386554621799"/>
    <n v="67.441375652485306"/>
    <n v="12.2355172344312"/>
    <n v="159.93000419585599"/>
    <n v="0"/>
    <n v="0"/>
    <n v="891.98153199999899"/>
    <n v="770.29817624499901"/>
  </r>
  <r>
    <x v="73"/>
    <s v="Truck 4"/>
    <n v="476"/>
    <n v="476"/>
    <n v="23.716386554621799"/>
    <n v="66.703461999640993"/>
    <n v="12.2355172344312"/>
    <n v="161.16772482476"/>
    <n v="0"/>
    <n v="0"/>
    <n v="856.55660999999998"/>
    <n v="742.54218999"/>
  </r>
  <r>
    <x v="73"/>
    <s v="Truck 5"/>
    <n v="476"/>
    <n v="476"/>
    <n v="23.716386554621799"/>
    <n v="67.076435678710396"/>
    <n v="12.2355172344312"/>
    <n v="162.32615855679799"/>
    <n v="0"/>
    <n v="0"/>
    <n v="848.97318199999995"/>
    <n v="732.21279463400003"/>
  </r>
  <r>
    <x v="73"/>
    <s v="Truck 6"/>
    <n v="0"/>
    <n v="0"/>
    <n v="0"/>
    <n v="0"/>
    <n v="12.2355172344312"/>
    <n v="0"/>
    <n v="0"/>
    <n v="0"/>
    <n v="0"/>
    <n v="0"/>
  </r>
  <r>
    <x v="73"/>
    <s v="Truck 7"/>
    <n v="0"/>
    <n v="0"/>
    <n v="0"/>
    <n v="0"/>
    <n v="12.2355172344312"/>
    <n v="0"/>
    <n v="0"/>
    <n v="0"/>
    <n v="0"/>
    <n v="0"/>
  </r>
  <r>
    <x v="73"/>
    <s v="Truck 8"/>
    <n v="0"/>
    <n v="0"/>
    <n v="0"/>
    <n v="0"/>
    <n v="12.2355172344312"/>
    <n v="0"/>
    <n v="0"/>
    <n v="0"/>
    <n v="0"/>
    <n v="0"/>
  </r>
  <r>
    <x v="73"/>
    <s v="Truck 9"/>
    <n v="0"/>
    <n v="0"/>
    <n v="0"/>
    <n v="0"/>
    <n v="12.2355172344312"/>
    <n v="0"/>
    <n v="0"/>
    <n v="0"/>
    <n v="0"/>
    <n v="0"/>
  </r>
  <r>
    <x v="73"/>
    <s v="Truck 10"/>
    <n v="0"/>
    <n v="0"/>
    <n v="0"/>
    <n v="0"/>
    <n v="12.2355172344312"/>
    <n v="0"/>
    <n v="0"/>
    <n v="0"/>
    <n v="0"/>
    <n v="0"/>
  </r>
  <r>
    <x v="73"/>
    <s v="Truck 11"/>
    <n v="0"/>
    <n v="0"/>
    <n v="0"/>
    <n v="0"/>
    <n v="12.2355172344312"/>
    <n v="0"/>
    <n v="0"/>
    <n v="0"/>
    <n v="0"/>
    <n v="0"/>
  </r>
  <r>
    <x v="74"/>
    <s v="Truck 0"/>
    <n v="1078"/>
    <n v="1078"/>
    <n v="37.6669758812615"/>
    <n v="138.43806968731599"/>
    <n v="15.757551112882"/>
    <n v="368.54915257285802"/>
    <n v="0"/>
    <n v="0"/>
    <n v="1860.9155599999899"/>
    <n v="1641.320534472"/>
  </r>
  <r>
    <x v="74"/>
    <s v="Truck 1"/>
    <n v="1067"/>
    <n v="1067"/>
    <n v="37.233364573570697"/>
    <n v="136.98920652305901"/>
    <n v="15.757551112882"/>
    <n v="360.26614995875298"/>
    <n v="0"/>
    <n v="0"/>
    <n v="1847.3857519999899"/>
    <n v="1624.62028894799"/>
  </r>
  <r>
    <x v="74"/>
    <s v="Truck 2"/>
    <n v="714"/>
    <n v="714"/>
    <n v="35.275910364145602"/>
    <n v="93.690606856092799"/>
    <n v="15.757551112882"/>
    <n v="241.93541955620501"/>
    <n v="0"/>
    <n v="0"/>
    <n v="1263.6672659999899"/>
    <n v="1102.46619882499"/>
  </r>
  <r>
    <x v="74"/>
    <s v="Truck 3"/>
    <n v="714"/>
    <n v="714"/>
    <n v="35.275910364145602"/>
    <n v="92.4285526010772"/>
    <n v="15.757551112882"/>
    <n v="242.5807136041"/>
    <n v="0"/>
    <n v="0"/>
    <n v="1170.2600479999901"/>
    <n v="1018.952494395"/>
  </r>
  <r>
    <x v="74"/>
    <s v="Truck 4"/>
    <n v="0"/>
    <n v="0"/>
    <n v="0"/>
    <n v="0"/>
    <n v="15.757551112882"/>
    <n v="0"/>
    <n v="0"/>
    <n v="0"/>
    <n v="0"/>
    <n v="0"/>
  </r>
  <r>
    <x v="74"/>
    <s v="Truck 5"/>
    <n v="0"/>
    <n v="0"/>
    <n v="0"/>
    <n v="0"/>
    <n v="15.757551112882"/>
    <n v="0"/>
    <n v="0"/>
    <n v="0"/>
    <n v="0"/>
    <n v="0"/>
  </r>
  <r>
    <x v="74"/>
    <s v="Truck 6"/>
    <n v="0"/>
    <n v="0"/>
    <n v="0"/>
    <n v="0"/>
    <n v="15.757551112882"/>
    <n v="0"/>
    <n v="0"/>
    <n v="0"/>
    <n v="0"/>
    <n v="0"/>
  </r>
  <r>
    <x v="74"/>
    <s v="Truck 7"/>
    <n v="0"/>
    <n v="0"/>
    <n v="0"/>
    <n v="0"/>
    <n v="15.757551112882"/>
    <n v="0"/>
    <n v="0"/>
    <n v="0"/>
    <n v="0"/>
    <n v="0"/>
  </r>
  <r>
    <x v="75"/>
    <s v="Truck 0"/>
    <n v="730"/>
    <n v="730"/>
    <n v="25.658904109588999"/>
    <n v="101.085898075377"/>
    <n v="12.376835865046401"/>
    <n v="246.366798744844"/>
    <n v="0"/>
    <n v="0"/>
    <n v="1361.1433919999999"/>
    <n v="1178.010827611"/>
  </r>
  <r>
    <x v="75"/>
    <s v="Truck 1"/>
    <n v="718"/>
    <n v="718"/>
    <n v="25.268802228412198"/>
    <n v="100.214802636622"/>
    <n v="12.376835865046401"/>
    <n v="240.359089095108"/>
    <n v="0"/>
    <n v="0"/>
    <n v="1360.0108579999901"/>
    <n v="1172.3155494590001"/>
  </r>
  <r>
    <x v="75"/>
    <s v="Truck 2"/>
    <n v="711"/>
    <n v="711"/>
    <n v="24.992967651195499"/>
    <n v="99.618113972389096"/>
    <n v="12.376835865046401"/>
    <n v="242.36979002897701"/>
    <n v="0"/>
    <n v="0"/>
    <n v="1356.7369209999899"/>
    <n v="1169.849186636"/>
  </r>
  <r>
    <x v="75"/>
    <s v="Truck 3"/>
    <n v="476"/>
    <n v="476"/>
    <n v="23.716386554621799"/>
    <n v="67.456428950427807"/>
    <n v="12.376835865046401"/>
    <n v="160.39021274570999"/>
    <n v="0"/>
    <n v="0"/>
    <n v="891.98153199999899"/>
    <n v="770.45336699099903"/>
  </r>
  <r>
    <x v="75"/>
    <s v="Truck 4"/>
    <n v="476"/>
    <n v="476"/>
    <n v="23.716386554621799"/>
    <n v="66.680553705546103"/>
    <n v="12.376835865046401"/>
    <n v="162.204330853442"/>
    <n v="0"/>
    <n v="0"/>
    <n v="858.17208000000005"/>
    <n v="744.48316561499996"/>
  </r>
  <r>
    <x v="75"/>
    <s v="Truck 5"/>
    <n v="476"/>
    <n v="476"/>
    <n v="23.716386554621799"/>
    <n v="66.577150804911696"/>
    <n v="12.376835865046401"/>
    <n v="161.239693306465"/>
    <n v="0"/>
    <n v="0"/>
    <n v="841.69387099999994"/>
    <n v="728.50125716599996"/>
  </r>
  <r>
    <x v="75"/>
    <s v="Truck 6"/>
    <n v="0"/>
    <n v="0"/>
    <n v="0"/>
    <n v="0"/>
    <n v="12.376835865046401"/>
    <n v="0"/>
    <n v="0"/>
    <n v="0"/>
    <n v="0"/>
    <n v="0"/>
  </r>
  <r>
    <x v="75"/>
    <s v="Truck 7"/>
    <n v="0"/>
    <n v="0"/>
    <n v="0"/>
    <n v="0"/>
    <n v="12.376835865046401"/>
    <n v="0"/>
    <n v="0"/>
    <n v="0"/>
    <n v="0"/>
    <n v="0"/>
  </r>
  <r>
    <x v="75"/>
    <s v="Truck 8"/>
    <n v="0"/>
    <n v="0"/>
    <n v="0"/>
    <n v="0"/>
    <n v="12.376835865046401"/>
    <n v="0"/>
    <n v="0"/>
    <n v="0"/>
    <n v="0"/>
    <n v="0"/>
  </r>
  <r>
    <x v="75"/>
    <s v="Truck 9"/>
    <n v="0"/>
    <n v="0"/>
    <n v="0"/>
    <n v="0"/>
    <n v="12.376835865046401"/>
    <n v="0"/>
    <n v="0"/>
    <n v="0"/>
    <n v="0"/>
    <n v="0"/>
  </r>
  <r>
    <x v="75"/>
    <s v="Truck 10"/>
    <n v="0"/>
    <n v="0"/>
    <n v="0"/>
    <n v="0"/>
    <n v="12.376835865046401"/>
    <n v="0"/>
    <n v="0"/>
    <n v="0"/>
    <n v="0"/>
    <n v="0"/>
  </r>
  <r>
    <x v="75"/>
    <s v="Truck 11"/>
    <n v="0"/>
    <n v="0"/>
    <n v="0"/>
    <n v="0"/>
    <n v="12.376835865046401"/>
    <n v="0"/>
    <n v="0"/>
    <n v="0"/>
    <n v="0"/>
    <n v="0"/>
  </r>
  <r>
    <x v="76"/>
    <s v="Truck 0"/>
    <n v="730"/>
    <n v="730"/>
    <n v="25.658904109588999"/>
    <n v="101.82639719287999"/>
    <n v="12.118137413198699"/>
    <n v="246.62938339717101"/>
    <n v="0"/>
    <n v="0"/>
    <n v="1376.9399980000001"/>
    <n v="1192.029432821"/>
  </r>
  <r>
    <x v="76"/>
    <s v="Truck 1"/>
    <n v="718"/>
    <n v="718"/>
    <n v="25.268802228412198"/>
    <n v="100.196080693996"/>
    <n v="12.118137413198699"/>
    <n v="241.70199185735299"/>
    <n v="0"/>
    <n v="0"/>
    <n v="1362.2630799999899"/>
    <n v="1173.6272464379999"/>
  </r>
  <r>
    <x v="76"/>
    <s v="Truck 2"/>
    <n v="711"/>
    <n v="711"/>
    <n v="24.992967651195499"/>
    <n v="99.747733351959496"/>
    <n v="12.118137413198699"/>
    <n v="241.54090222214501"/>
    <n v="0"/>
    <n v="0"/>
    <n v="1356.7343919999901"/>
    <n v="1171.15041776"/>
  </r>
  <r>
    <x v="76"/>
    <s v="Truck 3"/>
    <n v="476"/>
    <n v="476"/>
    <n v="23.716386554621799"/>
    <n v="67.257361991191502"/>
    <n v="12.118137413198699"/>
    <n v="159.757070106291"/>
    <n v="0"/>
    <n v="0"/>
    <n v="893.60305199999902"/>
    <n v="771.55962119999901"/>
  </r>
  <r>
    <x v="76"/>
    <s v="Truck 4"/>
    <n v="476"/>
    <n v="476"/>
    <n v="23.716386554621799"/>
    <n v="66.655889199147893"/>
    <n v="12.118137413198699"/>
    <n v="161.05078975018901"/>
    <n v="0"/>
    <n v="0"/>
    <n v="858.17208000000005"/>
    <n v="744.11920679499997"/>
  </r>
  <r>
    <x v="76"/>
    <s v="Truck 5"/>
    <n v="476"/>
    <n v="476"/>
    <n v="23.716386554621799"/>
    <n v="66.966115272153104"/>
    <n v="12.118137413198699"/>
    <n v="161.13360398671699"/>
    <n v="0"/>
    <n v="0"/>
    <n v="848.97318199999995"/>
    <n v="732.02845712800001"/>
  </r>
  <r>
    <x v="76"/>
    <s v="Truck 6"/>
    <n v="0"/>
    <n v="0"/>
    <n v="0"/>
    <n v="0"/>
    <n v="12.118137413198699"/>
    <n v="0"/>
    <n v="0"/>
    <n v="0"/>
    <n v="0"/>
    <n v="0"/>
  </r>
  <r>
    <x v="76"/>
    <s v="Truck 7"/>
    <n v="0"/>
    <n v="0"/>
    <n v="0"/>
    <n v="0"/>
    <n v="12.118137413198699"/>
    <n v="0"/>
    <n v="0"/>
    <n v="0"/>
    <n v="0"/>
    <n v="0"/>
  </r>
  <r>
    <x v="76"/>
    <s v="Truck 8"/>
    <n v="0"/>
    <n v="0"/>
    <n v="0"/>
    <n v="0"/>
    <n v="12.118137413198699"/>
    <n v="0"/>
    <n v="0"/>
    <n v="0"/>
    <n v="0"/>
    <n v="0"/>
  </r>
  <r>
    <x v="76"/>
    <s v="Truck 9"/>
    <n v="0"/>
    <n v="0"/>
    <n v="0"/>
    <n v="0"/>
    <n v="12.118137413198699"/>
    <n v="0"/>
    <n v="0"/>
    <n v="0"/>
    <n v="0"/>
    <n v="0"/>
  </r>
  <r>
    <x v="76"/>
    <s v="Truck 10"/>
    <n v="0"/>
    <n v="0"/>
    <n v="0"/>
    <n v="0"/>
    <n v="12.118137413198699"/>
    <n v="0"/>
    <n v="0"/>
    <n v="0"/>
    <n v="0"/>
    <n v="0"/>
  </r>
  <r>
    <x v="76"/>
    <s v="Truck 11"/>
    <n v="0"/>
    <n v="0"/>
    <n v="0"/>
    <n v="0"/>
    <n v="12.118137413198699"/>
    <n v="0"/>
    <n v="0"/>
    <n v="0"/>
    <n v="0"/>
    <n v="0"/>
  </r>
  <r>
    <x v="77"/>
    <s v="Truck 0"/>
    <n v="730"/>
    <n v="730"/>
    <n v="25.658904109588999"/>
    <n v="101.05541134766599"/>
    <n v="12.267244964281099"/>
    <n v="245.24938871238101"/>
    <n v="0"/>
    <n v="0"/>
    <n v="1362.5289029999999"/>
    <n v="1180.506163218"/>
  </r>
  <r>
    <x v="77"/>
    <s v="Truck 1"/>
    <n v="718"/>
    <n v="718"/>
    <n v="25.268802228412198"/>
    <n v="100.522969225922"/>
    <n v="12.267244964281099"/>
    <n v="241.32580645285699"/>
    <n v="0"/>
    <n v="0"/>
    <n v="1361.0148489999899"/>
    <n v="1174.191490228"/>
  </r>
  <r>
    <x v="77"/>
    <s v="Truck 2"/>
    <n v="711"/>
    <n v="711"/>
    <n v="24.992967651195499"/>
    <n v="100.023245737407"/>
    <n v="12.267244964281099"/>
    <n v="242.902855752086"/>
    <n v="0"/>
    <n v="0"/>
    <n v="1356.9762599999899"/>
    <n v="1171.0569828160001"/>
  </r>
  <r>
    <x v="77"/>
    <s v="Truck 3"/>
    <n v="476"/>
    <n v="476"/>
    <n v="23.716386554621799"/>
    <n v="67.388636137212899"/>
    <n v="12.267244964281099"/>
    <n v="161.75020204295399"/>
    <n v="0"/>
    <n v="0"/>
    <n v="891.77978699999903"/>
    <n v="770.44947739299903"/>
  </r>
  <r>
    <x v="77"/>
    <s v="Truck 4"/>
    <n v="476"/>
    <n v="476"/>
    <n v="23.716386554621799"/>
    <n v="66.884479780123101"/>
    <n v="12.267244964281099"/>
    <n v="161.27803466022999"/>
    <n v="0"/>
    <n v="0"/>
    <n v="856.92559800000004"/>
    <n v="743.25230834700005"/>
  </r>
  <r>
    <x v="77"/>
    <s v="Truck 5"/>
    <n v="476"/>
    <n v="476"/>
    <n v="23.716386554621799"/>
    <n v="66.951023642243797"/>
    <n v="12.267244964281099"/>
    <n v="161.95096384331899"/>
    <n v="0"/>
    <n v="0"/>
    <n v="847.18018600000005"/>
    <n v="730.59027601000003"/>
  </r>
  <r>
    <x v="77"/>
    <s v="Truck 6"/>
    <n v="0"/>
    <n v="0"/>
    <n v="0"/>
    <n v="0"/>
    <n v="12.267244964281099"/>
    <n v="0"/>
    <n v="0"/>
    <n v="0"/>
    <n v="0"/>
    <n v="0"/>
  </r>
  <r>
    <x v="77"/>
    <s v="Truck 7"/>
    <n v="0"/>
    <n v="0"/>
    <n v="0"/>
    <n v="0"/>
    <n v="12.267244964281099"/>
    <n v="0"/>
    <n v="0"/>
    <n v="0"/>
    <n v="0"/>
    <n v="0"/>
  </r>
  <r>
    <x v="77"/>
    <s v="Truck 8"/>
    <n v="0"/>
    <n v="0"/>
    <n v="0"/>
    <n v="0"/>
    <n v="12.267244964281099"/>
    <n v="0"/>
    <n v="0"/>
    <n v="0"/>
    <n v="0"/>
    <n v="0"/>
  </r>
  <r>
    <x v="77"/>
    <s v="Truck 9"/>
    <n v="0"/>
    <n v="0"/>
    <n v="0"/>
    <n v="0"/>
    <n v="12.267244964281099"/>
    <n v="0"/>
    <n v="0"/>
    <n v="0"/>
    <n v="0"/>
    <n v="0"/>
  </r>
  <r>
    <x v="77"/>
    <s v="Truck 10"/>
    <n v="0"/>
    <n v="0"/>
    <n v="0"/>
    <n v="0"/>
    <n v="12.267244964281099"/>
    <n v="0"/>
    <n v="0"/>
    <n v="0"/>
    <n v="0"/>
    <n v="0"/>
  </r>
  <r>
    <x v="77"/>
    <s v="Truck 11"/>
    <n v="0"/>
    <n v="0"/>
    <n v="0"/>
    <n v="0"/>
    <n v="12.267244964281099"/>
    <n v="0"/>
    <n v="0"/>
    <n v="0"/>
    <n v="0"/>
    <n v="0"/>
  </r>
  <r>
    <x v="78"/>
    <s v="Truck 0"/>
    <n v="730"/>
    <n v="730"/>
    <n v="25.658904109588999"/>
    <n v="101.066899534569"/>
    <n v="12.1322592201583"/>
    <n v="246.14016155861"/>
    <n v="0"/>
    <n v="0"/>
    <n v="1369.8508650000001"/>
    <n v="1189.9729322210001"/>
  </r>
  <r>
    <x v="78"/>
    <s v="Truck 1"/>
    <n v="718"/>
    <n v="718"/>
    <n v="25.268802228412198"/>
    <n v="100.05322925206799"/>
    <n v="12.1322592201583"/>
    <n v="240.34770477005301"/>
    <n v="0"/>
    <n v="0"/>
    <n v="1360.0108579999901"/>
    <n v="1171.8842210580001"/>
  </r>
  <r>
    <x v="78"/>
    <s v="Truck 2"/>
    <n v="711"/>
    <n v="711"/>
    <n v="24.992967651195499"/>
    <n v="99.652950707214401"/>
    <n v="12.1322592201583"/>
    <n v="240.71223686188301"/>
    <n v="0"/>
    <n v="0"/>
    <n v="1357.51275099999"/>
    <n v="1171.2328859249999"/>
  </r>
  <r>
    <x v="78"/>
    <s v="Truck 3"/>
    <n v="476"/>
    <n v="476"/>
    <n v="23.716386554621799"/>
    <n v="67.488199406561094"/>
    <n v="12.1322592201583"/>
    <n v="160.050319657481"/>
    <n v="0"/>
    <n v="0"/>
    <n v="891.98153199999899"/>
    <n v="769.83253276399898"/>
  </r>
  <r>
    <x v="78"/>
    <s v="Truck 4"/>
    <n v="476"/>
    <n v="476"/>
    <n v="23.716386554621799"/>
    <n v="67.369800284162096"/>
    <n v="12.1322592201583"/>
    <n v="162.83047094972"/>
    <n v="0"/>
    <n v="0"/>
    <n v="876.41951600000004"/>
    <n v="758.51658738100002"/>
  </r>
  <r>
    <x v="78"/>
    <s v="Truck 5"/>
    <n v="476"/>
    <n v="476"/>
    <n v="23.716386554621799"/>
    <n v="67.098730197779403"/>
    <n v="12.1322592201583"/>
    <n v="163.14502821808699"/>
    <n v="0"/>
    <n v="0"/>
    <n v="848.95512699999995"/>
    <n v="732.35079726699996"/>
  </r>
  <r>
    <x v="78"/>
    <s v="Truck 6"/>
    <n v="0"/>
    <n v="0"/>
    <n v="0"/>
    <n v="0"/>
    <n v="12.1322592201583"/>
    <n v="0"/>
    <n v="0"/>
    <n v="0"/>
    <n v="0"/>
    <n v="0"/>
  </r>
  <r>
    <x v="78"/>
    <s v="Truck 7"/>
    <n v="0"/>
    <n v="0"/>
    <n v="0"/>
    <n v="0"/>
    <n v="12.1322592201583"/>
    <n v="0"/>
    <n v="0"/>
    <n v="0"/>
    <n v="0"/>
    <n v="0"/>
  </r>
  <r>
    <x v="78"/>
    <s v="Truck 8"/>
    <n v="0"/>
    <n v="0"/>
    <n v="0"/>
    <n v="0"/>
    <n v="12.1322592201583"/>
    <n v="0"/>
    <n v="0"/>
    <n v="0"/>
    <n v="0"/>
    <n v="0"/>
  </r>
  <r>
    <x v="78"/>
    <s v="Truck 9"/>
    <n v="0"/>
    <n v="0"/>
    <n v="0"/>
    <n v="0"/>
    <n v="12.1322592201583"/>
    <n v="0"/>
    <n v="0"/>
    <n v="0"/>
    <n v="0"/>
    <n v="0"/>
  </r>
  <r>
    <x v="78"/>
    <s v="Truck 10"/>
    <n v="0"/>
    <n v="0"/>
    <n v="0"/>
    <n v="0"/>
    <n v="12.1322592201583"/>
    <n v="0"/>
    <n v="0"/>
    <n v="0"/>
    <n v="0"/>
    <n v="0"/>
  </r>
  <r>
    <x v="78"/>
    <s v="Truck 11"/>
    <n v="0"/>
    <n v="0"/>
    <n v="0"/>
    <n v="0"/>
    <n v="12.1322592201583"/>
    <n v="0"/>
    <n v="0"/>
    <n v="0"/>
    <n v="0"/>
    <n v="0"/>
  </r>
  <r>
    <x v="79"/>
    <s v="Truck 0"/>
    <n v="730"/>
    <n v="730"/>
    <n v="25.658904109588999"/>
    <n v="101.527473793129"/>
    <n v="12.515434651827899"/>
    <n v="246.620438589728"/>
    <n v="0"/>
    <n v="0"/>
    <n v="1359.7885369999999"/>
    <n v="1177.1152689779999"/>
  </r>
  <r>
    <x v="79"/>
    <s v="Truck 1"/>
    <n v="718"/>
    <n v="718"/>
    <n v="25.268802228412198"/>
    <n v="99.7184557409158"/>
    <n v="12.515434651827899"/>
    <n v="239.15661544183001"/>
    <n v="0"/>
    <n v="0"/>
    <n v="1346.6121349999901"/>
    <n v="1161.914948137"/>
  </r>
  <r>
    <x v="79"/>
    <s v="Truck 2"/>
    <n v="711"/>
    <n v="711"/>
    <n v="24.992967651195499"/>
    <n v="99.0892135698234"/>
    <n v="12.515434651827899"/>
    <n v="242.630715526534"/>
    <n v="0"/>
    <n v="0"/>
    <n v="1341.6264019999901"/>
    <n v="1160.8165574090001"/>
  </r>
  <r>
    <x v="79"/>
    <s v="Truck 3"/>
    <n v="476"/>
    <n v="476"/>
    <n v="23.716386554621799"/>
    <n v="67.288500480506997"/>
    <n v="12.515434651827899"/>
    <n v="160.669820689684"/>
    <n v="0"/>
    <n v="0"/>
    <n v="884.336671999999"/>
    <n v="762.525915335999"/>
  </r>
  <r>
    <x v="79"/>
    <s v="Truck 4"/>
    <n v="476"/>
    <n v="476"/>
    <n v="23.716386554621799"/>
    <n v="66.519969537089807"/>
    <n v="12.515434651827899"/>
    <n v="162.09042798728399"/>
    <n v="0"/>
    <n v="0"/>
    <n v="856.92559800000004"/>
    <n v="742.51800043000003"/>
  </r>
  <r>
    <x v="79"/>
    <s v="Truck 5"/>
    <n v="476"/>
    <n v="476"/>
    <n v="23.716386554621799"/>
    <n v="66.987404238287496"/>
    <n v="12.515434651827899"/>
    <n v="162.82914299224501"/>
    <n v="0"/>
    <n v="0"/>
    <n v="849.73630000000003"/>
    <n v="732.37537761399994"/>
  </r>
  <r>
    <x v="79"/>
    <s v="Truck 6"/>
    <n v="0"/>
    <n v="0"/>
    <n v="0"/>
    <n v="0"/>
    <n v="12.515434651827899"/>
    <n v="0"/>
    <n v="0"/>
    <n v="0"/>
    <n v="0"/>
    <n v="0"/>
  </r>
  <r>
    <x v="79"/>
    <s v="Truck 7"/>
    <n v="0"/>
    <n v="0"/>
    <n v="0"/>
    <n v="0"/>
    <n v="12.515434651827899"/>
    <n v="0"/>
    <n v="0"/>
    <n v="0"/>
    <n v="0"/>
    <n v="0"/>
  </r>
  <r>
    <x v="79"/>
    <s v="Truck 8"/>
    <n v="0"/>
    <n v="0"/>
    <n v="0"/>
    <n v="0"/>
    <n v="12.515434651827899"/>
    <n v="0"/>
    <n v="0"/>
    <n v="0"/>
    <n v="0"/>
    <n v="0"/>
  </r>
  <r>
    <x v="79"/>
    <s v="Truck 9"/>
    <n v="0"/>
    <n v="0"/>
    <n v="0"/>
    <n v="0"/>
    <n v="12.515434651827899"/>
    <n v="0"/>
    <n v="0"/>
    <n v="0"/>
    <n v="0"/>
    <n v="0"/>
  </r>
  <r>
    <x v="79"/>
    <s v="Truck 10"/>
    <n v="0"/>
    <n v="0"/>
    <n v="0"/>
    <n v="0"/>
    <n v="12.515434651827899"/>
    <n v="0"/>
    <n v="0"/>
    <n v="0"/>
    <n v="0"/>
    <n v="0"/>
  </r>
  <r>
    <x v="79"/>
    <s v="Truck 11"/>
    <n v="0"/>
    <n v="0"/>
    <n v="0"/>
    <n v="0"/>
    <n v="12.515434651827899"/>
    <n v="0"/>
    <n v="0"/>
    <n v="0"/>
    <n v="0"/>
    <n v="0"/>
  </r>
  <r>
    <x v="80"/>
    <s v="Truck 0"/>
    <n v="730"/>
    <n v="730"/>
    <n v="25.658904109588999"/>
    <n v="100.914945290715"/>
    <n v="12.3285226314814"/>
    <n v="246.119892635925"/>
    <n v="0"/>
    <n v="0"/>
    <n v="1362.5289029999999"/>
    <n v="1181.039642984"/>
  </r>
  <r>
    <x v="80"/>
    <s v="Truck 1"/>
    <n v="718"/>
    <n v="718"/>
    <n v="25.268802228412198"/>
    <n v="99.8621175896983"/>
    <n v="12.3285226314814"/>
    <n v="238.83222590398501"/>
    <n v="0"/>
    <n v="0"/>
    <n v="1346.6210839999901"/>
    <n v="1163.754346729"/>
  </r>
  <r>
    <x v="80"/>
    <s v="Truck 2"/>
    <n v="711"/>
    <n v="711"/>
    <n v="24.992967651195499"/>
    <n v="99.774543049424594"/>
    <n v="12.3285226314814"/>
    <n v="240.31897900537399"/>
    <n v="0"/>
    <n v="0"/>
    <n v="1357.8874859999901"/>
    <n v="1171.7160883070001"/>
  </r>
  <r>
    <x v="80"/>
    <s v="Truck 3"/>
    <n v="476"/>
    <n v="476"/>
    <n v="23.716386554621799"/>
    <n v="67.083893018422103"/>
    <n v="12.3285226314814"/>
    <n v="160.21248041328499"/>
    <n v="0"/>
    <n v="0"/>
    <n v="884.336671999999"/>
    <n v="762.51217304199895"/>
  </r>
  <r>
    <x v="80"/>
    <s v="Truck 4"/>
    <n v="476"/>
    <n v="476"/>
    <n v="23.716386554621799"/>
    <n v="67.4601673305378"/>
    <n v="12.3285226314814"/>
    <n v="162.224580083402"/>
    <n v="0"/>
    <n v="0"/>
    <n v="876.41951600000004"/>
    <n v="758.39970459600102"/>
  </r>
  <r>
    <x v="80"/>
    <s v="Truck 5"/>
    <n v="476"/>
    <n v="476"/>
    <n v="23.716386554621799"/>
    <n v="66.532401588672499"/>
    <n v="12.3285226314814"/>
    <n v="160.487059843205"/>
    <n v="0"/>
    <n v="0"/>
    <n v="833.42443300000002"/>
    <n v="720.008615319"/>
  </r>
  <r>
    <x v="80"/>
    <s v="Truck 6"/>
    <n v="0"/>
    <n v="0"/>
    <n v="0"/>
    <n v="0"/>
    <n v="12.3285226314814"/>
    <n v="0"/>
    <n v="0"/>
    <n v="0"/>
    <n v="0"/>
    <n v="0"/>
  </r>
  <r>
    <x v="80"/>
    <s v="Truck 7"/>
    <n v="0"/>
    <n v="0"/>
    <n v="0"/>
    <n v="0"/>
    <n v="12.3285226314814"/>
    <n v="0"/>
    <n v="0"/>
    <n v="0"/>
    <n v="0"/>
    <n v="0"/>
  </r>
  <r>
    <x v="80"/>
    <s v="Truck 8"/>
    <n v="0"/>
    <n v="0"/>
    <n v="0"/>
    <n v="0"/>
    <n v="12.3285226314814"/>
    <n v="0"/>
    <n v="0"/>
    <n v="0"/>
    <n v="0"/>
    <n v="0"/>
  </r>
  <r>
    <x v="80"/>
    <s v="Truck 9"/>
    <n v="0"/>
    <n v="0"/>
    <n v="0"/>
    <n v="0"/>
    <n v="12.3285226314814"/>
    <n v="0"/>
    <n v="0"/>
    <n v="0"/>
    <n v="0"/>
    <n v="0"/>
  </r>
  <r>
    <x v="80"/>
    <s v="Truck 10"/>
    <n v="0"/>
    <n v="0"/>
    <n v="0"/>
    <n v="0"/>
    <n v="12.3285226314814"/>
    <n v="0"/>
    <n v="0"/>
    <n v="0"/>
    <n v="0"/>
    <n v="0"/>
  </r>
  <r>
    <x v="80"/>
    <s v="Truck 11"/>
    <n v="0"/>
    <n v="0"/>
    <n v="0"/>
    <n v="0"/>
    <n v="12.3285226314814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8">
  <r>
    <x v="0"/>
    <s v="Truck 0"/>
    <n v="77"/>
    <n v="74"/>
    <n v="6.8051948051947999"/>
    <n v="18.108034262397901"/>
    <n v="12.714360023524"/>
    <n v="81.733718257478699"/>
    <n v="0"/>
    <n v="0"/>
    <n v="210.198904"/>
    <n v="188.44268153599899"/>
  </r>
  <r>
    <x v="0"/>
    <s v="Truck 1"/>
    <n v="95"/>
    <n v="92"/>
    <n v="7.8842105263157896"/>
    <n v="19.715727464242299"/>
    <n v="12.714360023524"/>
    <n v="99.627617741331093"/>
    <n v="0"/>
    <n v="0"/>
    <n v="235.03485699999999"/>
    <n v="218.61658092099901"/>
  </r>
  <r>
    <x v="0"/>
    <s v="Truck 2"/>
    <n v="80"/>
    <n v="80"/>
    <n v="7.0374999999999996"/>
    <n v="19.292369796389401"/>
    <n v="12.714360023524"/>
    <n v="84.751372052594704"/>
    <n v="0"/>
    <n v="0"/>
    <n v="249.71220399999899"/>
    <n v="228.606512014"/>
  </r>
  <r>
    <x v="0"/>
    <s v="Truck 3"/>
    <n v="85"/>
    <n v="82"/>
    <n v="7.6941176470588202"/>
    <n v="19.471368200108"/>
    <n v="12.714360023524"/>
    <n v="89.889372607267802"/>
    <n v="0"/>
    <n v="0"/>
    <n v="244.02246499999899"/>
    <n v="225.494535648999"/>
  </r>
  <r>
    <x v="1"/>
    <s v="Truck 0"/>
    <n v="95"/>
    <n v="92"/>
    <n v="7.8842105263157896"/>
    <n v="20.065817910298001"/>
    <n v="12.903515262826"/>
    <n v="99.290254468813799"/>
    <n v="0"/>
    <n v="0"/>
    <n v="231.70468499999899"/>
    <n v="214.94152738499901"/>
  </r>
  <r>
    <x v="1"/>
    <s v="Truck 1"/>
    <n v="85"/>
    <n v="85"/>
    <n v="7.2705882352941096"/>
    <n v="19.046004023534898"/>
    <n v="12.903515262826"/>
    <n v="90.050967877334301"/>
    <n v="0"/>
    <n v="0"/>
    <n v="225.039773999999"/>
    <n v="206.255043236999"/>
  </r>
  <r>
    <x v="1"/>
    <s v="Truck 2"/>
    <n v="95"/>
    <n v="92"/>
    <n v="7.8842105263157896"/>
    <n v="20.530617190857601"/>
    <n v="12.903515262826"/>
    <n v="100.77036910519401"/>
    <n v="0"/>
    <n v="0"/>
    <n v="276.60237999999998"/>
    <n v="260.55082460499898"/>
  </r>
  <r>
    <x v="1"/>
    <s v="Truck 3"/>
    <n v="80"/>
    <n v="76"/>
    <n v="7.4749999999999996"/>
    <n v="20.7698403162665"/>
    <n v="12.903515262826"/>
    <n v="84.090351170614397"/>
    <n v="0"/>
    <n v="0"/>
    <n v="260.09354599999898"/>
    <n v="234.720840105999"/>
  </r>
  <r>
    <x v="2"/>
    <s v="Truck 0"/>
    <n v="78"/>
    <n v="77"/>
    <n v="6.8717948717948696"/>
    <n v="19.028551098703499"/>
    <n v="13.415220690554399"/>
    <n v="91.857587195001798"/>
    <n v="0"/>
    <n v="0"/>
    <n v="249.69312499999899"/>
    <n v="230.51629061"/>
  </r>
  <r>
    <x v="2"/>
    <s v="Truck 1"/>
    <n v="75"/>
    <n v="74"/>
    <n v="6.6533333333333298"/>
    <n v="18.8414749511814"/>
    <n v="13.415220690554399"/>
    <n v="89.729430745073699"/>
    <n v="0"/>
    <n v="0"/>
    <n v="247.39763600000001"/>
    <n v="229.135221577999"/>
  </r>
  <r>
    <x v="2"/>
    <s v="Truck 2"/>
    <n v="82"/>
    <n v="82"/>
    <n v="7.08536585365853"/>
    <n v="19.068446611531801"/>
    <n v="13.415220690554399"/>
    <n v="95.757424583808103"/>
    <n v="0"/>
    <n v="0"/>
    <n v="243.54351"/>
    <n v="228.80310917999901"/>
  </r>
  <r>
    <x v="2"/>
    <s v="Truck 3"/>
    <n v="75"/>
    <n v="75"/>
    <n v="6.84"/>
    <n v="20.745524991769202"/>
    <n v="13.415220690554399"/>
    <n v="93.199049437528302"/>
    <n v="0"/>
    <n v="0"/>
    <n v="280.380799999999"/>
    <n v="257.56386565699898"/>
  </r>
  <r>
    <x v="2"/>
    <s v="Truck 4"/>
    <n v="72"/>
    <n v="72"/>
    <n v="6.2638888888888804"/>
    <n v="18.587627527953099"/>
    <n v="13.415220690554399"/>
    <n v="90.565464564981994"/>
    <n v="0"/>
    <n v="0"/>
    <n v="255.102611"/>
    <n v="236.41952477000001"/>
  </r>
  <r>
    <x v="2"/>
    <s v="Truck 5"/>
    <n v="81"/>
    <n v="81"/>
    <n v="7.5061728395061698"/>
    <n v="19.7656530357864"/>
    <n v="13.415220690554399"/>
    <n v="98.587402926528995"/>
    <n v="0"/>
    <n v="0"/>
    <n v="273.71251000000001"/>
    <n v="257.27716245999898"/>
  </r>
  <r>
    <x v="2"/>
    <s v="Truck 6"/>
    <n v="83"/>
    <n v="83"/>
    <n v="7.3614457831325302"/>
    <n v="19.499707578227401"/>
    <n v="13.415220690554399"/>
    <n v="102.68336573339"/>
    <n v="0"/>
    <n v="0"/>
    <n v="260.862246999999"/>
    <n v="245.44477851099899"/>
  </r>
  <r>
    <x v="2"/>
    <s v="Truck 7"/>
    <n v="83"/>
    <n v="82"/>
    <n v="7.3614457831325302"/>
    <n v="19.633884848908401"/>
    <n v="13.415220690554399"/>
    <n v="102.287854175289"/>
    <n v="0"/>
    <n v="0"/>
    <n v="268.13536199999999"/>
    <n v="251.91729335099899"/>
  </r>
  <r>
    <x v="3"/>
    <s v="Truck 0"/>
    <n v="83"/>
    <n v="83"/>
    <n v="7.24096385542168"/>
    <n v="19.7261790379366"/>
    <n v="13.155696207141199"/>
    <n v="97.2923087447531"/>
    <n v="0"/>
    <n v="0"/>
    <n v="255.90982299999999"/>
    <n v="237.098467803999"/>
  </r>
  <r>
    <x v="3"/>
    <s v="Truck 1"/>
    <n v="87"/>
    <n v="86"/>
    <n v="7.7126436781609096"/>
    <n v="20.224813990891199"/>
    <n v="13.155696207141199"/>
    <n v="100.01341531323"/>
    <n v="0"/>
    <n v="0"/>
    <n v="268.381325"/>
    <n v="253.148880829999"/>
  </r>
  <r>
    <x v="3"/>
    <s v="Truck 2"/>
    <n v="69"/>
    <n v="69"/>
    <n v="6.1739130434782599"/>
    <n v="18.210066256010901"/>
    <n v="13.155696207141199"/>
    <n v="82.627038257589803"/>
    <n v="0"/>
    <n v="0"/>
    <n v="241.407229"/>
    <n v="222.63390378699901"/>
  </r>
  <r>
    <x v="3"/>
    <s v="Truck 3"/>
    <n v="75"/>
    <n v="75"/>
    <n v="6.84"/>
    <n v="20.362291646764799"/>
    <n v="13.155696207141199"/>
    <n v="93.202601363429295"/>
    <n v="0"/>
    <n v="0"/>
    <n v="268.71978200000001"/>
    <n v="247.25295440299899"/>
  </r>
  <r>
    <x v="3"/>
    <s v="Truck 4"/>
    <n v="72"/>
    <n v="72"/>
    <n v="7.0416666666666599"/>
    <n v="18.7225154062141"/>
    <n v="13.155696207141199"/>
    <n v="89.448618514988397"/>
    <n v="0"/>
    <n v="0"/>
    <n v="258.67304899999999"/>
    <n v="240.56887880899899"/>
  </r>
  <r>
    <x v="3"/>
    <s v="Truck 5"/>
    <n v="82"/>
    <n v="82"/>
    <n v="7.5121951219512102"/>
    <n v="19.805140504090701"/>
    <n v="13.155696207141199"/>
    <n v="100.13689994622899"/>
    <n v="0"/>
    <n v="0"/>
    <n v="268.526106999999"/>
    <n v="252.21325237599899"/>
  </r>
  <r>
    <x v="3"/>
    <s v="Truck 6"/>
    <n v="75"/>
    <n v="75"/>
    <n v="7.4666666666666597"/>
    <n v="18.7671236288171"/>
    <n v="13.155696207141199"/>
    <n v="88.129289841204695"/>
    <n v="0"/>
    <n v="0"/>
    <n v="255.17317199999999"/>
    <n v="237.96662136499901"/>
  </r>
  <r>
    <x v="3"/>
    <s v="Truck 7"/>
    <n v="82"/>
    <n v="82"/>
    <n v="7.3414634146341404"/>
    <n v="19.238722552845601"/>
    <n v="13.155696207141199"/>
    <n v="99.024511825625098"/>
    <n v="0"/>
    <n v="0"/>
    <n v="252.74743699999999"/>
    <n v="237.360632710999"/>
  </r>
  <r>
    <x v="4"/>
    <s v="Truck 0"/>
    <n v="78"/>
    <n v="77"/>
    <n v="6.8717948717948696"/>
    <n v="19.121573745180299"/>
    <n v="13.309647375269099"/>
    <n v="91.288714231221704"/>
    <n v="0"/>
    <n v="0"/>
    <n v="250.763519999999"/>
    <n v="231.53126875499899"/>
  </r>
  <r>
    <x v="4"/>
    <s v="Truck 1"/>
    <n v="74"/>
    <n v="74"/>
    <n v="6.7027027027027"/>
    <n v="18.6310777892981"/>
    <n v="13.309647375269099"/>
    <n v="85.977454955227302"/>
    <n v="0"/>
    <n v="0"/>
    <n v="244.272131"/>
    <n v="226.336402297999"/>
  </r>
  <r>
    <x v="4"/>
    <s v="Truck 2"/>
    <n v="80"/>
    <n v="80"/>
    <n v="6.9375"/>
    <n v="19.086389079520799"/>
    <n v="13.309647375269099"/>
    <n v="93.556804154401206"/>
    <n v="0"/>
    <n v="0"/>
    <n v="244.96026599999999"/>
    <n v="226.525062048"/>
  </r>
  <r>
    <x v="4"/>
    <s v="Truck 3"/>
    <n v="76"/>
    <n v="75"/>
    <n v="6.8684210526315699"/>
    <n v="20.795453909486699"/>
    <n v="13.309647375269099"/>
    <n v="94.038152394677994"/>
    <n v="0"/>
    <n v="0"/>
    <n v="280.380799999999"/>
    <n v="257.56386565699898"/>
  </r>
  <r>
    <x v="4"/>
    <s v="Truck 4"/>
    <n v="73"/>
    <n v="73"/>
    <n v="6.3013698630136901"/>
    <n v="18.550507418961502"/>
    <n v="13.309647375269099"/>
    <n v="91.320452021425893"/>
    <n v="0"/>
    <n v="0"/>
    <n v="257.50568600000003"/>
    <n v="238.567218725"/>
  </r>
  <r>
    <x v="4"/>
    <s v="Truck 5"/>
    <n v="81"/>
    <n v="81"/>
    <n v="7.5061728395061698"/>
    <n v="19.6008432722051"/>
    <n v="13.309647375269099"/>
    <n v="98.108131618037106"/>
    <n v="0"/>
    <n v="0"/>
    <n v="274.980198999999"/>
    <n v="258.398833881999"/>
  </r>
  <r>
    <x v="4"/>
    <s v="Truck 6"/>
    <n v="83"/>
    <n v="83"/>
    <n v="7.3614457831325302"/>
    <n v="19.629135863252099"/>
    <n v="13.309647375269099"/>
    <n v="101.429071904409"/>
    <n v="0"/>
    <n v="0"/>
    <n v="264.39582999999999"/>
    <n v="248.91366185499899"/>
  </r>
  <r>
    <x v="4"/>
    <s v="Truck 7"/>
    <n v="84"/>
    <n v="83"/>
    <n v="7.5"/>
    <n v="19.726887650417101"/>
    <n v="13.309647375269099"/>
    <n v="102.93111911093899"/>
    <n v="0"/>
    <n v="0"/>
    <n v="267.94003500000002"/>
    <n v="252.14917010999901"/>
  </r>
  <r>
    <x v="5"/>
    <s v="Truck 0"/>
    <n v="76"/>
    <n v="76"/>
    <n v="6.8157894736842097"/>
    <n v="18.650796571965401"/>
    <n v="13.0603422196889"/>
    <n v="89.074041705827298"/>
    <n v="0"/>
    <n v="0"/>
    <n v="240.93981699999901"/>
    <n v="222.43820137799901"/>
  </r>
  <r>
    <x v="5"/>
    <s v="Truck 1"/>
    <n v="74"/>
    <n v="74"/>
    <n v="6.7972972972972903"/>
    <n v="18.454290796847999"/>
    <n v="13.0603422196889"/>
    <n v="87.087198480597607"/>
    <n v="0"/>
    <n v="0"/>
    <n v="236.28668099999999"/>
    <n v="218.85017713299899"/>
  </r>
  <r>
    <x v="5"/>
    <s v="Truck 2"/>
    <n v="79"/>
    <n v="79"/>
    <n v="6.9367088607594898"/>
    <n v="19.149097430776798"/>
    <n v="13.0603422196889"/>
    <n v="91.382126107005703"/>
    <n v="0"/>
    <n v="0"/>
    <n v="247.20487199999999"/>
    <n v="231.17521734599899"/>
  </r>
  <r>
    <x v="5"/>
    <s v="Truck 3"/>
    <n v="75"/>
    <n v="75"/>
    <n v="6.84"/>
    <n v="20.432970728232299"/>
    <n v="13.0603422196889"/>
    <n v="93.397251551724295"/>
    <n v="0"/>
    <n v="0"/>
    <n v="266.53127699999999"/>
    <n v="245.30775664799901"/>
  </r>
  <r>
    <x v="5"/>
    <s v="Truck 4"/>
    <n v="74"/>
    <n v="74"/>
    <n v="6.4189189189189104"/>
    <n v="18.7766423149323"/>
    <n v="13.0603422196889"/>
    <n v="92.402990290797305"/>
    <n v="0"/>
    <n v="0"/>
    <n v="268.23155800000001"/>
    <n v="250.250312100999"/>
  </r>
  <r>
    <x v="5"/>
    <s v="Truck 5"/>
    <n v="83"/>
    <n v="83"/>
    <n v="7.5301204819277103"/>
    <n v="19.774682444949502"/>
    <n v="13.0603422196889"/>
    <n v="100.93419364252399"/>
    <n v="0"/>
    <n v="0"/>
    <n v="270.23400899999899"/>
    <n v="254.326430216999"/>
  </r>
  <r>
    <x v="5"/>
    <s v="Truck 6"/>
    <n v="76"/>
    <n v="76"/>
    <n v="7.4868421052631504"/>
    <n v="18.824255217345101"/>
    <n v="13.0603422196889"/>
    <n v="89.325770439740594"/>
    <n v="0"/>
    <n v="0"/>
    <n v="250.91395700000001"/>
    <n v="233.66976297999901"/>
  </r>
  <r>
    <x v="5"/>
    <s v="Truck 7"/>
    <n v="83"/>
    <n v="83"/>
    <n v="7.3614457831325302"/>
    <n v="19.70484452725"/>
    <n v="13.0603422196889"/>
    <n v="100.835934304052"/>
    <n v="0"/>
    <n v="0"/>
    <n v="256.95015599999999"/>
    <n v="240.940943597999"/>
  </r>
  <r>
    <x v="6"/>
    <s v="Truck 0"/>
    <n v="77"/>
    <n v="77"/>
    <n v="6.8441558441558401"/>
    <n v="18.749396703468399"/>
    <n v="13.3572431524381"/>
    <n v="90.362751588073394"/>
    <n v="0"/>
    <n v="0"/>
    <n v="244.66524899999999"/>
    <n v="226.16789506199899"/>
  </r>
  <r>
    <x v="6"/>
    <s v="Truck 1"/>
    <n v="74"/>
    <n v="74"/>
    <n v="6.6216216216216202"/>
    <n v="18.438329715984601"/>
    <n v="13.3572431524381"/>
    <n v="87.679307925262506"/>
    <n v="0"/>
    <n v="0"/>
    <n v="244.82772499999999"/>
    <n v="226.86141726499901"/>
  </r>
  <r>
    <x v="6"/>
    <s v="Truck 2"/>
    <n v="82"/>
    <n v="82"/>
    <n v="7.08536585365853"/>
    <n v="19.254360581324899"/>
    <n v="13.3572431524381"/>
    <n v="95.749063319161095"/>
    <n v="0"/>
    <n v="0"/>
    <n v="245.012754"/>
    <n v="228.582543506999"/>
  </r>
  <r>
    <x v="6"/>
    <s v="Truck 3"/>
    <n v="76"/>
    <n v="76"/>
    <n v="6.8684210526315699"/>
    <n v="20.353080807312001"/>
    <n v="13.3572431524381"/>
    <n v="93.698199219650604"/>
    <n v="0"/>
    <n v="0"/>
    <n v="279.75094299999898"/>
    <n v="257.43313872099901"/>
  </r>
  <r>
    <x v="6"/>
    <s v="Truck 4"/>
    <n v="73"/>
    <n v="73"/>
    <n v="6.3013698630136901"/>
    <n v="18.7734391900321"/>
    <n v="13.3572431524381"/>
    <n v="91.408502274711395"/>
    <n v="0"/>
    <n v="0"/>
    <n v="260.719628"/>
    <n v="241.51564498099901"/>
  </r>
  <r>
    <x v="6"/>
    <s v="Truck 5"/>
    <n v="83"/>
    <n v="83"/>
    <n v="7.5301204819277103"/>
    <n v="19.8309581922062"/>
    <n v="13.3572431524381"/>
    <n v="101.939531375491"/>
    <n v="0"/>
    <n v="0"/>
    <n v="277.94475999999997"/>
    <n v="262.60861527999901"/>
  </r>
  <r>
    <x v="6"/>
    <s v="Truck 6"/>
    <n v="82"/>
    <n v="82"/>
    <n v="7.3414634146341404"/>
    <n v="19.786875382432498"/>
    <n v="13.3572431524381"/>
    <n v="100.368002533206"/>
    <n v="0"/>
    <n v="0"/>
    <n v="264.08969999999999"/>
    <n v="248.56590118499901"/>
  </r>
  <r>
    <x v="6"/>
    <s v="Truck 7"/>
    <n v="82"/>
    <n v="81"/>
    <n v="7.3414634146341404"/>
    <n v="19.5607985387852"/>
    <n v="13.3572431524381"/>
    <n v="100.157501453414"/>
    <n v="0"/>
    <n v="0"/>
    <n v="267.35778399999998"/>
    <n v="251.813882226999"/>
  </r>
  <r>
    <x v="7"/>
    <s v="Truck 0"/>
    <n v="78"/>
    <n v="78"/>
    <n v="6.94871794871794"/>
    <n v="19.1421606611672"/>
    <n v="13.0757110862387"/>
    <n v="91.402604520571003"/>
    <n v="0"/>
    <n v="0"/>
    <n v="244.91377"/>
    <n v="226.56404237499899"/>
  </r>
  <r>
    <x v="7"/>
    <s v="Truck 1"/>
    <n v="75"/>
    <n v="74"/>
    <n v="6.6533333333333298"/>
    <n v="18.6750846254576"/>
    <n v="13.0757110862387"/>
    <n v="88.076942451156896"/>
    <n v="0"/>
    <n v="0"/>
    <n v="248.84182999999999"/>
    <n v="230.72457355999899"/>
  </r>
  <r>
    <x v="7"/>
    <s v="Truck 2"/>
    <n v="81"/>
    <n v="81"/>
    <n v="7.1851851851851798"/>
    <n v="19.074012032594801"/>
    <n v="13.0757110862387"/>
    <n v="93.733860002144795"/>
    <n v="0"/>
    <n v="0"/>
    <n v="242.74991600000001"/>
    <n v="226.623037957999"/>
  </r>
  <r>
    <x v="7"/>
    <s v="Truck 3"/>
    <n v="75"/>
    <n v="75"/>
    <n v="6.84"/>
    <n v="20.4922963550387"/>
    <n v="13.0757110862387"/>
    <n v="93.338343593857303"/>
    <n v="0"/>
    <n v="0"/>
    <n v="277.61585199999899"/>
    <n v="254.80596020799899"/>
  </r>
  <r>
    <x v="7"/>
    <s v="Truck 4"/>
    <n v="72"/>
    <n v="72"/>
    <n v="6.3333333333333304"/>
    <n v="18.820580496342401"/>
    <n v="13.0757110862387"/>
    <n v="90.350922730333394"/>
    <n v="0"/>
    <n v="0"/>
    <n v="261.70866799999999"/>
    <n v="241.879569917"/>
  </r>
  <r>
    <x v="7"/>
    <s v="Truck 5"/>
    <n v="82"/>
    <n v="82"/>
    <n v="7.3414634146341404"/>
    <n v="19.733264665941402"/>
    <n v="13.0757110862387"/>
    <n v="100.20845137203"/>
    <n v="0"/>
    <n v="0"/>
    <n v="273.711198999999"/>
    <n v="258.549467211999"/>
  </r>
  <r>
    <x v="7"/>
    <s v="Truck 6"/>
    <n v="75"/>
    <n v="75"/>
    <n v="7.4666666666666597"/>
    <n v="18.580072115293"/>
    <n v="13.0757110862387"/>
    <n v="88.161198188018105"/>
    <n v="0"/>
    <n v="0"/>
    <n v="252.95593699999901"/>
    <n v="234.698609919999"/>
  </r>
  <r>
    <x v="7"/>
    <s v="Truck 7"/>
    <n v="82"/>
    <n v="82"/>
    <n v="7.3414634146341404"/>
    <n v="19.4350546915711"/>
    <n v="13.0757110862387"/>
    <n v="100.043209057498"/>
    <n v="0"/>
    <n v="0"/>
    <n v="257.35763700000001"/>
    <n v="241.68253256099899"/>
  </r>
  <r>
    <x v="8"/>
    <s v="Truck 0"/>
    <n v="95"/>
    <n v="92"/>
    <n v="7.8842105263157896"/>
    <n v="19.990165263309201"/>
    <n v="12.895132362590999"/>
    <n v="100.112644464"/>
    <n v="0"/>
    <n v="0"/>
    <n v="231.073285"/>
    <n v="214.38273429999899"/>
  </r>
  <r>
    <x v="8"/>
    <s v="Truck 1"/>
    <n v="85"/>
    <n v="85"/>
    <n v="7.2705882352941096"/>
    <n v="19.0867892181816"/>
    <n v="12.895132362590999"/>
    <n v="89.784289245148599"/>
    <n v="0"/>
    <n v="0"/>
    <n v="226.48673199999899"/>
    <n v="207.63567883599899"/>
  </r>
  <r>
    <x v="8"/>
    <s v="Truck 2"/>
    <n v="95"/>
    <n v="92"/>
    <n v="7.8842105263157896"/>
    <n v="20.9123419095583"/>
    <n v="12.895132362590999"/>
    <n v="100.622306843643"/>
    <n v="0"/>
    <n v="0"/>
    <n v="277.686645"/>
    <n v="261.49365319499901"/>
  </r>
  <r>
    <x v="8"/>
    <s v="Truck 3"/>
    <n v="80"/>
    <n v="76"/>
    <n v="7.6624999999999996"/>
    <n v="20.240385287091598"/>
    <n v="12.895132362590999"/>
    <n v="83.439597962346397"/>
    <n v="0"/>
    <n v="0"/>
    <n v="259.89672100000001"/>
    <n v="234.686501913999"/>
  </r>
  <r>
    <x v="9"/>
    <s v="Truck 0"/>
    <n v="77"/>
    <n v="74"/>
    <n v="6.8051948051947999"/>
    <n v="18.2030589026934"/>
    <n v="12.7031786294987"/>
    <n v="81.280041201947398"/>
    <n v="0"/>
    <n v="0"/>
    <n v="210.198904"/>
    <n v="188.44268153599899"/>
  </r>
  <r>
    <x v="9"/>
    <s v="Truck 1"/>
    <n v="95"/>
    <n v="92"/>
    <n v="7.8842105263157896"/>
    <n v="19.870260603355799"/>
    <n v="12.7031786294987"/>
    <n v="100.24321857405199"/>
    <n v="0"/>
    <n v="0"/>
    <n v="235.03485699999999"/>
    <n v="218.61658092099901"/>
  </r>
  <r>
    <x v="9"/>
    <s v="Truck 2"/>
    <n v="80"/>
    <n v="80"/>
    <n v="7.0374999999999996"/>
    <n v="19.1405779977873"/>
    <n v="12.7031786294987"/>
    <n v="84.398139594520103"/>
    <n v="0"/>
    <n v="0"/>
    <n v="249.71220399999899"/>
    <n v="228.606512014"/>
  </r>
  <r>
    <x v="9"/>
    <s v="Truck 3"/>
    <n v="85"/>
    <n v="82"/>
    <n v="7.6941176470588202"/>
    <n v="19.6914646412609"/>
    <n v="12.7031786294987"/>
    <n v="89.767602255445595"/>
    <n v="0"/>
    <n v="0"/>
    <n v="244.02246499999899"/>
    <n v="225.494535648999"/>
  </r>
  <r>
    <x v="10"/>
    <s v="Truck 0"/>
    <n v="79"/>
    <n v="79"/>
    <n v="6.9746835443037902"/>
    <n v="19.134070227786101"/>
    <n v="13.3345585693488"/>
    <n v="92.141318871096303"/>
    <n v="0"/>
    <n v="0"/>
    <n v="245.41477"/>
    <n v="227.131340244999"/>
  </r>
  <r>
    <x v="10"/>
    <s v="Truck 1"/>
    <n v="75"/>
    <n v="74"/>
    <n v="6.7333333333333298"/>
    <n v="18.5660170654807"/>
    <n v="13.3345585693488"/>
    <n v="87.719128150249404"/>
    <n v="0"/>
    <n v="0"/>
    <n v="247.942117"/>
    <n v="229.70625012099899"/>
  </r>
  <r>
    <x v="10"/>
    <s v="Truck 2"/>
    <n v="80"/>
    <n v="80"/>
    <n v="7.0374999999999996"/>
    <n v="19.1261492594065"/>
    <n v="13.3345585693488"/>
    <n v="93.428642620300906"/>
    <n v="0"/>
    <n v="0"/>
    <n v="236.433967"/>
    <n v="220.59175863099901"/>
  </r>
  <r>
    <x v="10"/>
    <s v="Truck 3"/>
    <n v="76"/>
    <n v="76"/>
    <n v="6.8684210526315699"/>
    <n v="20.368422306656399"/>
    <n v="13.3345585693488"/>
    <n v="93.980607329093303"/>
    <n v="0"/>
    <n v="0"/>
    <n v="278.96949099999898"/>
    <n v="256.74145662999899"/>
  </r>
  <r>
    <x v="10"/>
    <s v="Truck 4"/>
    <n v="71"/>
    <n v="71"/>
    <n v="6.3802816901408397"/>
    <n v="18.757043836220799"/>
    <n v="13.3345585693488"/>
    <n v="88.867154844310605"/>
    <n v="0"/>
    <n v="0"/>
    <n v="254.74684500000001"/>
    <n v="235.66788398799901"/>
  </r>
  <r>
    <x v="10"/>
    <s v="Truck 5"/>
    <n v="83"/>
    <n v="83"/>
    <n v="7.5301204819277103"/>
    <n v="19.794146328419"/>
    <n v="13.3345585693488"/>
    <n v="101.90478713186999"/>
    <n v="0"/>
    <n v="0"/>
    <n v="276.55622299999999"/>
    <n v="261.84145891399999"/>
  </r>
  <r>
    <x v="10"/>
    <s v="Truck 6"/>
    <n v="82"/>
    <n v="82"/>
    <n v="7.3414634146341404"/>
    <n v="19.780086658957899"/>
    <n v="13.3345585693488"/>
    <n v="100.29123323802"/>
    <n v="0"/>
    <n v="0"/>
    <n v="265.34991400000001"/>
    <n v="250.571305101999"/>
  </r>
  <r>
    <x v="10"/>
    <s v="Truck 7"/>
    <n v="84"/>
    <n v="83"/>
    <n v="7.6190476190476097"/>
    <n v="19.919596364254801"/>
    <n v="13.3345585693488"/>
    <n v="101.736966267941"/>
    <n v="0"/>
    <n v="0"/>
    <n v="270.70736799999997"/>
    <n v="255.11981239899899"/>
  </r>
  <r>
    <x v="11"/>
    <s v="Truck 0"/>
    <n v="92"/>
    <n v="92"/>
    <n v="7.8478260869565197"/>
    <n v="20.055612515826802"/>
    <n v="12.904742419968599"/>
    <n v="96.482398134264301"/>
    <n v="0"/>
    <n v="0"/>
    <n v="237.465080999999"/>
    <n v="219.46436124299899"/>
  </r>
  <r>
    <x v="11"/>
    <s v="Truck 1"/>
    <n v="88"/>
    <n v="85"/>
    <n v="7.3977272727272698"/>
    <n v="19.174798153464401"/>
    <n v="12.904742419968599"/>
    <n v="93.219745700979104"/>
    <n v="0"/>
    <n v="0"/>
    <n v="227.01358099999899"/>
    <n v="208.454464473999"/>
  </r>
  <r>
    <x v="11"/>
    <s v="Truck 2"/>
    <n v="96"/>
    <n v="92"/>
    <n v="7.9583333333333304"/>
    <n v="20.885365393394501"/>
    <n v="12.904742419968599"/>
    <n v="101.887265990797"/>
    <n v="0"/>
    <n v="0"/>
    <n v="281.368268"/>
    <n v="264.64143914900001"/>
  </r>
  <r>
    <x v="11"/>
    <s v="Truck 3"/>
    <n v="79"/>
    <n v="79"/>
    <n v="7.7215189873417698"/>
    <n v="20.491425518187398"/>
    <n v="12.904742419968599"/>
    <n v="82.648120353049507"/>
    <n v="0"/>
    <n v="0"/>
    <n v="253.854402999999"/>
    <n v="229.48660833199901"/>
  </r>
  <r>
    <x v="12"/>
    <s v="Truck 0"/>
    <n v="95"/>
    <n v="92"/>
    <n v="7.8842105263157896"/>
    <n v="19.891815955005701"/>
    <n v="12.9026288851055"/>
    <n v="100.03247848941599"/>
    <n v="0"/>
    <n v="0"/>
    <n v="231.70468499999899"/>
    <n v="214.94152738499901"/>
  </r>
  <r>
    <x v="12"/>
    <s v="Truck 1"/>
    <n v="85"/>
    <n v="85"/>
    <n v="7.2705882352941096"/>
    <n v="19.3162839517293"/>
    <n v="12.9026288851055"/>
    <n v="90.273243517377495"/>
    <n v="0"/>
    <n v="0"/>
    <n v="225.039773999999"/>
    <n v="206.255043236999"/>
  </r>
  <r>
    <x v="12"/>
    <s v="Truck 2"/>
    <n v="96"/>
    <n v="93"/>
    <n v="7.9583333333333304"/>
    <n v="20.919283030889101"/>
    <n v="12.9026288851055"/>
    <n v="100.25294146034599"/>
    <n v="0"/>
    <n v="0"/>
    <n v="279.74980099999999"/>
    <n v="263.493665047999"/>
  </r>
  <r>
    <x v="12"/>
    <s v="Truck 3"/>
    <n v="79"/>
    <n v="75"/>
    <n v="7.5189873417721502"/>
    <n v="20.365532334556999"/>
    <n v="12.9026288851055"/>
    <n v="83.617574200919293"/>
    <n v="0"/>
    <n v="0"/>
    <n v="259.85214599999898"/>
    <n v="233.81797112799899"/>
  </r>
  <r>
    <x v="13"/>
    <s v="Truck 0"/>
    <n v="95"/>
    <n v="92"/>
    <n v="7.8842105263157896"/>
    <n v="19.907694848897599"/>
    <n v="12.8117697759912"/>
    <n v="99.181991179173494"/>
    <n v="0"/>
    <n v="0"/>
    <n v="231.70468499999899"/>
    <n v="214.94152738499901"/>
  </r>
  <r>
    <x v="13"/>
    <s v="Truck 1"/>
    <n v="85"/>
    <n v="85"/>
    <n v="7.2705882352941096"/>
    <n v="19.292766672742101"/>
    <n v="12.8117697759912"/>
    <n v="89.300458385960198"/>
    <n v="0"/>
    <n v="0"/>
    <n v="225.039773999999"/>
    <n v="206.255043236999"/>
  </r>
  <r>
    <x v="13"/>
    <s v="Truck 2"/>
    <n v="95"/>
    <n v="92"/>
    <n v="7.8842105263157896"/>
    <n v="20.798081047615099"/>
    <n v="12.8117697759912"/>
    <n v="99.809035043433994"/>
    <n v="0"/>
    <n v="0"/>
    <n v="276.60237999999998"/>
    <n v="260.55082460499898"/>
  </r>
  <r>
    <x v="13"/>
    <s v="Truck 3"/>
    <n v="80"/>
    <n v="76"/>
    <n v="7.4749999999999996"/>
    <n v="20.530205572966601"/>
    <n v="12.8117697759912"/>
    <n v="83.249838895177106"/>
    <n v="0"/>
    <n v="0"/>
    <n v="260.09354599999898"/>
    <n v="234.720840105999"/>
  </r>
  <r>
    <x v="14"/>
    <s v="Truck 0"/>
    <n v="95"/>
    <n v="92"/>
    <n v="7.8842105263157896"/>
    <n v="20.0431611128767"/>
    <n v="12.8253634263598"/>
    <n v="98.525374719975304"/>
    <n v="0"/>
    <n v="0"/>
    <n v="231.70468499999899"/>
    <n v="214.94152738499901"/>
  </r>
  <r>
    <x v="14"/>
    <s v="Truck 1"/>
    <n v="85"/>
    <n v="85"/>
    <n v="7.2705882352941096"/>
    <n v="19.2833669983006"/>
    <n v="12.8253634263598"/>
    <n v="88.759690526585601"/>
    <n v="0"/>
    <n v="0"/>
    <n v="225.039773999999"/>
    <n v="206.255043236999"/>
  </r>
  <r>
    <x v="14"/>
    <s v="Truck 2"/>
    <n v="95"/>
    <n v="92"/>
    <n v="7.8842105263157896"/>
    <n v="20.765259506083598"/>
    <n v="12.8253634263598"/>
    <n v="100.65083914670301"/>
    <n v="0"/>
    <n v="0"/>
    <n v="276.60237999999998"/>
    <n v="260.55082460499898"/>
  </r>
  <r>
    <x v="14"/>
    <s v="Truck 3"/>
    <n v="80"/>
    <n v="76"/>
    <n v="7.4749999999999996"/>
    <n v="20.333641506227998"/>
    <n v="12.8253634263598"/>
    <n v="83.999634971171105"/>
    <n v="0"/>
    <n v="0"/>
    <n v="260.09354599999898"/>
    <n v="234.720840105999"/>
  </r>
  <r>
    <x v="15"/>
    <s v="Truck 0"/>
    <n v="95"/>
    <n v="92"/>
    <n v="7.8842105263157896"/>
    <n v="19.925487552000899"/>
    <n v="12.853120910131301"/>
    <n v="99.936450943025704"/>
    <n v="0"/>
    <n v="0"/>
    <n v="231.70468499999899"/>
    <n v="214.94152738499901"/>
  </r>
  <r>
    <x v="15"/>
    <s v="Truck 1"/>
    <n v="85"/>
    <n v="85"/>
    <n v="7.2705882352941096"/>
    <n v="19.2061495766722"/>
    <n v="12.853120910131301"/>
    <n v="89.235032619985802"/>
    <n v="0"/>
    <n v="0"/>
    <n v="225.039773999999"/>
    <n v="206.255043236999"/>
  </r>
  <r>
    <x v="15"/>
    <s v="Truck 2"/>
    <n v="95"/>
    <n v="92"/>
    <n v="7.8842105263157896"/>
    <n v="20.558737850891799"/>
    <n v="12.853120910131301"/>
    <n v="99.071043204609694"/>
    <n v="0"/>
    <n v="0"/>
    <n v="276.60237999999998"/>
    <n v="260.55082460499898"/>
  </r>
  <r>
    <x v="15"/>
    <s v="Truck 3"/>
    <n v="81"/>
    <n v="76"/>
    <n v="7.55555555555555"/>
    <n v="20.4571017775122"/>
    <n v="12.853120910131301"/>
    <n v="84.497979626186407"/>
    <n v="0"/>
    <n v="0"/>
    <n v="260.55970699999898"/>
    <n v="235.76261667399899"/>
  </r>
  <r>
    <x v="16"/>
    <s v="Truck 0"/>
    <n v="78"/>
    <n v="77"/>
    <n v="6.8717948717948696"/>
    <n v="18.910039663493201"/>
    <n v="13.2816365572517"/>
    <n v="92.031703920915405"/>
    <n v="0"/>
    <n v="0"/>
    <n v="248.520028999999"/>
    <n v="229.379358752"/>
  </r>
  <r>
    <x v="16"/>
    <s v="Truck 1"/>
    <n v="75"/>
    <n v="75"/>
    <n v="6.7333333333333298"/>
    <n v="18.699969565758501"/>
    <n v="13.2816365572517"/>
    <n v="88.182525607819699"/>
    <n v="0"/>
    <n v="0"/>
    <n v="247.055485"/>
    <n v="229.997600409999"/>
  </r>
  <r>
    <x v="16"/>
    <s v="Truck 2"/>
    <n v="81"/>
    <n v="81"/>
    <n v="6.9876543209876498"/>
    <n v="19.259538817603399"/>
    <n v="13.2816365572517"/>
    <n v="94.070946560551107"/>
    <n v="0"/>
    <n v="0"/>
    <n v="245.84458599999999"/>
    <n v="229.32406963299999"/>
  </r>
  <r>
    <x v="16"/>
    <s v="Truck 3"/>
    <n v="76"/>
    <n v="75"/>
    <n v="6.8684210526315699"/>
    <n v="20.675712684413199"/>
    <n v="13.2816365572517"/>
    <n v="93.477006918931394"/>
    <n v="0"/>
    <n v="0"/>
    <n v="278.671863999999"/>
    <n v="255.940399788999"/>
  </r>
  <r>
    <x v="16"/>
    <s v="Truck 4"/>
    <n v="72"/>
    <n v="72"/>
    <n v="6.2638888888888804"/>
    <n v="18.373287816345201"/>
    <n v="13.2816365572517"/>
    <n v="89.752973982981203"/>
    <n v="0"/>
    <n v="0"/>
    <n v="253.21068700000001"/>
    <n v="234.19490974299899"/>
  </r>
  <r>
    <x v="16"/>
    <s v="Truck 5"/>
    <n v="81"/>
    <n v="81"/>
    <n v="7.5061728395061698"/>
    <n v="19.948197497365701"/>
    <n v="13.2816365572517"/>
    <n v="97.914235280980407"/>
    <n v="0"/>
    <n v="0"/>
    <n v="274.980198999999"/>
    <n v="259.59069218199897"/>
  </r>
  <r>
    <x v="16"/>
    <s v="Truck 6"/>
    <n v="83"/>
    <n v="83"/>
    <n v="7.3614457831325302"/>
    <n v="19.6582009784067"/>
    <n v="13.2816365572517"/>
    <n v="101.597381144976"/>
    <n v="0"/>
    <n v="0"/>
    <n v="264.39582999999999"/>
    <n v="248.91366185499899"/>
  </r>
  <r>
    <x v="16"/>
    <s v="Truck 7"/>
    <n v="82"/>
    <n v="81"/>
    <n v="7.3414634146341404"/>
    <n v="19.8040638370314"/>
    <n v="13.2816365572517"/>
    <n v="100.026510346195"/>
    <n v="0"/>
    <n v="0"/>
    <n v="267.563064"/>
    <n v="251.81043280199901"/>
  </r>
  <r>
    <x v="17"/>
    <s v="Truck 0"/>
    <n v="77"/>
    <n v="77"/>
    <n v="6.8441558441558401"/>
    <n v="18.924131109134901"/>
    <n v="13.3385962658406"/>
    <n v="90.144337073800102"/>
    <n v="0"/>
    <n v="0"/>
    <n v="244.95710800000001"/>
    <n v="226.40542228899901"/>
  </r>
  <r>
    <x v="17"/>
    <s v="Truck 1"/>
    <n v="74"/>
    <n v="73"/>
    <n v="6.6216216216216202"/>
    <n v="18.497279265522799"/>
    <n v="13.3385962658406"/>
    <n v="87.375186520508194"/>
    <n v="0"/>
    <n v="0"/>
    <n v="236.523145"/>
    <n v="219.28548000999899"/>
  </r>
  <r>
    <x v="17"/>
    <s v="Truck 2"/>
    <n v="82"/>
    <n v="82"/>
    <n v="7.08536585365853"/>
    <n v="19.480500550293399"/>
    <n v="13.3385962658406"/>
    <n v="95.392672607426107"/>
    <n v="0"/>
    <n v="0"/>
    <n v="248.394789"/>
    <n v="232.33982011199899"/>
  </r>
  <r>
    <x v="17"/>
    <s v="Truck 3"/>
    <n v="76"/>
    <n v="76"/>
    <n v="6.8684210526315699"/>
    <n v="20.484454014092499"/>
    <n v="13.3385962658406"/>
    <n v="94.403139942726796"/>
    <n v="0"/>
    <n v="0"/>
    <n v="279.24136499999901"/>
    <n v="257.31370067699902"/>
  </r>
  <r>
    <x v="17"/>
    <s v="Truck 4"/>
    <n v="72"/>
    <n v="72"/>
    <n v="6.2638888888888804"/>
    <n v="18.504870250542002"/>
    <n v="13.3385962658406"/>
    <n v="90.645468747283999"/>
    <n v="0"/>
    <n v="0"/>
    <n v="257.141999"/>
    <n v="238.339821373999"/>
  </r>
  <r>
    <x v="17"/>
    <s v="Truck 5"/>
    <n v="82"/>
    <n v="82"/>
    <n v="7.5121951219512102"/>
    <n v="19.733307307315599"/>
    <n v="13.3385962658406"/>
    <n v="100.203055557539"/>
    <n v="0"/>
    <n v="0"/>
    <n v="273.13109900000001"/>
    <n v="257.67097167199898"/>
  </r>
  <r>
    <x v="17"/>
    <s v="Truck 6"/>
    <n v="83"/>
    <n v="83"/>
    <n v="7.3614457831325302"/>
    <n v="19.930651936376499"/>
    <n v="13.3385962658406"/>
    <n v="100.726452147346"/>
    <n v="0"/>
    <n v="0"/>
    <n v="270.97279600000002"/>
    <n v="255.811167162999"/>
  </r>
  <r>
    <x v="17"/>
    <s v="Truck 7"/>
    <n v="83"/>
    <n v="82"/>
    <n v="7.3614457831325302"/>
    <n v="19.634935973074199"/>
    <n v="13.3385962658406"/>
    <n v="101.409674556287"/>
    <n v="0"/>
    <n v="0"/>
    <n v="266.11111699999998"/>
    <n v="250.80868579099899"/>
  </r>
  <r>
    <x v="18"/>
    <s v="Truck 0"/>
    <n v="82"/>
    <n v="82"/>
    <n v="7.5121951219512102"/>
    <n v="19.551371213698399"/>
    <n v="13.5428506048484"/>
    <n v="99.690112412047895"/>
    <n v="0"/>
    <n v="0"/>
    <n v="249.472678"/>
    <n v="234.99716010399899"/>
  </r>
  <r>
    <x v="18"/>
    <s v="Truck 1"/>
    <n v="82"/>
    <n v="82"/>
    <n v="7.3414634146341404"/>
    <n v="18.953086892659499"/>
    <n v="13.5428506048484"/>
    <n v="99.340338780905597"/>
    <n v="0"/>
    <n v="0"/>
    <n v="230.133298"/>
    <n v="215.99734348899901"/>
  </r>
  <r>
    <x v="18"/>
    <s v="Truck 2"/>
    <n v="76"/>
    <n v="76"/>
    <n v="6.8684210526315699"/>
    <n v="18.7307400979535"/>
    <n v="13.5428506048484"/>
    <n v="98.357359734283193"/>
    <n v="0"/>
    <n v="0"/>
    <n v="259.19732399999998"/>
    <n v="244.870340741999"/>
  </r>
  <r>
    <x v="18"/>
    <s v="Truck 3"/>
    <n v="71"/>
    <n v="71"/>
    <n v="6.3661971830985902"/>
    <n v="19.880633064693001"/>
    <n v="13.5428506048484"/>
    <n v="93.198853852467906"/>
    <n v="0"/>
    <n v="0"/>
    <n v="247.53106399999899"/>
    <n v="227.669203581999"/>
  </r>
  <r>
    <x v="18"/>
    <s v="Truck 4"/>
    <n v="77"/>
    <n v="77"/>
    <n v="6.7792207792207702"/>
    <n v="18.734123293236902"/>
    <n v="13.5428506048484"/>
    <n v="99.222753996570205"/>
    <n v="0"/>
    <n v="0"/>
    <n v="223.95350500000001"/>
    <n v="208.253225184999"/>
  </r>
  <r>
    <x v="18"/>
    <s v="Truck 5"/>
    <n v="77"/>
    <n v="77"/>
    <n v="6.8961038961038899"/>
    <n v="19.025368478234999"/>
    <n v="13.5428506048484"/>
    <n v="99.191213452340506"/>
    <n v="0"/>
    <n v="0"/>
    <n v="256.81599499999999"/>
    <n v="242.601883219999"/>
  </r>
  <r>
    <x v="18"/>
    <s v="Truck 6"/>
    <n v="66"/>
    <n v="66"/>
    <n v="5.9545454545454497"/>
    <n v="17.927873275752201"/>
    <n v="13.5428506048484"/>
    <n v="88.953044400968906"/>
    <n v="0"/>
    <n v="0"/>
    <n v="230.71820899999901"/>
    <n v="212.75618244199899"/>
  </r>
  <r>
    <x v="18"/>
    <s v="Truck 7"/>
    <n v="72"/>
    <n v="72"/>
    <n v="5.93055555555555"/>
    <n v="18.203597755381701"/>
    <n v="13.5428506048484"/>
    <n v="94.546518691203204"/>
    <n v="0"/>
    <n v="0"/>
    <n v="214.182177"/>
    <n v="197.44243256099901"/>
  </r>
  <r>
    <x v="18"/>
    <s v="Truck 8"/>
    <n v="66"/>
    <n v="66"/>
    <n v="5.37878787878787"/>
    <n v="19.284940042031401"/>
    <n v="13.5428506048484"/>
    <n v="93.477286147051004"/>
    <n v="0"/>
    <n v="0"/>
    <n v="246.05259899999999"/>
    <n v="222.766846581999"/>
  </r>
  <r>
    <x v="18"/>
    <s v="Truck 9"/>
    <n v="73"/>
    <n v="73"/>
    <n v="6.0821917808219101"/>
    <n v="18.294570201906499"/>
    <n v="13.5428506048484"/>
    <n v="100.5241667289"/>
    <n v="0"/>
    <n v="0"/>
    <n v="243.07849299999901"/>
    <n v="226.83992854899901"/>
  </r>
  <r>
    <x v="18"/>
    <s v="Truck 10"/>
    <n v="72"/>
    <n v="72"/>
    <n v="6.0416666666666599"/>
    <n v="18.245756916754001"/>
    <n v="13.5428506048484"/>
    <n v="99.913756758555607"/>
    <n v="0"/>
    <n v="0"/>
    <n v="223.84179800000001"/>
    <n v="207.40039928899901"/>
  </r>
  <r>
    <x v="18"/>
    <s v="Truck 11"/>
    <n v="71"/>
    <n v="71"/>
    <n v="5.87323943661971"/>
    <n v="18.086416869177501"/>
    <n v="13.5428506048484"/>
    <n v="98.269747061670003"/>
    <n v="0"/>
    <n v="0"/>
    <n v="223.87052199999999"/>
    <n v="207.814151490999"/>
  </r>
  <r>
    <x v="19"/>
    <s v="Truck 0"/>
    <n v="83"/>
    <n v="83"/>
    <n v="7.5301204819277103"/>
    <n v="19.422859014829399"/>
    <n v="13.5107461256517"/>
    <n v="101.861124276955"/>
    <n v="0"/>
    <n v="0"/>
    <n v="252.857981"/>
    <n v="238.931687917999"/>
  </r>
  <r>
    <x v="19"/>
    <s v="Truck 1"/>
    <n v="83"/>
    <n v="83"/>
    <n v="7.3614457831325302"/>
    <n v="19.355196556867"/>
    <n v="13.5107461256517"/>
    <n v="100.863870854193"/>
    <n v="0"/>
    <n v="0"/>
    <n v="242.06234899999899"/>
    <n v="228.00540354199899"/>
  </r>
  <r>
    <x v="19"/>
    <s v="Truck 2"/>
    <n v="78"/>
    <n v="78"/>
    <n v="6.9230769230769198"/>
    <n v="19.428340791058702"/>
    <n v="13.5107461256517"/>
    <n v="101.028140017846"/>
    <n v="0"/>
    <n v="0"/>
    <n v="262.69913300000002"/>
    <n v="248.40245689399899"/>
  </r>
  <r>
    <x v="19"/>
    <s v="Truck 3"/>
    <n v="68"/>
    <n v="68"/>
    <n v="5.8823529411764701"/>
    <n v="18.0752164911022"/>
    <n v="13.5107461256517"/>
    <n v="91.157116760559802"/>
    <n v="0"/>
    <n v="0"/>
    <n v="230.69114299999899"/>
    <n v="212.973596262999"/>
  </r>
  <r>
    <x v="19"/>
    <s v="Truck 4"/>
    <n v="78"/>
    <n v="78"/>
    <n v="6.8076923076923004"/>
    <n v="18.824204043030601"/>
    <n v="13.5107461256517"/>
    <n v="100.854729268916"/>
    <n v="0"/>
    <n v="0"/>
    <n v="240.07857899999999"/>
    <n v="224.54884396199901"/>
  </r>
  <r>
    <x v="19"/>
    <s v="Truck 5"/>
    <n v="77"/>
    <n v="77"/>
    <n v="6.8571428571428497"/>
    <n v="18.8123692095064"/>
    <n v="13.5107461256517"/>
    <n v="99.101787848287799"/>
    <n v="0"/>
    <n v="0"/>
    <n v="229.183528"/>
    <n v="213.202561158999"/>
  </r>
  <r>
    <x v="19"/>
    <s v="Truck 6"/>
    <n v="64"/>
    <n v="64"/>
    <n v="6.65625"/>
    <n v="18.9358348418512"/>
    <n v="13.5107461256517"/>
    <n v="82.9068185838358"/>
    <n v="0"/>
    <n v="0"/>
    <n v="243.73970499999999"/>
    <n v="221.89591934999899"/>
  </r>
  <r>
    <x v="19"/>
    <s v="Truck 7"/>
    <n v="71"/>
    <n v="71"/>
    <n v="5.87323943661971"/>
    <n v="18.221524851730699"/>
    <n v="13.5107461256517"/>
    <n v="93.471987400109398"/>
    <n v="0"/>
    <n v="0"/>
    <n v="235.636179"/>
    <n v="219.72671696699899"/>
  </r>
  <r>
    <x v="19"/>
    <s v="Truck 8"/>
    <n v="56"/>
    <n v="56"/>
    <n v="5.21428571428571"/>
    <n v="16.500526704528799"/>
    <n v="13.5107461256517"/>
    <n v="77.542105279573704"/>
    <n v="0"/>
    <n v="0"/>
    <n v="195.34800499999901"/>
    <n v="174.99785050499901"/>
  </r>
  <r>
    <x v="19"/>
    <s v="Truck 9"/>
    <n v="71"/>
    <n v="71"/>
    <n v="6"/>
    <n v="18.301121228690398"/>
    <n v="13.5107461256517"/>
    <n v="97.666802995990196"/>
    <n v="0"/>
    <n v="0"/>
    <n v="231.93477999999999"/>
    <n v="214.95665153499999"/>
  </r>
  <r>
    <x v="19"/>
    <s v="Truck 10"/>
    <n v="73"/>
    <n v="73"/>
    <n v="6.0821917808219101"/>
    <n v="18.563209844229601"/>
    <n v="13.5107461256517"/>
    <n v="100.851988219975"/>
    <n v="0"/>
    <n v="0"/>
    <n v="235.440279"/>
    <n v="219.087775106999"/>
  </r>
  <r>
    <x v="19"/>
    <s v="Truck 11"/>
    <n v="73"/>
    <n v="73"/>
    <n v="6.0821917808219101"/>
    <n v="17.955137633083201"/>
    <n v="13.5107461256517"/>
    <n v="101.10694917415501"/>
    <n v="0"/>
    <n v="0"/>
    <n v="218.63042100000001"/>
    <n v="202.066380062999"/>
  </r>
  <r>
    <x v="20"/>
    <s v="Truck 0"/>
    <n v="82"/>
    <n v="82"/>
    <n v="7.5121951219512102"/>
    <n v="19.5573732148628"/>
    <n v="13.532745870936401"/>
    <n v="100.258862729773"/>
    <n v="0"/>
    <n v="0"/>
    <n v="245.43398500000001"/>
    <n v="231.07093370499899"/>
  </r>
  <r>
    <x v="20"/>
    <s v="Truck 1"/>
    <n v="82"/>
    <n v="82"/>
    <n v="7.2317073170731696"/>
    <n v="18.987294771658501"/>
    <n v="13.532745870936401"/>
    <n v="100.718563898331"/>
    <n v="0"/>
    <n v="0"/>
    <n v="231.955300999999"/>
    <n v="217.32624429799901"/>
  </r>
  <r>
    <x v="20"/>
    <s v="Truck 2"/>
    <n v="76"/>
    <n v="76"/>
    <n v="6.8684210526315699"/>
    <n v="19.155324227834299"/>
    <n v="13.532745870936401"/>
    <n v="98.619801351814303"/>
    <n v="0"/>
    <n v="0"/>
    <n v="259.49117699999999"/>
    <n v="245.189468435999"/>
  </r>
  <r>
    <x v="20"/>
    <s v="Truck 3"/>
    <n v="71"/>
    <n v="71"/>
    <n v="6.2253521126760498"/>
    <n v="19.65039313155"/>
    <n v="13.532745870936401"/>
    <n v="95.166650607011803"/>
    <n v="0"/>
    <n v="0"/>
    <n v="242.91668499999901"/>
    <n v="222.54515097399999"/>
  </r>
  <r>
    <x v="20"/>
    <s v="Truck 4"/>
    <n v="76"/>
    <n v="76"/>
    <n v="6.75"/>
    <n v="18.3175505750492"/>
    <n v="13.532745870936401"/>
    <n v="99.227076043856201"/>
    <n v="0"/>
    <n v="0"/>
    <n v="223.002195"/>
    <n v="206.64360772499899"/>
  </r>
  <r>
    <x v="20"/>
    <s v="Truck 5"/>
    <n v="74"/>
    <n v="74"/>
    <n v="6.8918918918918903"/>
    <n v="18.780554155348899"/>
    <n v="13.532745870936401"/>
    <n v="94.595952554300993"/>
    <n v="0"/>
    <n v="0"/>
    <n v="249.111334"/>
    <n v="233.73425988699901"/>
  </r>
  <r>
    <x v="20"/>
    <s v="Truck 6"/>
    <n v="65"/>
    <n v="65"/>
    <n v="5.9076923076923"/>
    <n v="17.728942066639402"/>
    <n v="13.532745870936401"/>
    <n v="87.621888450328399"/>
    <n v="0"/>
    <n v="0"/>
    <n v="231.18337899999901"/>
    <n v="213.222638692"/>
  </r>
  <r>
    <x v="20"/>
    <s v="Truck 7"/>
    <n v="73"/>
    <n v="73"/>
    <n v="5.9589041095890396"/>
    <n v="18.3689785287573"/>
    <n v="13.532745870936401"/>
    <n v="95.757201936055495"/>
    <n v="0"/>
    <n v="0"/>
    <n v="219.91379900000001"/>
    <n v="203.45124832699901"/>
  </r>
  <r>
    <x v="20"/>
    <s v="Truck 8"/>
    <n v="66"/>
    <n v="66"/>
    <n v="5.4696969696969697"/>
    <n v="19.269242220389799"/>
    <n v="13.532745870936401"/>
    <n v="93.091764530840194"/>
    <n v="0"/>
    <n v="0"/>
    <n v="241.64800299999999"/>
    <n v="218.31881315899901"/>
  </r>
  <r>
    <x v="20"/>
    <s v="Truck 9"/>
    <n v="72"/>
    <n v="72"/>
    <n v="6.0416666666666599"/>
    <n v="18.364020753554801"/>
    <n v="13.532745870936401"/>
    <n v="98.833250395037794"/>
    <n v="0"/>
    <n v="0"/>
    <n v="238.84226799999999"/>
    <n v="222.201046128999"/>
  </r>
  <r>
    <x v="20"/>
    <s v="Truck 10"/>
    <n v="73"/>
    <n v="73"/>
    <n v="6.0821917808219101"/>
    <n v="18.288742626012699"/>
    <n v="13.532745870936401"/>
    <n v="99.879935920202996"/>
    <n v="0"/>
    <n v="0"/>
    <n v="236.21500900000001"/>
    <n v="220.236202896999"/>
  </r>
  <r>
    <x v="20"/>
    <s v="Truck 11"/>
    <n v="73"/>
    <n v="73"/>
    <n v="5.9726027397260202"/>
    <n v="18.607942712633999"/>
    <n v="13.532745870936401"/>
    <n v="100.045196482983"/>
    <n v="0"/>
    <n v="0"/>
    <n v="238.65151599999999"/>
    <n v="222.71454238299901"/>
  </r>
  <r>
    <x v="21"/>
    <s v="Truck 0"/>
    <n v="82"/>
    <n v="82"/>
    <n v="7.5121951219512102"/>
    <n v="19.222978659561701"/>
    <n v="13.478924595645699"/>
    <n v="100.091432221441"/>
    <n v="0"/>
    <n v="0"/>
    <n v="245.63653600000001"/>
    <n v="231.155284287999"/>
  </r>
  <r>
    <x v="21"/>
    <s v="Truck 1"/>
    <n v="81"/>
    <n v="81"/>
    <n v="7.2098765432098704"/>
    <n v="18.861565765851498"/>
    <n v="13.478924595645699"/>
    <n v="98.705227723764196"/>
    <n v="0"/>
    <n v="0"/>
    <n v="223.05010499999901"/>
    <n v="209.03822051999899"/>
  </r>
  <r>
    <x v="21"/>
    <s v="Truck 2"/>
    <n v="77"/>
    <n v="77"/>
    <n v="6.8961038961038899"/>
    <n v="19.257443778777802"/>
    <n v="13.478924595645699"/>
    <n v="99.037460432591899"/>
    <n v="0"/>
    <n v="0"/>
    <n v="268.85661099999999"/>
    <n v="254.26590505299899"/>
  </r>
  <r>
    <x v="21"/>
    <s v="Truck 3"/>
    <n v="71"/>
    <n v="71"/>
    <n v="6.1549295774647801"/>
    <n v="19.535498272530202"/>
    <n v="13.478924595645699"/>
    <n v="93.975453992937702"/>
    <n v="0"/>
    <n v="0"/>
    <n v="243.365161999999"/>
    <n v="223.15700076099901"/>
  </r>
  <r>
    <x v="21"/>
    <s v="Truck 4"/>
    <n v="78"/>
    <n v="78"/>
    <n v="6.8076923076923004"/>
    <n v="18.718370165404"/>
    <n v="13.478924595645699"/>
    <n v="100.76491229304099"/>
    <n v="0"/>
    <n v="0"/>
    <n v="223.58585599999901"/>
    <n v="207.253776232999"/>
  </r>
  <r>
    <x v="21"/>
    <s v="Truck 5"/>
    <n v="73"/>
    <n v="73"/>
    <n v="7"/>
    <n v="18.712298545872699"/>
    <n v="13.478924595645699"/>
    <n v="92.251611895488196"/>
    <n v="0"/>
    <n v="0"/>
    <n v="257.86260099999998"/>
    <n v="241.85653009699899"/>
  </r>
  <r>
    <x v="21"/>
    <s v="Truck 6"/>
    <n v="64"/>
    <n v="64"/>
    <n v="5.96875"/>
    <n v="17.3637806191504"/>
    <n v="13.478924595645699"/>
    <n v="86.438183954207105"/>
    <n v="0"/>
    <n v="0"/>
    <n v="230.75926299999901"/>
    <n v="212.67612004399899"/>
  </r>
  <r>
    <x v="21"/>
    <s v="Truck 7"/>
    <n v="72"/>
    <n v="72"/>
    <n v="5.9166666666666599"/>
    <n v="18.052266399798999"/>
    <n v="13.478924595645699"/>
    <n v="94.928932991326704"/>
    <n v="0"/>
    <n v="0"/>
    <n v="205.96348800000001"/>
    <n v="189.274011699"/>
  </r>
  <r>
    <x v="21"/>
    <s v="Truck 8"/>
    <n v="66"/>
    <n v="66"/>
    <n v="5.37878787878787"/>
    <n v="19.293054590571199"/>
    <n v="13.478924595645699"/>
    <n v="93.316435390390197"/>
    <n v="0"/>
    <n v="0"/>
    <n v="243.632744"/>
    <n v="220.27356590699901"/>
  </r>
  <r>
    <x v="21"/>
    <s v="Truck 9"/>
    <n v="73"/>
    <n v="73"/>
    <n v="6.0821917808219101"/>
    <n v="18.332234160247399"/>
    <n v="13.478924595645699"/>
    <n v="99.665059335574199"/>
    <n v="0"/>
    <n v="0"/>
    <n v="238.08930000000001"/>
    <n v="221.07568262999999"/>
  </r>
  <r>
    <x v="21"/>
    <s v="Truck 10"/>
    <n v="73"/>
    <n v="73"/>
    <n v="6.0821917808219101"/>
    <n v="18.231864534554798"/>
    <n v="13.478924595645699"/>
    <n v="100.567439562906"/>
    <n v="0"/>
    <n v="0"/>
    <n v="223.183424"/>
    <n v="206.65411917199901"/>
  </r>
  <r>
    <x v="21"/>
    <s v="Truck 11"/>
    <n v="72"/>
    <n v="72"/>
    <n v="5.9166666666666599"/>
    <n v="18.401394821989999"/>
    <n v="13.478924595645699"/>
    <n v="99.445365431868197"/>
    <n v="0"/>
    <n v="0"/>
    <n v="237.924654"/>
    <n v="221.842874426999"/>
  </r>
  <r>
    <x v="22"/>
    <s v="Truck 0"/>
    <n v="82"/>
    <n v="82"/>
    <n v="7.5121951219512102"/>
    <n v="19.457907756632501"/>
    <n v="13.5364390509468"/>
    <n v="100.156118016696"/>
    <n v="0"/>
    <n v="0"/>
    <n v="248.09828200000001"/>
    <n v="233.59380213099899"/>
  </r>
  <r>
    <x v="22"/>
    <s v="Truck 1"/>
    <n v="82"/>
    <n v="82"/>
    <n v="7.2317073170731696"/>
    <n v="19.143323779088298"/>
    <n v="13.5364390509468"/>
    <n v="101.450121543634"/>
    <n v="0"/>
    <n v="0"/>
    <n v="235.697982"/>
    <n v="221.72199848099899"/>
  </r>
  <r>
    <x v="22"/>
    <s v="Truck 2"/>
    <n v="77"/>
    <n v="77"/>
    <n v="6.8961038961038899"/>
    <n v="19.0188637316169"/>
    <n v="13.5364390509468"/>
    <n v="99.820633909340899"/>
    <n v="0"/>
    <n v="0"/>
    <n v="252.93224199999901"/>
    <n v="238.384489650999"/>
  </r>
  <r>
    <x v="22"/>
    <s v="Truck 3"/>
    <n v="68"/>
    <n v="68"/>
    <n v="5.8823529411764701"/>
    <n v="17.8842305111889"/>
    <n v="13.5364390509468"/>
    <n v="90.167024139909302"/>
    <n v="0"/>
    <n v="0"/>
    <n v="229.528445"/>
    <n v="212.316445638999"/>
  </r>
  <r>
    <x v="22"/>
    <s v="Truck 4"/>
    <n v="78"/>
    <n v="78"/>
    <n v="6.8076923076923004"/>
    <n v="18.651434734932302"/>
    <n v="13.5364390509468"/>
    <n v="100.457379002126"/>
    <n v="0"/>
    <n v="0"/>
    <n v="239.22188999999901"/>
    <n v="223.73583700499901"/>
  </r>
  <r>
    <x v="22"/>
    <s v="Truck 5"/>
    <n v="76"/>
    <n v="76"/>
    <n v="6.75"/>
    <n v="18.577392515038799"/>
    <n v="13.5364390509468"/>
    <n v="98.648538263545703"/>
    <n v="0"/>
    <n v="0"/>
    <n v="226.66614899999999"/>
    <n v="210.89420675699901"/>
  </r>
  <r>
    <x v="22"/>
    <s v="Truck 6"/>
    <n v="64"/>
    <n v="64"/>
    <n v="6.390625"/>
    <n v="19.040384424717001"/>
    <n v="13.5364390509468"/>
    <n v="84.070219233718504"/>
    <n v="0"/>
    <n v="0"/>
    <n v="238.75094000000001"/>
    <n v="216.73041734799901"/>
  </r>
  <r>
    <x v="22"/>
    <s v="Truck 7"/>
    <n v="72"/>
    <n v="72"/>
    <n v="5.9166666666666599"/>
    <n v="18.608185121500899"/>
    <n v="13.5364390509468"/>
    <n v="94.589947460718307"/>
    <n v="0"/>
    <n v="0"/>
    <n v="235.013364"/>
    <n v="219.15152770200001"/>
  </r>
  <r>
    <x v="22"/>
    <s v="Truck 8"/>
    <n v="57"/>
    <n v="57"/>
    <n v="5.2807017543859596"/>
    <n v="16.848488253749899"/>
    <n v="13.5364390509468"/>
    <n v="80.0246908010959"/>
    <n v="0"/>
    <n v="0"/>
    <n v="206.24157599999899"/>
    <n v="186.524306187999"/>
  </r>
  <r>
    <x v="22"/>
    <s v="Truck 9"/>
    <n v="73"/>
    <n v="73"/>
    <n v="6.0821917808219101"/>
    <n v="18.5192310088079"/>
    <n v="13.5364390509468"/>
    <n v="100.212986265259"/>
    <n v="0"/>
    <n v="0"/>
    <n v="231.84077300000001"/>
    <n v="214.83669292399901"/>
  </r>
  <r>
    <x v="22"/>
    <s v="Truck 10"/>
    <n v="73"/>
    <n v="73"/>
    <n v="6.0821917808219101"/>
    <n v="18.8334734688002"/>
    <n v="13.5364390509468"/>
    <n v="101.152202444804"/>
    <n v="0"/>
    <n v="0"/>
    <n v="244.16207700000001"/>
    <n v="228.02253006599901"/>
  </r>
  <r>
    <x v="22"/>
    <s v="Truck 11"/>
    <n v="72"/>
    <n v="72"/>
    <n v="6.0416666666666599"/>
    <n v="18.285710813254301"/>
    <n v="13.5364390509468"/>
    <n v="99.847458249631401"/>
    <n v="0"/>
    <n v="0"/>
    <n v="226.85408200000001"/>
    <n v="210.73397790099901"/>
  </r>
  <r>
    <x v="23"/>
    <s v="Truck 0"/>
    <n v="82"/>
    <n v="82"/>
    <n v="7.5121951219512102"/>
    <n v="19.3171361401225"/>
    <n v="13.534628928524899"/>
    <n v="99.8841101066172"/>
    <n v="0"/>
    <n v="0"/>
    <n v="247.27296200000001"/>
    <n v="232.85740598599901"/>
  </r>
  <r>
    <x v="23"/>
    <s v="Truck 1"/>
    <n v="82"/>
    <n v="82"/>
    <n v="7.3414634146341404"/>
    <n v="18.892231313510401"/>
    <n v="13.534628928524899"/>
    <n v="100.524268613394"/>
    <n v="0"/>
    <n v="0"/>
    <n v="230.041697999999"/>
    <n v="215.993765663999"/>
  </r>
  <r>
    <x v="23"/>
    <s v="Truck 2"/>
    <n v="79"/>
    <n v="79"/>
    <n v="7.1392405063291102"/>
    <n v="19.689233414964001"/>
    <n v="13.534628928524899"/>
    <n v="101.874370272733"/>
    <n v="0"/>
    <n v="0"/>
    <n v="267.770487"/>
    <n v="254.18840765099901"/>
  </r>
  <r>
    <x v="23"/>
    <s v="Truck 3"/>
    <n v="72"/>
    <n v="72"/>
    <n v="6.1944444444444402"/>
    <n v="20.185635222003999"/>
    <n v="13.534628928524899"/>
    <n v="94.454185322484804"/>
    <n v="0"/>
    <n v="0"/>
    <n v="255.05200299999899"/>
    <n v="235.310486873999"/>
  </r>
  <r>
    <x v="23"/>
    <s v="Truck 4"/>
    <n v="77"/>
    <n v="77"/>
    <n v="6.7792207792207702"/>
    <n v="18.478969418978"/>
    <n v="13.534628928524899"/>
    <n v="99.248748215047101"/>
    <n v="0"/>
    <n v="0"/>
    <n v="224.06045599999999"/>
    <n v="208.35970872799899"/>
  </r>
  <r>
    <x v="23"/>
    <s v="Truck 5"/>
    <n v="77"/>
    <n v="77"/>
    <n v="6.8961038961038899"/>
    <n v="19.011040857775001"/>
    <n v="13.534628928524899"/>
    <n v="99.900287964369795"/>
    <n v="0"/>
    <n v="0"/>
    <n v="256.09656799999999"/>
    <n v="241.88078740399899"/>
  </r>
  <r>
    <x v="23"/>
    <s v="Truck 6"/>
    <n v="64"/>
    <n v="64"/>
    <n v="5.859375"/>
    <n v="17.464898635417601"/>
    <n v="13.534628928524899"/>
    <n v="86.540067898425306"/>
    <n v="0"/>
    <n v="0"/>
    <n v="223.72533300000001"/>
    <n v="205.477598978999"/>
  </r>
  <r>
    <x v="23"/>
    <s v="Truck 7"/>
    <n v="71"/>
    <n v="71"/>
    <n v="5.9577464788732302"/>
    <n v="17.8083900220857"/>
    <n v="13.534628928524899"/>
    <n v="93.053324364605601"/>
    <n v="0"/>
    <n v="0"/>
    <n v="209.43679799999899"/>
    <n v="192.25231443899901"/>
  </r>
  <r>
    <x v="23"/>
    <s v="Truck 8"/>
    <n v="63"/>
    <n v="63"/>
    <n v="5.3809523809523796"/>
    <n v="19.076872780355401"/>
    <n v="13.534628928524899"/>
    <n v="90.024342000585094"/>
    <n v="0"/>
    <n v="0"/>
    <n v="244.98065299999999"/>
    <n v="221.57318349699901"/>
  </r>
  <r>
    <x v="23"/>
    <s v="Truck 9"/>
    <n v="72"/>
    <n v="72"/>
    <n v="6.0416666666666599"/>
    <n v="18.430198301753599"/>
    <n v="13.534628928524899"/>
    <n v="98.572316193778605"/>
    <n v="0"/>
    <n v="0"/>
    <n v="229.92087299999901"/>
    <n v="213.416098718999"/>
  </r>
  <r>
    <x v="23"/>
    <s v="Truck 10"/>
    <n v="72"/>
    <n v="72"/>
    <n v="6.0416666666666599"/>
    <n v="18.504867476773999"/>
    <n v="13.534628928524899"/>
    <n v="98.829874669921907"/>
    <n v="0"/>
    <n v="0"/>
    <n v="234.94126900000001"/>
    <n v="218.54111412699899"/>
  </r>
  <r>
    <x v="23"/>
    <s v="Truck 11"/>
    <n v="74"/>
    <n v="74"/>
    <n v="6.0810810810810798"/>
    <n v="18.6707233319813"/>
    <n v="13.534628928524899"/>
    <n v="101.072192231183"/>
    <n v="0"/>
    <n v="0"/>
    <n v="238.695392"/>
    <n v="222.466158610999"/>
  </r>
  <r>
    <x v="24"/>
    <s v="Truck 0"/>
    <n v="82"/>
    <n v="82"/>
    <n v="7.5121951219512102"/>
    <n v="19.472386338171901"/>
    <n v="13.507438959460099"/>
    <n v="99.6394509211882"/>
    <n v="0"/>
    <n v="0"/>
    <n v="252.35387800000001"/>
    <n v="238.37056693899899"/>
  </r>
  <r>
    <x v="24"/>
    <s v="Truck 1"/>
    <n v="82"/>
    <n v="82"/>
    <n v="7.2317073170731696"/>
    <n v="19.448574715363002"/>
    <n v="13.507438959460099"/>
    <n v="99.958121402131397"/>
    <n v="0"/>
    <n v="0"/>
    <n v="248.86480599999899"/>
    <n v="234.76495660299901"/>
  </r>
  <r>
    <x v="24"/>
    <s v="Truck 2"/>
    <n v="78"/>
    <n v="78"/>
    <n v="6.9230769230769198"/>
    <n v="19.291399359124402"/>
    <n v="13.507438959460099"/>
    <n v="100.25202665090301"/>
    <n v="0"/>
    <n v="0"/>
    <n v="260.64561600000002"/>
    <n v="246.61237456799901"/>
  </r>
  <r>
    <x v="24"/>
    <s v="Truck 3"/>
    <n v="68"/>
    <n v="68"/>
    <n v="5.8823529411764701"/>
    <n v="17.930491541840102"/>
    <n v="13.507438959460099"/>
    <n v="90.4166001643394"/>
    <n v="0"/>
    <n v="0"/>
    <n v="224.90879299999901"/>
    <n v="207.53054330799901"/>
  </r>
  <r>
    <x v="24"/>
    <s v="Truck 4"/>
    <n v="78"/>
    <n v="78"/>
    <n v="6.8076923076923004"/>
    <n v="18.855323299914399"/>
    <n v="13.507438959460099"/>
    <n v="100.895351208554"/>
    <n v="0"/>
    <n v="0"/>
    <n v="242.51174899999901"/>
    <n v="227.234757917"/>
  </r>
  <r>
    <x v="24"/>
    <s v="Truck 5"/>
    <n v="76"/>
    <n v="76"/>
    <n v="6.75"/>
    <n v="18.659279840318"/>
    <n v="13.507438959460099"/>
    <n v="98.008589273912804"/>
    <n v="0"/>
    <n v="0"/>
    <n v="225.960972"/>
    <n v="210.44323736099901"/>
  </r>
  <r>
    <x v="24"/>
    <s v="Truck 6"/>
    <n v="66"/>
    <n v="66"/>
    <n v="6.3333333333333304"/>
    <n v="19.184488321735099"/>
    <n v="13.507438959460099"/>
    <n v="86.481116037993701"/>
    <n v="0"/>
    <n v="0"/>
    <n v="246.095977"/>
    <n v="224.79860211699901"/>
  </r>
  <r>
    <x v="24"/>
    <s v="Truck 7"/>
    <n v="73"/>
    <n v="73"/>
    <n v="5.9589041095890396"/>
    <n v="18.475948949573201"/>
    <n v="13.507438959460099"/>
    <n v="95.654689094785098"/>
    <n v="0"/>
    <n v="0"/>
    <n v="235.45665299999999"/>
    <n v="219.48650478899901"/>
  </r>
  <r>
    <x v="24"/>
    <s v="Truck 8"/>
    <n v="56"/>
    <n v="56"/>
    <n v="5.21428571428571"/>
    <n v="16.531694895591698"/>
    <n v="13.507438959460099"/>
    <n v="79.127126950001696"/>
    <n v="0"/>
    <n v="0"/>
    <n v="195.47362099999901"/>
    <n v="175.41067201799899"/>
  </r>
  <r>
    <x v="24"/>
    <s v="Truck 9"/>
    <n v="72"/>
    <n v="72"/>
    <n v="6.0416666666666599"/>
    <n v="18.212587728117299"/>
    <n v="13.507438959460099"/>
    <n v="99.578330113823199"/>
    <n v="0"/>
    <n v="0"/>
    <n v="234.20865499999999"/>
    <n v="216.98464140499999"/>
  </r>
  <r>
    <x v="24"/>
    <s v="Truck 10"/>
    <n v="73"/>
    <n v="73"/>
    <n v="6.0821917808219101"/>
    <n v="18.461826032842598"/>
    <n v="13.507438959460099"/>
    <n v="100.80209624806599"/>
    <n v="0"/>
    <n v="0"/>
    <n v="235.18837400000001"/>
    <n v="218.92416516199901"/>
  </r>
  <r>
    <x v="24"/>
    <s v="Truck 11"/>
    <n v="71"/>
    <n v="71"/>
    <n v="6"/>
    <n v="18.020308735336101"/>
    <n v="13.507438959460099"/>
    <n v="97.318813488412502"/>
    <n v="0"/>
    <n v="0"/>
    <n v="217.661385"/>
    <n v="201.095598359999"/>
  </r>
  <r>
    <x v="25"/>
    <s v="Truck 0"/>
    <n v="101"/>
    <n v="93"/>
    <n v="9.4950495049504902"/>
    <n v="20.2036345610138"/>
    <n v="16.416181453721101"/>
    <n v="107.17969027801099"/>
    <n v="0"/>
    <n v="0"/>
    <n v="240.99225199999901"/>
    <n v="217.81657029899901"/>
  </r>
  <r>
    <x v="25"/>
    <s v="Truck 1"/>
    <n v="97"/>
    <n v="97"/>
    <n v="8.7835051546391707"/>
    <n v="20.439237502649199"/>
    <n v="16.416181453721101"/>
    <n v="102.35344355697799"/>
    <n v="0"/>
    <n v="0"/>
    <n v="252.777275"/>
    <n v="233.47511719399901"/>
  </r>
  <r>
    <x v="25"/>
    <s v="Truck 2"/>
    <n v="111"/>
    <n v="103"/>
    <n v="9.4504504504504503"/>
    <n v="21.5314174300206"/>
    <n v="16.416181453721101"/>
    <n v="117.547031760011"/>
    <n v="0"/>
    <n v="0"/>
    <n v="277.26519899999897"/>
    <n v="260.87232682699897"/>
  </r>
  <r>
    <x v="25"/>
    <s v="Truck 3"/>
    <n v="111"/>
    <n v="111"/>
    <n v="11.306306306306301"/>
    <n v="21.116514252411999"/>
    <n v="16.416181453721101"/>
    <n v="116.156733655469"/>
    <n v="0"/>
    <n v="0"/>
    <n v="263.29749500000003"/>
    <n v="249.560873614999"/>
  </r>
  <r>
    <x v="26"/>
    <s v="Truck 0"/>
    <n v="83"/>
    <n v="83"/>
    <n v="7.5301204819277103"/>
    <n v="19.780897231610901"/>
    <n v="13.4652187528045"/>
    <n v="101.169994200574"/>
    <n v="0"/>
    <n v="0"/>
    <n v="245.414289"/>
    <n v="231.22831363199899"/>
  </r>
  <r>
    <x v="26"/>
    <s v="Truck 1"/>
    <n v="81"/>
    <n v="81"/>
    <n v="7.2098765432098704"/>
    <n v="18.984695111394199"/>
    <n v="13.4652187528045"/>
    <n v="98.536015874451394"/>
    <n v="0"/>
    <n v="0"/>
    <n v="218.474097999999"/>
    <n v="203.75260770399899"/>
  </r>
  <r>
    <x v="26"/>
    <s v="Truck 2"/>
    <n v="77"/>
    <n v="77"/>
    <n v="6.8961038961038899"/>
    <n v="18.927550986736701"/>
    <n v="13.4652187528045"/>
    <n v="100.12638255460401"/>
    <n v="0"/>
    <n v="0"/>
    <n v="269.00383199999999"/>
    <n v="254.20814327099899"/>
  </r>
  <r>
    <x v="26"/>
    <s v="Truck 3"/>
    <n v="72"/>
    <n v="72"/>
    <n v="6.1944444444444402"/>
    <n v="19.4813780822154"/>
    <n v="13.4652187528045"/>
    <n v="95.426129244322098"/>
    <n v="0"/>
    <n v="0"/>
    <n v="240.13144899999901"/>
    <n v="220.23442183199899"/>
  </r>
  <r>
    <x v="26"/>
    <s v="Truck 4"/>
    <n v="76"/>
    <n v="76"/>
    <n v="6.7631578947368398"/>
    <n v="18.351603805444299"/>
    <n v="13.4652187528045"/>
    <n v="97.915354109947799"/>
    <n v="0"/>
    <n v="0"/>
    <n v="220.571023"/>
    <n v="203.054204088999"/>
  </r>
  <r>
    <x v="26"/>
    <s v="Truck 5"/>
    <n v="72"/>
    <n v="72"/>
    <n v="7.0416666666666599"/>
    <n v="18.318590718445002"/>
    <n v="13.4652187528045"/>
    <n v="91.148577513775805"/>
    <n v="0"/>
    <n v="0"/>
    <n v="248.273923"/>
    <n v="232.34486412599901"/>
  </r>
  <r>
    <x v="26"/>
    <s v="Truck 6"/>
    <n v="65"/>
    <n v="65"/>
    <n v="5.9076923076923"/>
    <n v="17.6493585193885"/>
    <n v="13.4652187528045"/>
    <n v="87.205958325586593"/>
    <n v="0"/>
    <n v="0"/>
    <n v="232.597734"/>
    <n v="214.547399861999"/>
  </r>
  <r>
    <x v="26"/>
    <s v="Truck 7"/>
    <n v="73"/>
    <n v="73"/>
    <n v="5.9589041095890396"/>
    <n v="18.318487906443298"/>
    <n v="13.4652187528045"/>
    <n v="95.8804112974628"/>
    <n v="0"/>
    <n v="0"/>
    <n v="217.88099299999999"/>
    <n v="201.75368447899899"/>
  </r>
  <r>
    <x v="26"/>
    <s v="Truck 8"/>
    <n v="65"/>
    <n v="65"/>
    <n v="5.4"/>
    <n v="19.331998150932801"/>
    <n v="13.4652187528045"/>
    <n v="92.671168441595"/>
    <n v="0"/>
    <n v="0"/>
    <n v="246.82731799999999"/>
    <n v="222.790500165"/>
  </r>
  <r>
    <x v="26"/>
    <s v="Truck 9"/>
    <n v="72"/>
    <n v="72"/>
    <n v="6.0416666666666599"/>
    <n v="18.464610712616299"/>
    <n v="13.4652187528045"/>
    <n v="99.739235937790994"/>
    <n v="0"/>
    <n v="0"/>
    <n v="242.958832"/>
    <n v="226.414628265999"/>
  </r>
  <r>
    <x v="26"/>
    <s v="Truck 10"/>
    <n v="73"/>
    <n v="73"/>
    <n v="6.1643835616438301"/>
    <n v="18.707804322076299"/>
    <n v="13.4652187528045"/>
    <n v="99.696155660490604"/>
    <n v="0"/>
    <n v="0"/>
    <n v="235.72820300000001"/>
    <n v="219.724475458999"/>
  </r>
  <r>
    <x v="26"/>
    <s v="Truck 11"/>
    <n v="72"/>
    <n v="72"/>
    <n v="5.9166666666666599"/>
    <n v="18.104471857951399"/>
    <n v="13.4652187528045"/>
    <n v="98.493429580586707"/>
    <n v="0"/>
    <n v="0"/>
    <n v="229.800522"/>
    <n v="213.18185798099901"/>
  </r>
  <r>
    <x v="27"/>
    <s v="Truck 0"/>
    <n v="102"/>
    <n v="94"/>
    <n v="9.5784313725490193"/>
    <n v="20.2378813210643"/>
    <n v="16.354420133241501"/>
    <n v="107.495175770891"/>
    <n v="0"/>
    <n v="0"/>
    <n v="242.123446"/>
    <n v="219.13396814599901"/>
  </r>
  <r>
    <x v="27"/>
    <s v="Truck 1"/>
    <n v="94"/>
    <n v="94"/>
    <n v="8.9361702127659495"/>
    <n v="20.5482009458363"/>
    <n v="16.354420133241501"/>
    <n v="99.473057128951197"/>
    <n v="0"/>
    <n v="0"/>
    <n v="248.28569199999899"/>
    <n v="229.05426013099901"/>
  </r>
  <r>
    <x v="27"/>
    <s v="Truck 2"/>
    <n v="111"/>
    <n v="103"/>
    <n v="9.5945945945945894"/>
    <n v="21.686498235730902"/>
    <n v="16.354420133241501"/>
    <n v="117.222001152046"/>
    <n v="0"/>
    <n v="0"/>
    <n v="277.94869999999901"/>
    <n v="261.96865268699901"/>
  </r>
  <r>
    <x v="27"/>
    <s v="Truck 3"/>
    <n v="113"/>
    <n v="113"/>
    <n v="11.4424778761061"/>
    <n v="21.139756287982099"/>
    <n v="16.354420133241501"/>
    <n v="117.37910954563201"/>
    <n v="0"/>
    <n v="0"/>
    <n v="265.52580399999999"/>
    <n v="251.643203421999"/>
  </r>
  <r>
    <x v="28"/>
    <s v="Truck 0"/>
    <n v="101"/>
    <n v="101"/>
    <n v="9.6237623762376199"/>
    <n v="20.967110286330101"/>
    <n v="16.3396382182008"/>
    <n v="106.145762954674"/>
    <n v="0"/>
    <n v="0"/>
    <n v="259.06797899999998"/>
    <n v="235.89175950499899"/>
  </r>
  <r>
    <x v="28"/>
    <s v="Truck 1"/>
    <n v="94"/>
    <n v="94"/>
    <n v="8.9361702127659495"/>
    <n v="20.580073307186801"/>
    <n v="16.3396382182008"/>
    <n v="99.987501468052997"/>
    <n v="0"/>
    <n v="0"/>
    <n v="249.142912"/>
    <n v="229.14689957599899"/>
  </r>
  <r>
    <x v="28"/>
    <s v="Truck 2"/>
    <n v="112"/>
    <n v="104"/>
    <n v="9.52678571428571"/>
    <n v="21.636438891085199"/>
    <n v="16.3396382182008"/>
    <n v="117.950145642899"/>
    <n v="0"/>
    <n v="0"/>
    <n v="278.07567099999898"/>
    <n v="262.074165587999"/>
  </r>
  <r>
    <x v="28"/>
    <s v="Truck 3"/>
    <n v="113"/>
    <n v="113"/>
    <n v="11.522123893805301"/>
    <n v="21.107215301555701"/>
    <n v="16.3396382182008"/>
    <n v="117.086821825795"/>
    <n v="0"/>
    <n v="0"/>
    <n v="259.43330800000001"/>
    <n v="246.14398501899899"/>
  </r>
  <r>
    <x v="29"/>
    <s v="Truck 0"/>
    <n v="102"/>
    <n v="94"/>
    <n v="9.5784313725490193"/>
    <n v="20.279505761720198"/>
    <n v="16.301806170881498"/>
    <n v="107.064597665815"/>
    <n v="0"/>
    <n v="0"/>
    <n v="245.65993399999999"/>
    <n v="222.570292934999"/>
  </r>
  <r>
    <x v="29"/>
    <s v="Truck 1"/>
    <n v="94"/>
    <n v="94"/>
    <n v="8.9361702127659495"/>
    <n v="20.574124645396299"/>
    <n v="16.301806170881498"/>
    <n v="98.937532664254306"/>
    <n v="0"/>
    <n v="0"/>
    <n v="249.168046"/>
    <n v="229.75595964799899"/>
  </r>
  <r>
    <x v="29"/>
    <s v="Truck 2"/>
    <n v="112"/>
    <n v="104"/>
    <n v="9.52678571428571"/>
    <n v="21.686048781125599"/>
    <n v="16.301806170881498"/>
    <n v="117.90576827795201"/>
    <n v="0"/>
    <n v="0"/>
    <n v="278.07567099999898"/>
    <n v="262.074165587999"/>
  </r>
  <r>
    <x v="29"/>
    <s v="Truck 3"/>
    <n v="112"/>
    <n v="112"/>
    <n v="11.3660714285714"/>
    <n v="20.716721348185501"/>
    <n v="16.301806170881498"/>
    <n v="116.240868005778"/>
    <n v="0"/>
    <n v="0"/>
    <n v="263.34402399999999"/>
    <n v="249.73258364199901"/>
  </r>
  <r>
    <x v="30"/>
    <s v="Truck 0"/>
    <n v="102"/>
    <n v="94"/>
    <n v="9.4607843137254903"/>
    <n v="20.363963547227801"/>
    <n v="16.379294545216901"/>
    <n v="108.236374792362"/>
    <n v="0"/>
    <n v="0"/>
    <n v="246.141344"/>
    <n v="222.808558419999"/>
  </r>
  <r>
    <x v="30"/>
    <s v="Truck 1"/>
    <n v="95"/>
    <n v="95"/>
    <n v="8.8736842105263101"/>
    <n v="20.610401521024901"/>
    <n v="16.379294545216901"/>
    <n v="99.692947862516803"/>
    <n v="0"/>
    <n v="0"/>
    <n v="250.458607"/>
    <n v="230.82841583899901"/>
  </r>
  <r>
    <x v="30"/>
    <s v="Truck 2"/>
    <n v="112"/>
    <n v="104"/>
    <n v="9.52678571428571"/>
    <n v="21.713175541006201"/>
    <n v="16.379294545216901"/>
    <n v="117.921095279474"/>
    <n v="0"/>
    <n v="0"/>
    <n v="278.07567099999898"/>
    <n v="262.074165587999"/>
  </r>
  <r>
    <x v="30"/>
    <s v="Truck 3"/>
    <n v="111"/>
    <n v="111"/>
    <n v="11.2162162162162"/>
    <n v="20.569475050035901"/>
    <n v="16.379294545216901"/>
    <n v="116.39053478650401"/>
    <n v="0"/>
    <n v="0"/>
    <n v="257.88482599999998"/>
    <n v="244.175120077999"/>
  </r>
  <r>
    <x v="31"/>
    <s v="Truck 0"/>
    <n v="83"/>
    <n v="83"/>
    <n v="7.5301204819277103"/>
    <n v="19.5261482321357"/>
    <n v="13.4874275136163"/>
    <n v="101.48367081593"/>
    <n v="0"/>
    <n v="0"/>
    <n v="245.52427800000001"/>
    <n v="231.326444828999"/>
  </r>
  <r>
    <x v="31"/>
    <s v="Truck 1"/>
    <n v="82"/>
    <n v="82"/>
    <n v="7.2317073170731696"/>
    <n v="19.2367330609733"/>
    <n v="13.4874275136163"/>
    <n v="99.427826814845503"/>
    <n v="0"/>
    <n v="0"/>
    <n v="227.49435399999999"/>
    <n v="212.935228311999"/>
  </r>
  <r>
    <x v="31"/>
    <s v="Truck 2"/>
    <n v="77"/>
    <n v="77"/>
    <n v="6.8961038961038899"/>
    <n v="19.181829629699401"/>
    <n v="13.4874275136163"/>
    <n v="99.843327390440805"/>
    <n v="0"/>
    <n v="0"/>
    <n v="263.623807"/>
    <n v="248.665443960999"/>
  </r>
  <r>
    <x v="31"/>
    <s v="Truck 3"/>
    <n v="71"/>
    <n v="71"/>
    <n v="6.1549295774647801"/>
    <n v="19.689163382919698"/>
    <n v="13.4874275136163"/>
    <n v="93.348592620671695"/>
    <n v="0"/>
    <n v="0"/>
    <n v="239.74311799999899"/>
    <n v="219.98735017899901"/>
  </r>
  <r>
    <x v="31"/>
    <s v="Truck 4"/>
    <n v="78"/>
    <n v="78"/>
    <n v="6.9615384615384599"/>
    <n v="18.711921119011901"/>
    <n v="13.4874275136163"/>
    <n v="99.972505162260902"/>
    <n v="0"/>
    <n v="0"/>
    <n v="221.222523"/>
    <n v="205.131420953999"/>
  </r>
  <r>
    <x v="31"/>
    <s v="Truck 5"/>
    <n v="72"/>
    <n v="72"/>
    <n v="6.9583333333333304"/>
    <n v="18.7652245438526"/>
    <n v="13.4874275136163"/>
    <n v="90.712384383817593"/>
    <n v="0"/>
    <n v="0"/>
    <n v="254.254346"/>
    <n v="238.39889775999899"/>
  </r>
  <r>
    <x v="31"/>
    <s v="Truck 6"/>
    <n v="66"/>
    <n v="66"/>
    <n v="5.9545454545454497"/>
    <n v="17.7762393676601"/>
    <n v="13.4874275136163"/>
    <n v="89.880246718977205"/>
    <n v="0"/>
    <n v="0"/>
    <n v="233.02750800000001"/>
    <n v="215.097038198999"/>
  </r>
  <r>
    <x v="31"/>
    <s v="Truck 7"/>
    <n v="72"/>
    <n v="72"/>
    <n v="5.9166666666666599"/>
    <n v="18.055059776422301"/>
    <n v="13.4874275136163"/>
    <n v="95.027555155221094"/>
    <n v="0"/>
    <n v="0"/>
    <n v="213.97679400000001"/>
    <n v="197.09590387199901"/>
  </r>
  <r>
    <x v="31"/>
    <s v="Truck 8"/>
    <n v="65"/>
    <n v="65"/>
    <n v="5.4153846153846104"/>
    <n v="19.2417689100918"/>
    <n v="13.4874275136163"/>
    <n v="91.685002631756106"/>
    <n v="0"/>
    <n v="0"/>
    <n v="243.310316"/>
    <n v="220.46800859499899"/>
  </r>
  <r>
    <x v="31"/>
    <s v="Truck 9"/>
    <n v="73"/>
    <n v="73"/>
    <n v="6.0821917808219101"/>
    <n v="18.556274681040399"/>
    <n v="13.4874275136163"/>
    <n v="100.05875191837499"/>
    <n v="0"/>
    <n v="0"/>
    <n v="242.855313999999"/>
    <n v="226.68351920199899"/>
  </r>
  <r>
    <x v="31"/>
    <s v="Truck 10"/>
    <n v="72"/>
    <n v="72"/>
    <n v="6.0416666666666599"/>
    <n v="18.305324082933801"/>
    <n v="13.4874275136163"/>
    <n v="98.819820409440297"/>
    <n v="0"/>
    <n v="0"/>
    <n v="230.916459"/>
    <n v="214.34751728699899"/>
  </r>
  <r>
    <x v="31"/>
    <s v="Truck 11"/>
    <n v="73"/>
    <n v="73"/>
    <n v="5.9589041095890396"/>
    <n v="18.612304124667599"/>
    <n v="13.4874275136163"/>
    <n v="99.659082149267604"/>
    <n v="0"/>
    <n v="0"/>
    <n v="229.407049"/>
    <n v="212.96403648699899"/>
  </r>
  <r>
    <x v="32"/>
    <s v="Truck 0"/>
    <n v="101"/>
    <n v="93"/>
    <n v="9.4950495049504902"/>
    <n v="20.368416016828402"/>
    <n v="16.387479700127201"/>
    <n v="106.167039905301"/>
    <n v="0"/>
    <n v="0"/>
    <n v="246.29375999999999"/>
    <n v="222.485892747999"/>
  </r>
  <r>
    <x v="32"/>
    <s v="Truck 1"/>
    <n v="94"/>
    <n v="94"/>
    <n v="8.9361702127659495"/>
    <n v="20.450915505135601"/>
    <n v="16.387479700127201"/>
    <n v="99.775247436768893"/>
    <n v="0"/>
    <n v="0"/>
    <n v="249.168046"/>
    <n v="229.75595964799899"/>
  </r>
  <r>
    <x v="32"/>
    <s v="Truck 2"/>
    <n v="112"/>
    <n v="104"/>
    <n v="9.52678571428571"/>
    <n v="21.559175772385199"/>
    <n v="16.387479700127201"/>
    <n v="118.51211777849301"/>
    <n v="0"/>
    <n v="0"/>
    <n v="277.40083999999899"/>
    <n v="261.41585064999902"/>
  </r>
  <r>
    <x v="32"/>
    <s v="Truck 3"/>
    <n v="112"/>
    <n v="112"/>
    <n v="11.3660714285714"/>
    <n v="20.715063325023699"/>
    <n v="16.387479700127201"/>
    <n v="118.00754678286999"/>
    <n v="0"/>
    <n v="0"/>
    <n v="263.34402399999999"/>
    <n v="249.73258364199901"/>
  </r>
  <r>
    <x v="33"/>
    <s v="Truck 0"/>
    <n v="102"/>
    <n v="94"/>
    <n v="9.5784313725490193"/>
    <n v="20.5305872854581"/>
    <n v="16.297614021400999"/>
    <n v="107.215023230395"/>
    <n v="0"/>
    <n v="0"/>
    <n v="245.65993399999999"/>
    <n v="222.570292934999"/>
  </r>
  <r>
    <x v="33"/>
    <s v="Truck 1"/>
    <n v="94"/>
    <n v="94"/>
    <n v="8.9361702127659495"/>
    <n v="20.365118775508101"/>
    <n v="16.297614021400999"/>
    <n v="97.819011845426203"/>
    <n v="0"/>
    <n v="0"/>
    <n v="249.168046"/>
    <n v="229.75595964799899"/>
  </r>
  <r>
    <x v="33"/>
    <s v="Truck 2"/>
    <n v="112"/>
    <n v="104"/>
    <n v="9.52678571428571"/>
    <n v="21.667332064751701"/>
    <n v="16.297614021400999"/>
    <n v="118.236301620657"/>
    <n v="0"/>
    <n v="0"/>
    <n v="278.07567099999898"/>
    <n v="262.074165587999"/>
  </r>
  <r>
    <x v="33"/>
    <s v="Truck 3"/>
    <n v="112"/>
    <n v="112"/>
    <n v="11.3660714285714"/>
    <n v="20.837832476480301"/>
    <n v="16.297614021400999"/>
    <n v="116.765241881347"/>
    <n v="0"/>
    <n v="0"/>
    <n v="263.34402399999999"/>
    <n v="249.73258364199901"/>
  </r>
  <r>
    <x v="34"/>
    <s v="Truck 0"/>
    <n v="102"/>
    <n v="94"/>
    <n v="9.5784313725490193"/>
    <n v="20.291880016770602"/>
    <n v="16.348354121460499"/>
    <n v="107.45242551059501"/>
    <n v="0"/>
    <n v="0"/>
    <n v="245.65993399999999"/>
    <n v="222.570292934999"/>
  </r>
  <r>
    <x v="34"/>
    <s v="Truck 1"/>
    <n v="94"/>
    <n v="94"/>
    <n v="8.9361702127659495"/>
    <n v="20.253108151984701"/>
    <n v="16.348354121460499"/>
    <n v="99.641939613911305"/>
    <n v="0"/>
    <n v="0"/>
    <n v="249.168046"/>
    <n v="229.75595964799899"/>
  </r>
  <r>
    <x v="34"/>
    <s v="Truck 2"/>
    <n v="112"/>
    <n v="104"/>
    <n v="9.52678571428571"/>
    <n v="21.7356265572189"/>
    <n v="16.348354121460499"/>
    <n v="118.143125817156"/>
    <n v="0"/>
    <n v="0"/>
    <n v="278.07567099999898"/>
    <n v="262.074165587999"/>
  </r>
  <r>
    <x v="34"/>
    <s v="Truck 3"/>
    <n v="111"/>
    <n v="111"/>
    <n v="11.306306306306301"/>
    <n v="20.512095491638"/>
    <n v="16.348354121460499"/>
    <n v="116.168070337773"/>
    <n v="0"/>
    <n v="0"/>
    <n v="257.896748"/>
    <n v="244.73450056399901"/>
  </r>
  <r>
    <x v="35"/>
    <s v="Truck 0"/>
    <n v="95"/>
    <n v="95"/>
    <n v="10.5473684210526"/>
    <n v="18.8715978322323"/>
    <n v="17.2199173968034"/>
    <n v="111.202273522844"/>
    <n v="0"/>
    <n v="0"/>
    <n v="223.388262"/>
    <n v="209.30826372599901"/>
  </r>
  <r>
    <x v="35"/>
    <s v="Truck 1"/>
    <n v="93"/>
    <n v="90"/>
    <n v="8.4086021505376305"/>
    <n v="20.2605693943615"/>
    <n v="17.2199173968034"/>
    <n v="117.374832833119"/>
    <n v="0"/>
    <n v="0"/>
    <n v="261.25220299999899"/>
    <n v="242.28868226699899"/>
  </r>
  <r>
    <x v="35"/>
    <s v="Truck 2"/>
    <n v="82"/>
    <n v="82"/>
    <n v="9.7560975609756095"/>
    <n v="19.883308598580101"/>
    <n v="17.2199173968034"/>
    <n v="98.510788297448997"/>
    <n v="0"/>
    <n v="0"/>
    <n v="283.15730200000002"/>
    <n v="262.871943157999"/>
  </r>
  <r>
    <x v="35"/>
    <s v="Truck 3"/>
    <n v="100"/>
    <n v="100"/>
    <n v="10.87"/>
    <n v="20.037936833333401"/>
    <n v="17.2199173968034"/>
    <n v="116.795555519581"/>
    <n v="0"/>
    <n v="0"/>
    <n v="258.75201099999998"/>
    <n v="246.41016872799901"/>
  </r>
  <r>
    <x v="35"/>
    <s v="Truck 4"/>
    <n v="101"/>
    <n v="101"/>
    <n v="11.1485148514851"/>
    <n v="19.823386406434398"/>
    <n v="17.2199173968034"/>
    <n v="117.64201426681601"/>
    <n v="0"/>
    <n v="0"/>
    <n v="266.53743200000002"/>
    <n v="254.13772754600001"/>
  </r>
  <r>
    <x v="35"/>
    <s v="Truck 5"/>
    <n v="94"/>
    <n v="91"/>
    <n v="8.6702127659574408"/>
    <n v="20.499730434800401"/>
    <n v="17.2199173968034"/>
    <n v="118.92706262230099"/>
    <n v="0"/>
    <n v="0"/>
    <n v="276.53891599999997"/>
    <n v="256.52294294099897"/>
  </r>
  <r>
    <x v="35"/>
    <s v="Truck 6"/>
    <n v="75"/>
    <n v="75"/>
    <n v="9.0666666666666593"/>
    <n v="18.782460680845599"/>
    <n v="17.2199173968034"/>
    <n v="98.232640086804295"/>
    <n v="0"/>
    <n v="0"/>
    <n v="269.71474799999999"/>
    <n v="251.13977757699899"/>
  </r>
  <r>
    <x v="35"/>
    <s v="Truck 7"/>
    <n v="94"/>
    <n v="94"/>
    <n v="10.0744680851063"/>
    <n v="19.3348608793072"/>
    <n v="17.2199173968034"/>
    <n v="116.750537484864"/>
    <n v="0"/>
    <n v="0"/>
    <n v="260.034629"/>
    <n v="248.491935691999"/>
  </r>
  <r>
    <x v="36"/>
    <s v="Truck 0"/>
    <n v="95"/>
    <n v="95"/>
    <n v="10.5473684210526"/>
    <n v="18.990991662757999"/>
    <n v="17.246718745243101"/>
    <n v="111.60206450254501"/>
    <n v="0"/>
    <n v="0"/>
    <n v="228.54020800000001"/>
    <n v="214.18428186399899"/>
  </r>
  <r>
    <x v="36"/>
    <s v="Truck 1"/>
    <n v="94"/>
    <n v="91"/>
    <n v="8.4468085106382897"/>
    <n v="20.505946945715898"/>
    <n v="17.246718745243101"/>
    <n v="118.70577617007299"/>
    <n v="0"/>
    <n v="0"/>
    <n v="270.621793999999"/>
    <n v="252.57140347499899"/>
  </r>
  <r>
    <x v="36"/>
    <s v="Truck 2"/>
    <n v="83"/>
    <n v="83"/>
    <n v="9.7831325301204792"/>
    <n v="20.207905410397299"/>
    <n v="17.246718745243101"/>
    <n v="99.491749949229003"/>
    <n v="0"/>
    <n v="0"/>
    <n v="289.31320499999998"/>
    <n v="268.621312146999"/>
  </r>
  <r>
    <x v="36"/>
    <s v="Truck 3"/>
    <n v="100"/>
    <n v="100"/>
    <n v="10.87"/>
    <n v="19.7103887549655"/>
    <n v="17.246718745243101"/>
    <n v="117.005369782827"/>
    <n v="0"/>
    <n v="0"/>
    <n v="248.56340800000001"/>
    <n v="236.483081524"/>
  </r>
  <r>
    <x v="36"/>
    <s v="Truck 4"/>
    <n v="100"/>
    <n v="100"/>
    <n v="10.87"/>
    <n v="19.797519652905098"/>
    <n v="17.246718745243101"/>
    <n v="116.009362861385"/>
    <n v="0"/>
    <n v="0"/>
    <n v="266.25892800000003"/>
    <n v="253.472610293999"/>
  </r>
  <r>
    <x v="36"/>
    <s v="Truck 5"/>
    <n v="95"/>
    <n v="92"/>
    <n v="8.7157894736842092"/>
    <n v="20.559310704020501"/>
    <n v="17.246718745243101"/>
    <n v="119.24942815789601"/>
    <n v="0"/>
    <n v="0"/>
    <n v="282.46823000000001"/>
    <n v="261.93346475999903"/>
  </r>
  <r>
    <x v="36"/>
    <s v="Truck 6"/>
    <n v="86"/>
    <n v="83"/>
    <n v="8.6976744186046506"/>
    <n v="21.598777020020101"/>
    <n v="17.246718745243101"/>
    <n v="116.801253119832"/>
    <n v="0"/>
    <n v="0"/>
    <n v="293.22097400000001"/>
    <n v="272.53581533999898"/>
  </r>
  <r>
    <x v="36"/>
    <s v="Truck 7"/>
    <n v="92"/>
    <n v="92"/>
    <n v="9.9130434782608692"/>
    <n v="19.060429067408599"/>
    <n v="17.246718745243101"/>
    <n v="115.21108895409699"/>
    <n v="0"/>
    <n v="0"/>
    <n v="254.72377900000001"/>
    <n v="242.96633417199899"/>
  </r>
  <r>
    <x v="37"/>
    <s v="Truck 0"/>
    <n v="94"/>
    <n v="94"/>
    <n v="10.531914893617"/>
    <n v="18.7358943301975"/>
    <n v="16.897369070324999"/>
    <n v="110.59440353875399"/>
    <n v="0"/>
    <n v="0"/>
    <n v="221.802437"/>
    <n v="207.21228776599901"/>
  </r>
  <r>
    <x v="37"/>
    <s v="Truck 1"/>
    <n v="92"/>
    <n v="91"/>
    <n v="8.3695652173912993"/>
    <n v="20.0280276986838"/>
    <n v="16.897369070324999"/>
    <n v="115.13016607261901"/>
    <n v="0"/>
    <n v="0"/>
    <n v="251.001735999999"/>
    <n v="232.342787950999"/>
  </r>
  <r>
    <x v="37"/>
    <s v="Truck 2"/>
    <n v="83"/>
    <n v="83"/>
    <n v="9.7831325301204792"/>
    <n v="19.798583522401898"/>
    <n v="16.897369070324999"/>
    <n v="100.228130722378"/>
    <n v="0"/>
    <n v="0"/>
    <n v="282.93158299999999"/>
    <n v="262.32842067599898"/>
  </r>
  <r>
    <x v="37"/>
    <s v="Truck 3"/>
    <n v="101"/>
    <n v="98"/>
    <n v="10.7722772277227"/>
    <n v="20.880285000118501"/>
    <n v="16.897369070324999"/>
    <n v="119.305233303287"/>
    <n v="0"/>
    <n v="0"/>
    <n v="266.48837500000002"/>
    <n v="250.01584553499899"/>
  </r>
  <r>
    <x v="37"/>
    <s v="Truck 4"/>
    <n v="100"/>
    <n v="100"/>
    <n v="10.87"/>
    <n v="19.769052393820601"/>
    <n v="16.897369070324999"/>
    <n v="116.483504142028"/>
    <n v="0"/>
    <n v="0"/>
    <n v="269.90985999999998"/>
    <n v="256.93240310499903"/>
  </r>
  <r>
    <x v="37"/>
    <s v="Truck 5"/>
    <n v="96"/>
    <n v="93"/>
    <n v="8.75"/>
    <n v="20.687861425158498"/>
    <n v="16.897369070324999"/>
    <n v="119.968499564982"/>
    <n v="0"/>
    <n v="0"/>
    <n v="285.74740500000001"/>
    <n v="265.42149852999898"/>
  </r>
  <r>
    <x v="37"/>
    <s v="Truck 6"/>
    <n v="74"/>
    <n v="74"/>
    <n v="9.0540540540540508"/>
    <n v="18.870604735495998"/>
    <n v="16.897369070324999"/>
    <n v="96.898489226420494"/>
    <n v="0"/>
    <n v="0"/>
    <n v="265.13805400000001"/>
    <n v="246.80506129999901"/>
  </r>
  <r>
    <x v="37"/>
    <s v="Truck 7"/>
    <n v="94"/>
    <n v="94"/>
    <n v="10.0744680851063"/>
    <n v="19.208071850165901"/>
    <n v="16.897369070324999"/>
    <n v="116.95213415675499"/>
    <n v="0"/>
    <n v="0"/>
    <n v="272.91939500000001"/>
    <n v="261.50687563999998"/>
  </r>
  <r>
    <x v="38"/>
    <s v="Truck 0"/>
    <n v="96"/>
    <n v="96"/>
    <n v="10.6458333333333"/>
    <n v="19.138007433219201"/>
    <n v="17.355507781478501"/>
    <n v="112.47866881512699"/>
    <n v="0"/>
    <n v="0"/>
    <n v="235.651602"/>
    <n v="221.00614940099899"/>
  </r>
  <r>
    <x v="38"/>
    <s v="Truck 1"/>
    <n v="94"/>
    <n v="91"/>
    <n v="8.4468085106382897"/>
    <n v="20.467012774832799"/>
    <n v="17.355507781478501"/>
    <n v="118.545045080035"/>
    <n v="0"/>
    <n v="0"/>
    <n v="270.38524499999897"/>
    <n v="252.25972108299899"/>
  </r>
  <r>
    <x v="38"/>
    <s v="Truck 2"/>
    <n v="83"/>
    <n v="83"/>
    <n v="9.7831325301204792"/>
    <n v="20.0605350687906"/>
    <n v="17.355507781478501"/>
    <n v="99.469646391495601"/>
    <n v="0"/>
    <n v="0"/>
    <n v="282.24065100000001"/>
    <n v="261.87317819200001"/>
  </r>
  <r>
    <x v="38"/>
    <s v="Truck 3"/>
    <n v="100"/>
    <n v="100"/>
    <n v="10.87"/>
    <n v="19.684237135838401"/>
    <n v="17.355507781478501"/>
    <n v="117.334323368534"/>
    <n v="0"/>
    <n v="0"/>
    <n v="250.48226700000001"/>
    <n v="238.10318901599899"/>
  </r>
  <r>
    <x v="38"/>
    <s v="Truck 4"/>
    <n v="99"/>
    <n v="99"/>
    <n v="10.858585858585799"/>
    <n v="19.6103635019164"/>
    <n v="17.355507781478501"/>
    <n v="116.175835761844"/>
    <n v="0"/>
    <n v="0"/>
    <n v="250.09237899999999"/>
    <n v="237.564521181999"/>
  </r>
  <r>
    <x v="38"/>
    <s v="Truck 5"/>
    <n v="96"/>
    <n v="93"/>
    <n v="8.75"/>
    <n v="20.743779432205798"/>
    <n v="17.355507781478501"/>
    <n v="120.457089177855"/>
    <n v="0"/>
    <n v="0"/>
    <n v="283.61234899999999"/>
    <n v="264.03228364199902"/>
  </r>
  <r>
    <x v="38"/>
    <s v="Truck 6"/>
    <n v="85"/>
    <n v="82"/>
    <n v="8.6588235294117606"/>
    <n v="21.1170854414414"/>
    <n v="17.355507781478501"/>
    <n v="115.436127332617"/>
    <n v="0"/>
    <n v="0"/>
    <n v="292.12192900000002"/>
    <n v="271.41698752999901"/>
  </r>
  <r>
    <x v="38"/>
    <s v="Truck 7"/>
    <n v="105"/>
    <n v="102"/>
    <n v="9.5428571428571392"/>
    <n v="21.746923235985498"/>
    <n v="17.355507781478501"/>
    <n v="137.30068427232899"/>
    <n v="0"/>
    <n v="0"/>
    <n v="302.91860300000002"/>
    <n v="288.929918429"/>
  </r>
  <r>
    <x v="39"/>
    <s v="Truck 0"/>
    <n v="95"/>
    <n v="95"/>
    <n v="10.5473684210526"/>
    <n v="18.843466564004402"/>
    <n v="17.228884331985199"/>
    <n v="112.561765054204"/>
    <n v="0"/>
    <n v="0"/>
    <n v="222.91917000000001"/>
    <n v="208.96375067999901"/>
  </r>
  <r>
    <x v="39"/>
    <s v="Truck 1"/>
    <n v="93"/>
    <n v="90"/>
    <n v="8.4086021505376305"/>
    <n v="20.325405377927499"/>
    <n v="17.228884331985199"/>
    <n v="117.02339604071901"/>
    <n v="0"/>
    <n v="0"/>
    <n v="265.859071999999"/>
    <n v="246.978474908999"/>
  </r>
  <r>
    <x v="39"/>
    <s v="Truck 2"/>
    <n v="83"/>
    <n v="83"/>
    <n v="9.7831325301204792"/>
    <n v="20.220064343650201"/>
    <n v="17.228884331985199"/>
    <n v="99.922114450422995"/>
    <n v="0"/>
    <n v="0"/>
    <n v="288.253332"/>
    <n v="267.59650601799899"/>
  </r>
  <r>
    <x v="39"/>
    <s v="Truck 3"/>
    <n v="100"/>
    <n v="100"/>
    <n v="10.87"/>
    <n v="19.648673011231899"/>
    <n v="17.228884331985199"/>
    <n v="117.30196861818401"/>
    <n v="0"/>
    <n v="0"/>
    <n v="258.51603299999999"/>
    <n v="246.32484461399901"/>
  </r>
  <r>
    <x v="39"/>
    <s v="Truck 4"/>
    <n v="99"/>
    <n v="99"/>
    <n v="10.858585858585799"/>
    <n v="19.640123957523599"/>
    <n v="17.228884331985199"/>
    <n v="116.267031830279"/>
    <n v="0"/>
    <n v="0"/>
    <n v="262.589473"/>
    <n v="250.35379066899901"/>
  </r>
  <r>
    <x v="39"/>
    <s v="Truck 5"/>
    <n v="95"/>
    <n v="93"/>
    <n v="8.7157894736842092"/>
    <n v="20.7052344458283"/>
    <n v="17.228884331985199"/>
    <n v="118.83673262558"/>
    <n v="0"/>
    <n v="0"/>
    <n v="278.70268600000003"/>
    <n v="259.20728417299898"/>
  </r>
  <r>
    <x v="39"/>
    <s v="Truck 6"/>
    <n v="75"/>
    <n v="75"/>
    <n v="9.24"/>
    <n v="18.894740588033301"/>
    <n v="17.228884331985199"/>
    <n v="97.431704563102599"/>
    <n v="0"/>
    <n v="0"/>
    <n v="265.62888800000002"/>
    <n v="247.594108196999"/>
  </r>
  <r>
    <x v="39"/>
    <s v="Truck 7"/>
    <n v="93"/>
    <n v="93"/>
    <n v="9.9354838709677402"/>
    <n v="19.042962387254899"/>
    <n v="17.228884331985199"/>
    <n v="116.557272080739"/>
    <n v="0"/>
    <n v="0"/>
    <n v="258.83186999999998"/>
    <n v="246.874521149999"/>
  </r>
  <r>
    <x v="40"/>
    <s v="Truck 0"/>
    <n v="95"/>
    <n v="95"/>
    <n v="10.5473684210526"/>
    <n v="18.734766846827799"/>
    <n v="17.196725137157301"/>
    <n v="111.63429971855101"/>
    <n v="0"/>
    <n v="0"/>
    <n v="225.12178399999999"/>
    <n v="210.74530153699899"/>
  </r>
  <r>
    <x v="40"/>
    <s v="Truck 1"/>
    <n v="94"/>
    <n v="91"/>
    <n v="8.4468085106382897"/>
    <n v="20.483952427826999"/>
    <n v="17.196725137157301"/>
    <n v="118.265469159563"/>
    <n v="0"/>
    <n v="0"/>
    <n v="270.12284599999902"/>
    <n v="251.037426530999"/>
  </r>
  <r>
    <x v="40"/>
    <s v="Truck 2"/>
    <n v="82"/>
    <n v="82"/>
    <n v="9.7560975609756095"/>
    <n v="20.010336087458999"/>
    <n v="17.196725137157301"/>
    <n v="98.631127033056998"/>
    <n v="0"/>
    <n v="0"/>
    <n v="286.96707300000003"/>
    <n v="266.28709435599899"/>
  </r>
  <r>
    <x v="40"/>
    <s v="Truck 3"/>
    <n v="100"/>
    <n v="100"/>
    <n v="10.87"/>
    <n v="19.679526204572699"/>
    <n v="17.196725137157301"/>
    <n v="116.539516225724"/>
    <n v="0"/>
    <n v="0"/>
    <n v="258.51603299999999"/>
    <n v="246.32484461399901"/>
  </r>
  <r>
    <x v="40"/>
    <s v="Truck 4"/>
    <n v="100"/>
    <n v="100"/>
    <n v="10.87"/>
    <n v="20.139252316360501"/>
    <n v="17.196725137157301"/>
    <n v="116.525803881706"/>
    <n v="0"/>
    <n v="0"/>
    <n v="264.68807700000002"/>
    <n v="252.890485955999"/>
  </r>
  <r>
    <x v="40"/>
    <s v="Truck 5"/>
    <n v="95"/>
    <n v="92"/>
    <n v="8.7052631578947306"/>
    <n v="20.692908078604901"/>
    <n v="17.196725137157301"/>
    <n v="118.637412139395"/>
    <n v="0"/>
    <n v="0"/>
    <n v="274.40648800000002"/>
    <n v="255.43577920499899"/>
  </r>
  <r>
    <x v="40"/>
    <s v="Truck 6"/>
    <n v="76"/>
    <n v="76"/>
    <n v="9.3815789473684195"/>
    <n v="19.082112747969301"/>
    <n v="17.196725137157301"/>
    <n v="98.213470296565305"/>
    <n v="0"/>
    <n v="0"/>
    <n v="269.01396199999999"/>
    <n v="250.56562814399899"/>
  </r>
  <r>
    <x v="40"/>
    <s v="Truck 7"/>
    <n v="92"/>
    <n v="92"/>
    <n v="9.9130434782608692"/>
    <n v="19.255350777122299"/>
    <n v="17.196725137157301"/>
    <n v="115.782608677619"/>
    <n v="0"/>
    <n v="0"/>
    <n v="260.99019800000002"/>
    <n v="249.13085792899901"/>
  </r>
  <r>
    <x v="41"/>
    <s v="Truck 0"/>
    <n v="95"/>
    <n v="95"/>
    <n v="10.5473684210526"/>
    <n v="18.958343175325801"/>
    <n v="17.216096916502"/>
    <n v="111.598312731007"/>
    <n v="0"/>
    <n v="0"/>
    <n v="223.388262"/>
    <n v="209.30826372599901"/>
  </r>
  <r>
    <x v="41"/>
    <s v="Truck 1"/>
    <n v="93"/>
    <n v="90"/>
    <n v="8.4086021505376305"/>
    <n v="20.354944645126199"/>
    <n v="17.216096916502"/>
    <n v="117.038643267987"/>
    <n v="0"/>
    <n v="0"/>
    <n v="265.87981999999897"/>
    <n v="247.740859142999"/>
  </r>
  <r>
    <x v="41"/>
    <s v="Truck 2"/>
    <n v="82"/>
    <n v="82"/>
    <n v="9.7560975609756095"/>
    <n v="19.799402175269002"/>
    <n v="17.216096916502"/>
    <n v="99.233515205810903"/>
    <n v="0"/>
    <n v="0"/>
    <n v="280.83209499999998"/>
    <n v="260.50488243199902"/>
  </r>
  <r>
    <x v="41"/>
    <s v="Truck 3"/>
    <n v="99"/>
    <n v="99"/>
    <n v="10.858585858585799"/>
    <n v="19.319522572592"/>
    <n v="17.216096916502"/>
    <n v="115.927474504944"/>
    <n v="0"/>
    <n v="0"/>
    <n v="249.939268"/>
    <n v="237.70577095899901"/>
  </r>
  <r>
    <x v="41"/>
    <s v="Truck 4"/>
    <n v="100"/>
    <n v="100"/>
    <n v="10.87"/>
    <n v="19.873743272626601"/>
    <n v="17.216096916502"/>
    <n v="117.22634787458701"/>
    <n v="0"/>
    <n v="0"/>
    <n v="268.52916599999998"/>
    <n v="255.91000633799999"/>
  </r>
  <r>
    <x v="41"/>
    <s v="Truck 5"/>
    <n v="96"/>
    <n v="93"/>
    <n v="8.75"/>
    <n v="20.723392584919701"/>
    <n v="17.216096916502"/>
    <n v="120.083214768955"/>
    <n v="0"/>
    <n v="0"/>
    <n v="286.66816899999998"/>
    <n v="267.07199121199898"/>
  </r>
  <r>
    <x v="41"/>
    <s v="Truck 6"/>
    <n v="74"/>
    <n v="74"/>
    <n v="9.2027027027027"/>
    <n v="18.803141116775102"/>
    <n v="17.216096916502"/>
    <n v="97.457172329946204"/>
    <n v="0"/>
    <n v="0"/>
    <n v="267.07541800000001"/>
    <n v="248.74822243699899"/>
  </r>
  <r>
    <x v="41"/>
    <s v="Truck 7"/>
    <n v="93"/>
    <n v="93"/>
    <n v="9.9354838709677402"/>
    <n v="19.041270668973201"/>
    <n v="17.216096916502"/>
    <n v="116.672358974864"/>
    <n v="0"/>
    <n v="0"/>
    <n v="255.731503"/>
    <n v="244.17971694399901"/>
  </r>
  <r>
    <x v="42"/>
    <s v="Truck 0"/>
    <n v="94"/>
    <n v="94"/>
    <n v="10.531914893617"/>
    <n v="18.636468597646701"/>
    <n v="17.246981736057201"/>
    <n v="109.44520976414201"/>
    <n v="0"/>
    <n v="0"/>
    <n v="228.100717"/>
    <n v="213.900696030999"/>
  </r>
  <r>
    <x v="42"/>
    <s v="Truck 1"/>
    <n v="93"/>
    <n v="90"/>
    <n v="8.4086021505376305"/>
    <n v="20.0245453182681"/>
    <n v="17.246981736057201"/>
    <n v="116.717183348033"/>
    <n v="0"/>
    <n v="0"/>
    <n v="264.936095999999"/>
    <n v="246.45247392099901"/>
  </r>
  <r>
    <x v="42"/>
    <s v="Truck 2"/>
    <n v="83"/>
    <n v="83"/>
    <n v="9.7831325301204792"/>
    <n v="20.003744521822"/>
    <n v="17.246981736057201"/>
    <n v="99.399948288324694"/>
    <n v="0"/>
    <n v="0"/>
    <n v="289.59245700000002"/>
    <n v="269.287319397999"/>
  </r>
  <r>
    <x v="42"/>
    <s v="Truck 3"/>
    <n v="100"/>
    <n v="100"/>
    <n v="10.87"/>
    <n v="19.515263945951698"/>
    <n v="17.246981736057201"/>
    <n v="117.733559307183"/>
    <n v="0"/>
    <n v="0"/>
    <n v="247.55977099999899"/>
    <n v="235.74477365299899"/>
  </r>
  <r>
    <x v="42"/>
    <s v="Truck 4"/>
    <n v="100"/>
    <n v="100"/>
    <n v="10.87"/>
    <n v="19.7184233825141"/>
    <n v="17.246981736057201"/>
    <n v="116.331187937602"/>
    <n v="0"/>
    <n v="0"/>
    <n v="262.13302499999998"/>
    <n v="249.784643324999"/>
  </r>
  <r>
    <x v="42"/>
    <s v="Truck 5"/>
    <n v="96"/>
    <n v="93"/>
    <n v="8.75"/>
    <n v="20.8145450027218"/>
    <n v="17.246981736057201"/>
    <n v="120.148060121368"/>
    <n v="0"/>
    <n v="0"/>
    <n v="282.34196400000002"/>
    <n v="262.77522927699903"/>
  </r>
  <r>
    <x v="42"/>
    <s v="Truck 6"/>
    <n v="86"/>
    <n v="83"/>
    <n v="8.6976744186046506"/>
    <n v="21.600167975833699"/>
    <n v="17.246981736057201"/>
    <n v="116.69434045225501"/>
    <n v="0"/>
    <n v="0"/>
    <n v="294.81530900000001"/>
    <n v="274.47272057999902"/>
  </r>
  <r>
    <x v="42"/>
    <s v="Truck 7"/>
    <n v="94"/>
    <n v="94"/>
    <n v="10.0744680851063"/>
    <n v="19.3637163328392"/>
    <n v="17.246981736057201"/>
    <n v="117.620542792123"/>
    <n v="0"/>
    <n v="0"/>
    <n v="264.88238799999999"/>
    <n v="253.033948473999"/>
  </r>
  <r>
    <x v="43"/>
    <s v="Truck 0"/>
    <n v="109"/>
    <n v="100"/>
    <n v="10.9266055045871"/>
    <n v="20.967344009833301"/>
    <n v="15.9726038559612"/>
    <n v="114.432346802146"/>
    <n v="0"/>
    <n v="0"/>
    <n v="256.73046099999902"/>
    <n v="238.50019971499901"/>
  </r>
  <r>
    <x v="43"/>
    <s v="Truck 1"/>
    <n v="108"/>
    <n v="108"/>
    <n v="11.3611111111111"/>
    <n v="20.218306688163501"/>
    <n v="15.9726038559612"/>
    <n v="112.26602522866"/>
    <n v="0"/>
    <n v="0"/>
    <n v="251.94718599999899"/>
    <n v="238.90954804299901"/>
  </r>
  <r>
    <x v="43"/>
    <s v="Truck 2"/>
    <n v="83"/>
    <n v="75"/>
    <n v="8.7469879518072293"/>
    <n v="20.497007146018198"/>
    <n v="15.9726038559612"/>
    <n v="87.071941994114198"/>
    <n v="0"/>
    <n v="0"/>
    <n v="269.89621599999998"/>
    <n v="243.51794757399901"/>
  </r>
  <r>
    <x v="43"/>
    <s v="Truck 3"/>
    <n v="112"/>
    <n v="112"/>
    <n v="11.3660714285714"/>
    <n v="20.995327351778201"/>
    <n v="15.9726038559612"/>
    <n v="117.489990086034"/>
    <n v="0"/>
    <n v="0"/>
    <n v="263.36915800000003"/>
    <n v="250.34164371399899"/>
  </r>
  <r>
    <x v="44"/>
    <s v="Truck 0"/>
    <n v="81"/>
    <n v="79"/>
    <n v="7.2716049382715999"/>
    <n v="18.804245241008601"/>
    <n v="17.767020512648401"/>
    <n v="103.072924076357"/>
    <n v="0"/>
    <n v="0"/>
    <n v="224.991624999999"/>
    <n v="203.42265034299899"/>
  </r>
  <r>
    <x v="44"/>
    <s v="Truck 1"/>
    <n v="93"/>
    <n v="92"/>
    <n v="7.8817204301075199"/>
    <n v="20.212439858496399"/>
    <n v="17.767020512648401"/>
    <n v="130.10649219174101"/>
    <n v="0"/>
    <n v="0"/>
    <n v="263.65490599999998"/>
    <n v="248.41698794299899"/>
  </r>
  <r>
    <x v="44"/>
    <s v="Truck 2"/>
    <n v="94"/>
    <n v="92"/>
    <n v="7.7978723404255303"/>
    <n v="20.8626790930917"/>
    <n v="17.767020512648401"/>
    <n v="130.51687399635401"/>
    <n v="0"/>
    <n v="0"/>
    <n v="295.200221"/>
    <n v="279.59117099299903"/>
  </r>
  <r>
    <x v="44"/>
    <s v="Truck 3"/>
    <n v="98"/>
    <n v="97"/>
    <n v="8.2244897959183607"/>
    <n v="20.653615533524299"/>
    <n v="17.767020512648401"/>
    <n v="134.72177580971001"/>
    <n v="0"/>
    <n v="0"/>
    <n v="259.14227"/>
    <n v="244.31919319999901"/>
  </r>
  <r>
    <x v="44"/>
    <s v="Truck 4"/>
    <n v="98"/>
    <n v="97"/>
    <n v="8.3469387755101998"/>
    <n v="20.501403564347399"/>
    <n v="17.767020512648401"/>
    <n v="134.93729239859201"/>
    <n v="0"/>
    <n v="0"/>
    <n v="243.30944099999999"/>
    <n v="227.49301261799999"/>
  </r>
  <r>
    <x v="44"/>
    <s v="Truck 5"/>
    <n v="97"/>
    <n v="97"/>
    <n v="8.1855670103092706"/>
    <n v="20.145421893758201"/>
    <n v="17.767020512648401"/>
    <n v="133.68198416705599"/>
    <n v="0"/>
    <n v="0"/>
    <n v="244.300161"/>
    <n v="228.10639768799899"/>
  </r>
  <r>
    <x v="44"/>
    <s v="Truck 6"/>
    <n v="82"/>
    <n v="81"/>
    <n v="7.6585365853658498"/>
    <n v="20.3553408436312"/>
    <n v="17.767020512648401"/>
    <n v="119.25039272888201"/>
    <n v="0"/>
    <n v="0"/>
    <n v="246.79890799999899"/>
    <n v="224.871472826999"/>
  </r>
  <r>
    <x v="44"/>
    <s v="Truck 7"/>
    <n v="88"/>
    <n v="88"/>
    <n v="8.7045454545454497"/>
    <n v="20.2503858982498"/>
    <n v="17.767020512648401"/>
    <n v="118.502151051661"/>
    <n v="0"/>
    <n v="0"/>
    <n v="266.96608700000002"/>
    <n v="250.29777768899899"/>
  </r>
  <r>
    <x v="44"/>
    <s v="Truck 8"/>
    <n v="88"/>
    <n v="88"/>
    <n v="8.8977272727272698"/>
    <n v="18.607053617942299"/>
    <n v="17.767020512648401"/>
    <n v="117.849236219082"/>
    <n v="0"/>
    <n v="0"/>
    <n v="249.484702"/>
    <n v="235.94955853599899"/>
  </r>
  <r>
    <x v="44"/>
    <s v="Truck 9"/>
    <n v="87"/>
    <n v="87"/>
    <n v="8.6551724137930997"/>
    <n v="18.485414750399801"/>
    <n v="17.767020512648401"/>
    <n v="116.226526924113"/>
    <n v="0"/>
    <n v="0"/>
    <n v="244.745723999999"/>
    <n v="231.71727694199899"/>
  </r>
  <r>
    <x v="44"/>
    <s v="Truck 10"/>
    <n v="74"/>
    <n v="74"/>
    <n v="8.1351351351351298"/>
    <n v="18.348908152305601"/>
    <n v="17.767020512648401"/>
    <n v="103.102021077087"/>
    <n v="0"/>
    <n v="0"/>
    <n v="221.74056200000001"/>
    <n v="199.624852502999"/>
  </r>
  <r>
    <x v="44"/>
    <s v="Truck 11"/>
    <n v="86"/>
    <n v="86"/>
    <n v="8.4651162790697594"/>
    <n v="18.373634803453001"/>
    <n v="17.767020512648401"/>
    <n v="114.92801139653599"/>
    <n v="0"/>
    <n v="0"/>
    <n v="246.77303000000001"/>
    <n v="234.18776260999999"/>
  </r>
  <r>
    <x v="45"/>
    <s v="Truck 0"/>
    <n v="82"/>
    <n v="80"/>
    <n v="7.2926829268292597"/>
    <n v="18.897525421415601"/>
    <n v="17.785121556574499"/>
    <n v="105.182129471689"/>
    <n v="0"/>
    <n v="0"/>
    <n v="224.02365799999899"/>
    <n v="203.43473155699999"/>
  </r>
  <r>
    <x v="45"/>
    <s v="Truck 1"/>
    <n v="94"/>
    <n v="93"/>
    <n v="8.0638297872340399"/>
    <n v="20.446915395229901"/>
    <n v="17.785121556574499"/>
    <n v="130.01642383721901"/>
    <n v="0"/>
    <n v="0"/>
    <n v="267.41865999999999"/>
    <n v="251.468643159999"/>
  </r>
  <r>
    <x v="45"/>
    <s v="Truck 2"/>
    <n v="92"/>
    <n v="90"/>
    <n v="7.7934782608695601"/>
    <n v="20.884431593122599"/>
    <n v="17.785121556574499"/>
    <n v="129.179686635742"/>
    <n v="0"/>
    <n v="0"/>
    <n v="292.73847899999998"/>
    <n v="276.30740707199902"/>
  </r>
  <r>
    <x v="45"/>
    <s v="Truck 3"/>
    <n v="99"/>
    <n v="98"/>
    <n v="8.4444444444444393"/>
    <n v="20.808050599954601"/>
    <n v="17.785121556574499"/>
    <n v="135.77163031249501"/>
    <n v="0"/>
    <n v="0"/>
    <n v="256.64661899999999"/>
    <n v="241.517855172"/>
  </r>
  <r>
    <x v="45"/>
    <s v="Truck 4"/>
    <n v="98"/>
    <n v="97"/>
    <n v="8.3469387755101998"/>
    <n v="20.530997966300099"/>
    <n v="17.785121556574499"/>
    <n v="136.21953482394201"/>
    <n v="0"/>
    <n v="0"/>
    <n v="244.56468699999999"/>
    <n v="228.49033182099899"/>
  </r>
  <r>
    <x v="45"/>
    <s v="Truck 5"/>
    <n v="98"/>
    <n v="97"/>
    <n v="8.3979591836734695"/>
    <n v="20.969067460372301"/>
    <n v="17.785121556574499"/>
    <n v="134.79580648907"/>
    <n v="0"/>
    <n v="0"/>
    <n v="256.59589099999999"/>
    <n v="240.74427572299899"/>
  </r>
  <r>
    <x v="45"/>
    <s v="Truck 6"/>
    <n v="83"/>
    <n v="82"/>
    <n v="7.7108433734939696"/>
    <n v="20.894426564413401"/>
    <n v="17.785121556574499"/>
    <n v="119.624475323108"/>
    <n v="0"/>
    <n v="0"/>
    <n v="243.96023699999901"/>
    <n v="221.426573058999"/>
  </r>
  <r>
    <x v="45"/>
    <s v="Truck 7"/>
    <n v="88"/>
    <n v="88"/>
    <n v="8.625"/>
    <n v="20.2155812097531"/>
    <n v="17.785121556574499"/>
    <n v="117.677044729546"/>
    <n v="0"/>
    <n v="0"/>
    <n v="267.75280900000001"/>
    <n v="251.32804549999901"/>
  </r>
  <r>
    <x v="45"/>
    <s v="Truck 8"/>
    <n v="86"/>
    <n v="86"/>
    <n v="8.6046511627906899"/>
    <n v="18.479776282590301"/>
    <n v="17.785121556574499"/>
    <n v="115.164285352162"/>
    <n v="0"/>
    <n v="0"/>
    <n v="254.07302300000001"/>
    <n v="241.368622813999"/>
  </r>
  <r>
    <x v="45"/>
    <s v="Truck 9"/>
    <n v="87"/>
    <n v="87"/>
    <n v="8.5517241379310303"/>
    <n v="18.3040885015205"/>
    <n v="17.785121556574499"/>
    <n v="115.85950073393801"/>
    <n v="0"/>
    <n v="0"/>
    <n v="240.45228700000001"/>
    <n v="227.45370325599899"/>
  </r>
  <r>
    <x v="45"/>
    <s v="Truck 10"/>
    <n v="74"/>
    <n v="74"/>
    <n v="8.1351351351351298"/>
    <n v="18.286535669727499"/>
    <n v="17.785121556574499"/>
    <n v="103.729005466489"/>
    <n v="0"/>
    <n v="0"/>
    <n v="223.70094499999999"/>
    <n v="201.767698107"/>
  </r>
  <r>
    <x v="45"/>
    <s v="Truck 11"/>
    <n v="86"/>
    <n v="86"/>
    <n v="8.4651162790697594"/>
    <n v="18.515942765559299"/>
    <n v="17.785121556574499"/>
    <n v="115.16044446370699"/>
    <n v="0"/>
    <n v="0"/>
    <n v="249.01182800000001"/>
    <n v="236.44149140900001"/>
  </r>
  <r>
    <x v="46"/>
    <s v="Truck 0"/>
    <n v="95"/>
    <n v="95"/>
    <n v="10.5473684210526"/>
    <n v="18.993684808318601"/>
    <n v="17.2956588804749"/>
    <n v="112.08088800408601"/>
    <n v="0"/>
    <n v="0"/>
    <n v="228.54020800000001"/>
    <n v="214.18428186399899"/>
  </r>
  <r>
    <x v="46"/>
    <s v="Truck 1"/>
    <n v="93"/>
    <n v="90"/>
    <n v="8.4086021505376305"/>
    <n v="20.2678898332837"/>
    <n v="17.2956588804749"/>
    <n v="116.892874953007"/>
    <n v="0"/>
    <n v="0"/>
    <n v="265.81297099999898"/>
    <n v="247.75500713099899"/>
  </r>
  <r>
    <x v="46"/>
    <s v="Truck 2"/>
    <n v="83"/>
    <n v="83"/>
    <n v="9.7831325301204792"/>
    <n v="19.9378453952604"/>
    <n v="17.2956588804749"/>
    <n v="99.088735540037703"/>
    <n v="0"/>
    <n v="0"/>
    <n v="291.63841200000002"/>
    <n v="270.98837287299898"/>
  </r>
  <r>
    <x v="46"/>
    <s v="Truck 3"/>
    <n v="100"/>
    <n v="100"/>
    <n v="10.87"/>
    <n v="19.913601305978901"/>
    <n v="17.2956588804749"/>
    <n v="117.839590837149"/>
    <n v="0"/>
    <n v="0"/>
    <n v="251.84241399999999"/>
    <n v="239.821109632"/>
  </r>
  <r>
    <x v="46"/>
    <s v="Truck 4"/>
    <n v="103"/>
    <n v="103"/>
    <n v="11.417475728155299"/>
    <n v="20.161910155871698"/>
    <n v="17.2956588804749"/>
    <n v="118.82844981743099"/>
    <n v="0"/>
    <n v="0"/>
    <n v="274.926153"/>
    <n v="262.50797454899998"/>
  </r>
  <r>
    <x v="46"/>
    <s v="Truck 5"/>
    <n v="94"/>
    <n v="91"/>
    <n v="8.6702127659574408"/>
    <n v="20.4607616262014"/>
    <n v="17.2956588804749"/>
    <n v="119.650793832376"/>
    <n v="0"/>
    <n v="0"/>
    <n v="275.98989999999998"/>
    <n v="255.99765236099901"/>
  </r>
  <r>
    <x v="46"/>
    <s v="Truck 6"/>
    <n v="85"/>
    <n v="82"/>
    <n v="8.6352941176470495"/>
    <n v="21.185486023109402"/>
    <n v="17.2956588804749"/>
    <n v="115.46677538024301"/>
    <n v="0"/>
    <n v="0"/>
    <n v="292.26088099999998"/>
    <n v="271.74095232799903"/>
  </r>
  <r>
    <x v="46"/>
    <s v="Truck 7"/>
    <n v="94"/>
    <n v="94"/>
    <n v="10.1702127659574"/>
    <n v="19.092814918370699"/>
    <n v="17.2956588804749"/>
    <n v="116.82181230083999"/>
    <n v="0"/>
    <n v="0"/>
    <n v="254.79991799999999"/>
    <n v="243.176006153999"/>
  </r>
  <r>
    <x v="47"/>
    <s v="Truck 0"/>
    <n v="79"/>
    <n v="77"/>
    <n v="7.1898734177215102"/>
    <n v="18.469491053077999"/>
    <n v="17.811406693175499"/>
    <n v="100.67929756192299"/>
    <n v="0"/>
    <n v="0"/>
    <n v="222.09566899999899"/>
    <n v="200.54314735999901"/>
  </r>
  <r>
    <x v="47"/>
    <s v="Truck 1"/>
    <n v="93"/>
    <n v="93"/>
    <n v="8.0860215053763405"/>
    <n v="20.584476463084201"/>
    <n v="17.811406693175499"/>
    <n v="130.32172695774301"/>
    <n v="0"/>
    <n v="0"/>
    <n v="266.58768300000003"/>
    <n v="250.60402140899899"/>
  </r>
  <r>
    <x v="47"/>
    <s v="Truck 2"/>
    <n v="94"/>
    <n v="92"/>
    <n v="8.0212765957446805"/>
    <n v="20.832007568037799"/>
    <n v="17.811406693175499"/>
    <n v="131.23039862041401"/>
    <n v="0"/>
    <n v="0"/>
    <n v="284.93633599999902"/>
    <n v="268.34030096299898"/>
  </r>
  <r>
    <x v="47"/>
    <s v="Truck 3"/>
    <n v="99"/>
    <n v="98"/>
    <n v="8.3030303030302992"/>
    <n v="20.790909256017301"/>
    <n v="17.811406693175499"/>
    <n v="136.69265576592801"/>
    <n v="0"/>
    <n v="0"/>
    <n v="250.42194000000001"/>
    <n v="235.36941092999899"/>
  </r>
  <r>
    <x v="47"/>
    <s v="Truck 4"/>
    <n v="97"/>
    <n v="97"/>
    <n v="8.31958762886598"/>
    <n v="20.6688537868833"/>
    <n v="17.811406693175499"/>
    <n v="134.448472990331"/>
    <n v="0"/>
    <n v="0"/>
    <n v="246.805431"/>
    <n v="230.54280102299899"/>
  </r>
  <r>
    <x v="47"/>
    <s v="Truck 5"/>
    <n v="99"/>
    <n v="98"/>
    <n v="8.3030303030302992"/>
    <n v="21.265755314077399"/>
    <n v="17.811406693175499"/>
    <n v="136.858920174925"/>
    <n v="0"/>
    <n v="0"/>
    <n v="251.23427699999999"/>
    <n v="235.83056366099899"/>
  </r>
  <r>
    <x v="47"/>
    <s v="Truck 6"/>
    <n v="79"/>
    <n v="78"/>
    <n v="7.1645569620253102"/>
    <n v="20.030649042706798"/>
    <n v="17.811406693175499"/>
    <n v="113.87217316234501"/>
    <n v="0"/>
    <n v="0"/>
    <n v="233.590645999999"/>
    <n v="208.90234976099899"/>
  </r>
  <r>
    <x v="47"/>
    <s v="Truck 7"/>
    <n v="91"/>
    <n v="91"/>
    <n v="8.4395604395604398"/>
    <n v="20.5298021116607"/>
    <n v="17.811406693175499"/>
    <n v="122.612053749064"/>
    <n v="0"/>
    <n v="0"/>
    <n v="275.53353700000002"/>
    <n v="259.270945780999"/>
  </r>
  <r>
    <x v="47"/>
    <s v="Truck 8"/>
    <n v="88"/>
    <n v="88"/>
    <n v="8.8977272727272698"/>
    <n v="18.467846842576002"/>
    <n v="17.811406693175499"/>
    <n v="117.010413774608"/>
    <n v="0"/>
    <n v="0"/>
    <n v="246.005549"/>
    <n v="232.81525867699901"/>
  </r>
  <r>
    <x v="47"/>
    <s v="Truck 9"/>
    <n v="86"/>
    <n v="86"/>
    <n v="8.4651162790697594"/>
    <n v="18.211853828024701"/>
    <n v="17.811406693175499"/>
    <n v="116.020534152851"/>
    <n v="0"/>
    <n v="0"/>
    <n v="238.46683400000001"/>
    <n v="225.164734081999"/>
  </r>
  <r>
    <x v="47"/>
    <s v="Truck 10"/>
    <n v="73"/>
    <n v="73"/>
    <n v="7.8904109589041003"/>
    <n v="18.259222514372301"/>
    <n v="17.811406693175499"/>
    <n v="102.85865829552699"/>
    <n v="0"/>
    <n v="0"/>
    <n v="221.69788600000001"/>
    <n v="199.7963579"/>
  </r>
  <r>
    <x v="47"/>
    <s v="Truck 11"/>
    <n v="88"/>
    <n v="88"/>
    <n v="8.75"/>
    <n v="18.785006658769401"/>
    <n v="17.811406693175499"/>
    <n v="117.93004363473101"/>
    <n v="0"/>
    <n v="0"/>
    <n v="255.46604300000001"/>
    <n v="242.18440643899899"/>
  </r>
  <r>
    <x v="48"/>
    <s v="Truck 0"/>
    <n v="84"/>
    <n v="82"/>
    <n v="7.4047619047618998"/>
    <n v="19.1115988692986"/>
    <n v="17.6390550419882"/>
    <n v="108.543194950794"/>
    <n v="0"/>
    <n v="0"/>
    <n v="239.33573999999899"/>
    <n v="219.07300485299999"/>
  </r>
  <r>
    <x v="48"/>
    <s v="Truck 1"/>
    <n v="85"/>
    <n v="85"/>
    <n v="8.2470588235294109"/>
    <n v="19.784334649608699"/>
    <n v="17.6390550419882"/>
    <n v="115.65075031178399"/>
    <n v="0"/>
    <n v="0"/>
    <n v="266.24540300000001"/>
    <n v="248.96900834799899"/>
  </r>
  <r>
    <x v="48"/>
    <s v="Truck 2"/>
    <n v="92"/>
    <n v="91"/>
    <n v="7.7934782608695601"/>
    <n v="20.7879743815271"/>
    <n v="17.6390550419882"/>
    <n v="128.426481552008"/>
    <n v="0"/>
    <n v="0"/>
    <n v="288.16324499999899"/>
    <n v="271.48643576999899"/>
  </r>
  <r>
    <x v="48"/>
    <s v="Truck 3"/>
    <n v="98"/>
    <n v="97"/>
    <n v="8.3571428571428505"/>
    <n v="20.7273121244496"/>
    <n v="17.6390550419882"/>
    <n v="135.63820429327399"/>
    <n v="0"/>
    <n v="0"/>
    <n v="248.15294699999899"/>
    <n v="232.97098551599899"/>
  </r>
  <r>
    <x v="48"/>
    <s v="Truck 4"/>
    <n v="98"/>
    <n v="97"/>
    <n v="8.3469387755101998"/>
    <n v="20.797788158444099"/>
    <n v="17.6390550419882"/>
    <n v="136.35174490444899"/>
    <n v="0"/>
    <n v="0"/>
    <n v="244.96383299999999"/>
    <n v="229.00041242399899"/>
  </r>
  <r>
    <x v="48"/>
    <s v="Truck 5"/>
    <n v="99"/>
    <n v="98"/>
    <n v="8.3939393939393891"/>
    <n v="20.581134291572599"/>
    <n v="17.6390550419882"/>
    <n v="136.06823357415499"/>
    <n v="0"/>
    <n v="0"/>
    <n v="251.75719999999899"/>
    <n v="236.47855426999899"/>
  </r>
  <r>
    <x v="48"/>
    <s v="Truck 6"/>
    <n v="81"/>
    <n v="80"/>
    <n v="7.3703703703703702"/>
    <n v="20.377266109822301"/>
    <n v="17.6390550419882"/>
    <n v="117.72400718439199"/>
    <n v="0"/>
    <n v="0"/>
    <n v="246.477384999999"/>
    <n v="224.05949027299999"/>
  </r>
  <r>
    <x v="48"/>
    <s v="Truck 7"/>
    <n v="87"/>
    <n v="87"/>
    <n v="8"/>
    <n v="19.757034233265902"/>
    <n v="17.6390550419882"/>
    <n v="117.918481690856"/>
    <n v="0"/>
    <n v="0"/>
    <n v="247.88449999999901"/>
    <n v="230.01134780899901"/>
  </r>
  <r>
    <x v="48"/>
    <s v="Truck 8"/>
    <n v="98"/>
    <n v="98"/>
    <n v="8.4795918367346896"/>
    <n v="21.118979856970199"/>
    <n v="17.6390550419882"/>
    <n v="134.62601551036099"/>
    <n v="0"/>
    <n v="0"/>
    <n v="285.19797799999998"/>
    <n v="270.17872534399999"/>
  </r>
  <r>
    <x v="48"/>
    <s v="Truck 9"/>
    <n v="87"/>
    <n v="87"/>
    <n v="8.7126436781609193"/>
    <n v="18.382602475746602"/>
    <n v="17.6390550419882"/>
    <n v="116.736371800314"/>
    <n v="0"/>
    <n v="0"/>
    <n v="246.95206099999999"/>
    <n v="233.864564108"/>
  </r>
  <r>
    <x v="48"/>
    <s v="Truck 10"/>
    <n v="72"/>
    <n v="72"/>
    <n v="7.7638888888888804"/>
    <n v="18.0952613856211"/>
    <n v="17.6390550419882"/>
    <n v="100.729956236758"/>
    <n v="0"/>
    <n v="0"/>
    <n v="234.60532499999999"/>
    <n v="212.76242871699901"/>
  </r>
  <r>
    <x v="48"/>
    <s v="Truck 11"/>
    <n v="86"/>
    <n v="86"/>
    <n v="8.4651162790697594"/>
    <n v="18.0124943884963"/>
    <n v="17.6390550419882"/>
    <n v="115.628126475874"/>
    <n v="0"/>
    <n v="0"/>
    <n v="223.41286099999999"/>
    <n v="210.41888933299899"/>
  </r>
  <r>
    <x v="49"/>
    <s v="Truck 0"/>
    <n v="80"/>
    <n v="78"/>
    <n v="7.25"/>
    <n v="18.8000483757436"/>
    <n v="17.769033237512701"/>
    <n v="101.926781209466"/>
    <n v="0"/>
    <n v="0"/>
    <n v="222.301301999999"/>
    <n v="200.83498497900001"/>
  </r>
  <r>
    <x v="49"/>
    <s v="Truck 1"/>
    <n v="94"/>
    <n v="93"/>
    <n v="8.1276595744680797"/>
    <n v="20.590099347926198"/>
    <n v="17.769033237512701"/>
    <n v="130.47676330948499"/>
    <n v="0"/>
    <n v="0"/>
    <n v="267.750812"/>
    <n v="251.666715205999"/>
  </r>
  <r>
    <x v="49"/>
    <s v="Truck 2"/>
    <n v="95"/>
    <n v="93"/>
    <n v="8.1263157894736793"/>
    <n v="20.7198471626618"/>
    <n v="17.769033237512701"/>
    <n v="131.57680569863001"/>
    <n v="0"/>
    <n v="0"/>
    <n v="287.56008400000002"/>
    <n v="271.07127519699901"/>
  </r>
  <r>
    <x v="49"/>
    <s v="Truck 3"/>
    <n v="100"/>
    <n v="99"/>
    <n v="8.48"/>
    <n v="20.793018322182501"/>
    <n v="17.769033237512701"/>
    <n v="137.910626726679"/>
    <n v="0"/>
    <n v="0"/>
    <n v="251.56201999999999"/>
    <n v="236.51930520499999"/>
  </r>
  <r>
    <x v="49"/>
    <s v="Truck 4"/>
    <n v="100"/>
    <n v="99"/>
    <n v="8.48"/>
    <n v="20.722303688297501"/>
    <n v="17.769033237512701"/>
    <n v="137.54561761436"/>
    <n v="0"/>
    <n v="0"/>
    <n v="246.548734"/>
    <n v="231.21947861199899"/>
  </r>
  <r>
    <x v="49"/>
    <s v="Truck 5"/>
    <n v="98"/>
    <n v="97"/>
    <n v="8.3469387755101998"/>
    <n v="20.6547607290189"/>
    <n v="17.769033237512701"/>
    <n v="135.116634023388"/>
    <n v="0"/>
    <n v="0"/>
    <n v="250.01104100000001"/>
    <n v="234.07044123799901"/>
  </r>
  <r>
    <x v="49"/>
    <s v="Truck 6"/>
    <n v="78"/>
    <n v="77"/>
    <n v="7.2051282051282"/>
    <n v="20.129773153417201"/>
    <n v="17.769033237512701"/>
    <n v="112.516961194419"/>
    <n v="0"/>
    <n v="0"/>
    <n v="230.80100599999901"/>
    <n v="207.09080961599901"/>
  </r>
  <r>
    <x v="49"/>
    <s v="Truck 7"/>
    <n v="88"/>
    <n v="88"/>
    <n v="8.4659090909090899"/>
    <n v="20.449602235774201"/>
    <n v="17.769033237512701"/>
    <n v="118.824544303916"/>
    <n v="0"/>
    <n v="0"/>
    <n v="274.68807900000002"/>
    <n v="256.973632944999"/>
  </r>
  <r>
    <x v="49"/>
    <s v="Truck 8"/>
    <n v="87"/>
    <n v="87"/>
    <n v="8.7011494252873494"/>
    <n v="18.543695197201"/>
    <n v="17.769033237512701"/>
    <n v="116.232354547542"/>
    <n v="0"/>
    <n v="0"/>
    <n v="240.70508100000001"/>
    <n v="227.42971464299899"/>
  </r>
  <r>
    <x v="49"/>
    <s v="Truck 9"/>
    <n v="86"/>
    <n v="86"/>
    <n v="8.4651162790697594"/>
    <n v="18.366136526793198"/>
    <n v="17.769033237512701"/>
    <n v="116.388377352471"/>
    <n v="0"/>
    <n v="0"/>
    <n v="239.06922599999999"/>
    <n v="225.707465552999"/>
  </r>
  <r>
    <x v="49"/>
    <s v="Truck 10"/>
    <n v="74"/>
    <n v="74"/>
    <n v="7.9594594594594597"/>
    <n v="18.361834654481399"/>
    <n v="17.769033237512701"/>
    <n v="102.882169746755"/>
    <n v="0"/>
    <n v="0"/>
    <n v="221.78123299999999"/>
    <n v="200.17785081599999"/>
  </r>
  <r>
    <x v="49"/>
    <s v="Truck 11"/>
    <n v="86"/>
    <n v="86"/>
    <n v="8.4651162790697594"/>
    <n v="18.474742805203999"/>
    <n v="17.769033237512701"/>
    <n v="115.66308974892399"/>
    <n v="0"/>
    <n v="0"/>
    <n v="254.283975"/>
    <n v="241.021107419999"/>
  </r>
  <r>
    <x v="50"/>
    <s v="Truck 0"/>
    <n v="81"/>
    <n v="79"/>
    <n v="7.2716049382715999"/>
    <n v="18.766776984043201"/>
    <n v="17.932182878599001"/>
    <n v="103.395448322877"/>
    <n v="0"/>
    <n v="0"/>
    <n v="223.87485999999899"/>
    <n v="203.279941783"/>
  </r>
  <r>
    <x v="50"/>
    <s v="Truck 1"/>
    <n v="93"/>
    <n v="92"/>
    <n v="7.8817204301075199"/>
    <n v="20.275364710573601"/>
    <n v="17.932182878599001"/>
    <n v="130.35147478363299"/>
    <n v="0"/>
    <n v="0"/>
    <n v="261.94964099999999"/>
    <n v="246.63756481799899"/>
  </r>
  <r>
    <x v="50"/>
    <s v="Truck 2"/>
    <n v="95"/>
    <n v="93"/>
    <n v="8.1263157894736793"/>
    <n v="20.697828354185202"/>
    <n v="17.932182878599001"/>
    <n v="132.79638661356799"/>
    <n v="0"/>
    <n v="0"/>
    <n v="281.24119999999999"/>
    <n v="264.60014550499898"/>
  </r>
  <r>
    <x v="50"/>
    <s v="Truck 3"/>
    <n v="100"/>
    <n v="99"/>
    <n v="8.48"/>
    <n v="20.9398308891654"/>
    <n v="17.932182878599001"/>
    <n v="137.77663674592901"/>
    <n v="0"/>
    <n v="0"/>
    <n v="251.70361"/>
    <n v="236.886886105"/>
  </r>
  <r>
    <x v="50"/>
    <s v="Truck 4"/>
    <n v="99"/>
    <n v="98"/>
    <n v="8.3939393939393891"/>
    <n v="20.759143819865798"/>
    <n v="17.932182878599001"/>
    <n v="135.01890686430301"/>
    <n v="0"/>
    <n v="0"/>
    <n v="244.132259"/>
    <n v="227.65511952199901"/>
  </r>
  <r>
    <x v="50"/>
    <s v="Truck 5"/>
    <n v="98"/>
    <n v="97"/>
    <n v="8.2653061224489797"/>
    <n v="20.7445112764733"/>
    <n v="17.932182878599001"/>
    <n v="134.908993865784"/>
    <n v="0"/>
    <n v="0"/>
    <n v="247.534751"/>
    <n v="232.17868131799901"/>
  </r>
  <r>
    <x v="50"/>
    <s v="Truck 6"/>
    <n v="78"/>
    <n v="77"/>
    <n v="7.0769230769230704"/>
    <n v="20.232666338712999"/>
    <n v="17.932182878599001"/>
    <n v="112.205117500527"/>
    <n v="0"/>
    <n v="0"/>
    <n v="232.36915599999901"/>
    <n v="208.62411797599901"/>
  </r>
  <r>
    <x v="50"/>
    <s v="Truck 7"/>
    <n v="88"/>
    <n v="88"/>
    <n v="8.4659090909090899"/>
    <n v="20.3973884254277"/>
    <n v="17.932182878599001"/>
    <n v="118.108114489662"/>
    <n v="0"/>
    <n v="0"/>
    <n v="273.119415"/>
    <n v="256.41399904299902"/>
  </r>
  <r>
    <x v="50"/>
    <s v="Truck 8"/>
    <n v="85"/>
    <n v="85"/>
    <n v="8.5647058823529392"/>
    <n v="18.288048017195202"/>
    <n v="17.932182878599001"/>
    <n v="114.119420035419"/>
    <n v="0"/>
    <n v="0"/>
    <n v="241.780586"/>
    <n v="228.66567710299901"/>
  </r>
  <r>
    <x v="50"/>
    <s v="Truck 9"/>
    <n v="87"/>
    <n v="87"/>
    <n v="8.6321839080459704"/>
    <n v="18.487425331843799"/>
    <n v="17.932182878599001"/>
    <n v="117.25859448321999"/>
    <n v="0"/>
    <n v="0"/>
    <n v="238.88593900000001"/>
    <n v="225.443124546999"/>
  </r>
  <r>
    <x v="50"/>
    <s v="Truck 10"/>
    <n v="73"/>
    <n v="73"/>
    <n v="8.0821917808219101"/>
    <n v="16.482770988563399"/>
    <n v="17.932182878599001"/>
    <n v="101.524020270866"/>
    <n v="0"/>
    <n v="0"/>
    <n v="197.34033600000001"/>
    <n v="180.59833494599999"/>
  </r>
  <r>
    <x v="50"/>
    <s v="Truck 11"/>
    <n v="86"/>
    <n v="86"/>
    <n v="8.6162790697674403"/>
    <n v="18.433878518001201"/>
    <n v="17.932182878599001"/>
    <n v="115.04369919072801"/>
    <n v="0"/>
    <n v="0"/>
    <n v="250.03895299999999"/>
    <n v="236.582362469"/>
  </r>
  <r>
    <x v="51"/>
    <s v="Truck 0"/>
    <n v="98"/>
    <n v="98"/>
    <n v="10.1938775510204"/>
    <n v="20.734315845589499"/>
    <n v="19.722572473459799"/>
    <n v="104.033704528958"/>
    <n v="0"/>
    <n v="0"/>
    <n v="244.88753299999999"/>
    <n v="222.385951360999"/>
  </r>
  <r>
    <x v="51"/>
    <s v="Truck 1"/>
    <n v="117"/>
    <n v="117"/>
    <n v="13.991452991452899"/>
    <n v="20.869900824252301"/>
    <n v="19.722572473459799"/>
    <n v="121.900885439419"/>
    <n v="0"/>
    <n v="0"/>
    <n v="251.64402699999999"/>
    <n v="236.715325444999"/>
  </r>
  <r>
    <x v="51"/>
    <s v="Truck 2"/>
    <n v="118"/>
    <n v="118"/>
    <n v="13.6864406779661"/>
    <n v="21.468661656737901"/>
    <n v="19.722572473459799"/>
    <n v="123.80615223845101"/>
    <n v="0"/>
    <n v="0"/>
    <n v="292.23541799999998"/>
    <n v="274.478612677"/>
  </r>
  <r>
    <x v="51"/>
    <s v="Truck 3"/>
    <n v="137"/>
    <n v="137"/>
    <n v="14.620437956204301"/>
    <n v="23.780205254279"/>
    <n v="19.722572473459799"/>
    <n v="143.32356962966699"/>
    <n v="0"/>
    <n v="0"/>
    <n v="310.03541999999999"/>
    <n v="297.886077599999"/>
  </r>
  <r>
    <x v="52"/>
    <s v="Truck 0"/>
    <n v="81"/>
    <n v="79"/>
    <n v="7.2469135802469102"/>
    <n v="18.661885184596599"/>
    <n v="17.736158248876599"/>
    <n v="103.378864132156"/>
    <n v="0"/>
    <n v="0"/>
    <n v="225.46507699999901"/>
    <n v="204.742954948999"/>
  </r>
  <r>
    <x v="52"/>
    <s v="Truck 1"/>
    <n v="95"/>
    <n v="94"/>
    <n v="8.1684210526315795"/>
    <n v="20.690118118435699"/>
    <n v="17.736158248876599"/>
    <n v="132.34988778050101"/>
    <n v="0"/>
    <n v="0"/>
    <n v="268.064954"/>
    <n v="252.104140666999"/>
  </r>
  <r>
    <x v="52"/>
    <s v="Truck 2"/>
    <n v="95"/>
    <n v="93"/>
    <n v="8.1263157894736793"/>
    <n v="20.8798563594782"/>
    <n v="17.736158248876599"/>
    <n v="131.498937410059"/>
    <n v="0"/>
    <n v="0"/>
    <n v="295.180488999999"/>
    <n v="278.92798388199901"/>
  </r>
  <r>
    <x v="52"/>
    <s v="Truck 3"/>
    <n v="98"/>
    <n v="98"/>
    <n v="8.2653061224489797"/>
    <n v="20.556786467317501"/>
    <n v="17.736158248876599"/>
    <n v="135.161151587559"/>
    <n v="0"/>
    <n v="0"/>
    <n v="252.613641"/>
    <n v="237.622416633"/>
  </r>
  <r>
    <x v="52"/>
    <s v="Truck 4"/>
    <n v="99"/>
    <n v="98"/>
    <n v="8.4343434343434307"/>
    <n v="21.0365955446855"/>
    <n v="17.736158248876599"/>
    <n v="136.782602321317"/>
    <n v="0"/>
    <n v="0"/>
    <n v="251.84784500000001"/>
    <n v="235.94139669500001"/>
  </r>
  <r>
    <x v="52"/>
    <s v="Truck 5"/>
    <n v="99"/>
    <n v="98"/>
    <n v="8.4444444444444393"/>
    <n v="20.684945949160401"/>
    <n v="17.736158248876599"/>
    <n v="135.505857407273"/>
    <n v="0"/>
    <n v="0"/>
    <n v="249.116445"/>
    <n v="233.93370931499899"/>
  </r>
  <r>
    <x v="52"/>
    <s v="Truck 6"/>
    <n v="75"/>
    <n v="75"/>
    <n v="6.89333333333333"/>
    <n v="19.735653046857301"/>
    <n v="17.736158248876599"/>
    <n v="107.670441331696"/>
    <n v="0"/>
    <n v="0"/>
    <n v="229.008026999999"/>
    <n v="204.09704155999901"/>
  </r>
  <r>
    <x v="52"/>
    <s v="Truck 7"/>
    <n v="88"/>
    <n v="88"/>
    <n v="8.3068181818181799"/>
    <n v="20.227639002418599"/>
    <n v="17.736158248876599"/>
    <n v="118.39874854698"/>
    <n v="0"/>
    <n v="0"/>
    <n v="265.03320200000002"/>
    <n v="248.32569149699901"/>
  </r>
  <r>
    <x v="52"/>
    <s v="Truck 8"/>
    <n v="87"/>
    <n v="87"/>
    <n v="8.7931034482758594"/>
    <n v="18.654040190668901"/>
    <n v="17.736158248876599"/>
    <n v="116.826292911385"/>
    <n v="0"/>
    <n v="0"/>
    <n v="257.87812600000001"/>
    <n v="244.71841217799999"/>
  </r>
  <r>
    <x v="52"/>
    <s v="Truck 9"/>
    <n v="87"/>
    <n v="87"/>
    <n v="8.6551724137930997"/>
    <n v="18.516369286736602"/>
    <n v="17.736158248876599"/>
    <n v="116.60613048825699"/>
    <n v="0"/>
    <n v="0"/>
    <n v="243.75873799999999"/>
    <n v="230.487534508999"/>
  </r>
  <r>
    <x v="52"/>
    <s v="Truck 10"/>
    <n v="74"/>
    <n v="74"/>
    <n v="7.9594594594594597"/>
    <n v="18.474521307920899"/>
    <n v="17.736158248876599"/>
    <n v="103.314006428276"/>
    <n v="0"/>
    <n v="0"/>
    <n v="221.64947000000001"/>
    <n v="199.463015471999"/>
  </r>
  <r>
    <x v="52"/>
    <s v="Truck 11"/>
    <n v="88"/>
    <n v="88"/>
    <n v="8.6022727272727195"/>
    <n v="18.507808465198899"/>
    <n v="17.736158248876599"/>
    <n v="116.87205606242"/>
    <n v="0"/>
    <n v="0"/>
    <n v="247.74087700000001"/>
    <n v="234.382210861"/>
  </r>
  <r>
    <x v="53"/>
    <s v="Truck 0"/>
    <n v="121"/>
    <n v="108"/>
    <n v="10.3719008264462"/>
    <n v="23.097740689712101"/>
    <n v="19.1070389837822"/>
    <n v="129.352110825804"/>
    <n v="0"/>
    <n v="0"/>
    <n v="282.483924"/>
    <n v="256.56409011699901"/>
  </r>
  <r>
    <x v="53"/>
    <s v="Truck 1"/>
    <n v="117"/>
    <n v="117"/>
    <n v="13.991452991452899"/>
    <n v="21.2457779570219"/>
    <n v="19.1070389837822"/>
    <n v="123.560109309994"/>
    <n v="0"/>
    <n v="0"/>
    <n v="262.88886500000001"/>
    <n v="248.34335799899901"/>
  </r>
  <r>
    <x v="53"/>
    <s v="Truck 2"/>
    <n v="103"/>
    <n v="103"/>
    <n v="11.1067961165048"/>
    <n v="18.6990188789112"/>
    <n v="19.1070389837822"/>
    <n v="107.313973879115"/>
    <n v="0"/>
    <n v="0"/>
    <n v="253.20126099999999"/>
    <n v="238.51769993799999"/>
  </r>
  <r>
    <x v="53"/>
    <s v="Truck 3"/>
    <n v="130"/>
    <n v="130"/>
    <n v="11.9461538461538"/>
    <n v="24.104661983543199"/>
    <n v="19.1070389837822"/>
    <n v="136.55681956342201"/>
    <n v="0"/>
    <n v="0"/>
    <n v="300.99931299999997"/>
    <n v="279.23770350699903"/>
  </r>
  <r>
    <x v="54"/>
    <s v="Truck 0"/>
    <n v="81"/>
    <n v="79"/>
    <n v="7.2716049382715999"/>
    <n v="18.6456812937077"/>
    <n v="17.7729193860464"/>
    <n v="103.121397022368"/>
    <n v="0"/>
    <n v="0"/>
    <n v="224.81143699999899"/>
    <n v="203.235905548999"/>
  </r>
  <r>
    <x v="54"/>
    <s v="Truck 1"/>
    <n v="94"/>
    <n v="93"/>
    <n v="8.1276595744680797"/>
    <n v="20.567435008117702"/>
    <n v="17.7729193860464"/>
    <n v="130.72784812897501"/>
    <n v="0"/>
    <n v="0"/>
    <n v="272.11848700000002"/>
    <n v="256.11064798599898"/>
  </r>
  <r>
    <x v="54"/>
    <s v="Truck 2"/>
    <n v="93"/>
    <n v="92"/>
    <n v="7.89247311827957"/>
    <n v="20.561919577521"/>
    <n v="17.7729193860464"/>
    <n v="129.970836252151"/>
    <n v="0"/>
    <n v="0"/>
    <n v="283.628096999999"/>
    <n v="266.99261522099903"/>
  </r>
  <r>
    <x v="54"/>
    <s v="Truck 3"/>
    <n v="99"/>
    <n v="99"/>
    <n v="8.4444444444444393"/>
    <n v="21.191655414129801"/>
    <n v="17.7729193860464"/>
    <n v="135.700876702567"/>
    <n v="0"/>
    <n v="0"/>
    <n v="258.147785"/>
    <n v="243.22171900999999"/>
  </r>
  <r>
    <x v="54"/>
    <s v="Truck 4"/>
    <n v="98"/>
    <n v="98"/>
    <n v="8.3571428571428505"/>
    <n v="20.6450527212811"/>
    <n v="17.7729193860464"/>
    <n v="135.534799864174"/>
    <n v="0"/>
    <n v="0"/>
    <n v="250.18788499999999"/>
    <n v="233.91952756999899"/>
  </r>
  <r>
    <x v="54"/>
    <s v="Truck 5"/>
    <n v="99"/>
    <n v="98"/>
    <n v="8.5151515151515103"/>
    <n v="20.642244006968198"/>
    <n v="17.7729193860464"/>
    <n v="137.15831242915201"/>
    <n v="0"/>
    <n v="0"/>
    <n v="254.20648"/>
    <n v="238.33896794499901"/>
  </r>
  <r>
    <x v="54"/>
    <s v="Truck 6"/>
    <n v="77"/>
    <n v="76"/>
    <n v="6.8961038961038899"/>
    <n v="20.038581234714002"/>
    <n v="17.7729193860464"/>
    <n v="110.9058781577"/>
    <n v="0"/>
    <n v="0"/>
    <n v="227.149473999999"/>
    <n v="203.67804913999899"/>
  </r>
  <r>
    <x v="54"/>
    <s v="Truck 7"/>
    <n v="91"/>
    <n v="91"/>
    <n v="8.5274725274725203"/>
    <n v="20.833553442476902"/>
    <n v="17.7729193860464"/>
    <n v="122.55301040468299"/>
    <n v="0"/>
    <n v="0"/>
    <n v="282.08550500000001"/>
    <n v="264.20581646499897"/>
  </r>
  <r>
    <x v="54"/>
    <s v="Truck 8"/>
    <n v="86"/>
    <n v="86"/>
    <n v="8.66279069767441"/>
    <n v="18.401718121868999"/>
    <n v="17.7729193860464"/>
    <n v="115.44394518843499"/>
    <n v="0"/>
    <n v="0"/>
    <n v="241.681231"/>
    <n v="228.21919522299899"/>
  </r>
  <r>
    <x v="54"/>
    <s v="Truck 9"/>
    <n v="88"/>
    <n v="88"/>
    <n v="8.75"/>
    <n v="18.448097592530502"/>
    <n v="17.7729193860464"/>
    <n v="117.676183683377"/>
    <n v="0"/>
    <n v="0"/>
    <n v="243.05486200000001"/>
    <n v="229.68280860099901"/>
  </r>
  <r>
    <x v="54"/>
    <s v="Truck 10"/>
    <n v="73"/>
    <n v="73"/>
    <n v="7.8356164383561602"/>
    <n v="18.350658639996102"/>
    <n v="17.7729193860464"/>
    <n v="101.67205402784499"/>
    <n v="0"/>
    <n v="0"/>
    <n v="219.04356000000001"/>
    <n v="196.79683943199899"/>
  </r>
  <r>
    <x v="54"/>
    <s v="Truck 11"/>
    <n v="87"/>
    <n v="87"/>
    <n v="8.5172413793103399"/>
    <n v="18.362633652905899"/>
    <n v="17.7729193860464"/>
    <n v="116.914247794376"/>
    <n v="0"/>
    <n v="0"/>
    <n v="244.44671700000001"/>
    <n v="231.01979672100001"/>
  </r>
  <r>
    <x v="55"/>
    <s v="Truck 0"/>
    <n v="124"/>
    <n v="112"/>
    <n v="10.693548387096699"/>
    <n v="23.767990688232999"/>
    <n v="19.046094384068301"/>
    <n v="130.473060758016"/>
    <n v="0"/>
    <n v="0"/>
    <n v="284.05937943314399"/>
    <n v="258.75762733449398"/>
  </r>
  <r>
    <x v="55"/>
    <s v="Truck 1"/>
    <n v="117"/>
    <n v="117"/>
    <n v="14.094017094017"/>
    <n v="21.168147194595701"/>
    <n v="19.046094384068301"/>
    <n v="122.982622563192"/>
    <n v="0"/>
    <n v="0"/>
    <n v="258.34919509335901"/>
    <n v="243.557761714039"/>
  </r>
  <r>
    <x v="55"/>
    <s v="Truck 2"/>
    <n v="102"/>
    <n v="102"/>
    <n v="11.0686274509803"/>
    <n v="18.437868645378199"/>
    <n v="19.046094384068301"/>
    <n v="106.39651465985401"/>
    <n v="0"/>
    <n v="0"/>
    <n v="252.55298644884601"/>
    <n v="237.99045347200399"/>
  </r>
  <r>
    <x v="55"/>
    <s v="Truck 3"/>
    <n v="128"/>
    <n v="128"/>
    <n v="12.015625"/>
    <n v="23.776865671560198"/>
    <n v="19.046094384068301"/>
    <n v="135.34625600471401"/>
    <n v="0"/>
    <n v="0"/>
    <n v="292.17879005865001"/>
    <n v="268.87180952790197"/>
  </r>
  <r>
    <x v="56"/>
    <s v="Truck 0"/>
    <n v="121"/>
    <n v="108"/>
    <n v="10.3719008264462"/>
    <n v="23.463623069187999"/>
    <n v="19.121780183152801"/>
    <n v="129.035465635327"/>
    <n v="0"/>
    <n v="0"/>
    <n v="282.483924"/>
    <n v="256.56409011699901"/>
  </r>
  <r>
    <x v="56"/>
    <s v="Truck 1"/>
    <n v="118"/>
    <n v="118"/>
    <n v="14.067796610169401"/>
    <n v="21.2894902951783"/>
    <n v="19.121780183152801"/>
    <n v="123.74388919813001"/>
    <n v="0"/>
    <n v="0"/>
    <n v="264.25345099999998"/>
    <n v="249.53420354699901"/>
  </r>
  <r>
    <x v="56"/>
    <s v="Truck 2"/>
    <n v="102"/>
    <n v="102"/>
    <n v="11.0686274509803"/>
    <n v="18.734470484291801"/>
    <n v="19.121780183152801"/>
    <n v="107.696796893645"/>
    <n v="0"/>
    <n v="0"/>
    <n v="252.98262299999999"/>
    <n v="238.308244734"/>
  </r>
  <r>
    <x v="56"/>
    <s v="Truck 3"/>
    <n v="130"/>
    <n v="130"/>
    <n v="11.9461538461538"/>
    <n v="24.032638522628101"/>
    <n v="19.121780183152801"/>
    <n v="136.69013303487"/>
    <n v="0"/>
    <n v="0"/>
    <n v="300.99931299999997"/>
    <n v="276.920052432999"/>
  </r>
  <r>
    <x v="57"/>
    <s v="Truck 0"/>
    <n v="118"/>
    <n v="105"/>
    <n v="10.584745762711799"/>
    <n v="21.567957131677801"/>
    <n v="20.212813755624801"/>
    <n v="125.245736081004"/>
    <n v="0"/>
    <n v="0"/>
    <n v="258.52169099999998"/>
    <n v="237.82361907599901"/>
  </r>
  <r>
    <x v="57"/>
    <s v="Truck 1"/>
    <n v="117"/>
    <n v="117"/>
    <n v="13.991452991452899"/>
    <n v="21.0839593701123"/>
    <n v="20.212813755624801"/>
    <n v="122.695175626972"/>
    <n v="0"/>
    <n v="0"/>
    <n v="260.300499554287"/>
    <n v="245.708401975264"/>
  </r>
  <r>
    <x v="57"/>
    <s v="Truck 2"/>
    <n v="103"/>
    <n v="103"/>
    <n v="11.1067961165048"/>
    <n v="18.848885456124101"/>
    <n v="20.212813755624801"/>
    <n v="109.168115484522"/>
    <n v="0"/>
    <n v="0"/>
    <n v="253.20126099999999"/>
    <n v="241.437851338"/>
  </r>
  <r>
    <x v="57"/>
    <s v="Truck 3"/>
    <n v="123"/>
    <n v="123"/>
    <n v="12.520325203252"/>
    <n v="21.678758524270499"/>
    <n v="20.212813755624801"/>
    <n v="127.998502942497"/>
    <n v="0"/>
    <n v="0"/>
    <n v="268.62655485631302"/>
    <n v="251.647626221677"/>
  </r>
  <r>
    <x v="58"/>
    <s v="Truck 0"/>
    <n v="119"/>
    <n v="119"/>
    <n v="10.6890756302521"/>
    <n v="22.727976853066099"/>
    <n v="20.5324752438178"/>
    <n v="126.565903272794"/>
    <n v="0"/>
    <n v="0"/>
    <n v="266.12109524538101"/>
    <n v="245.659737182144"/>
  </r>
  <r>
    <x v="58"/>
    <s v="Truck 1"/>
    <n v="118"/>
    <n v="118"/>
    <n v="13.9745762711864"/>
    <n v="21.126420549077601"/>
    <n v="20.5324752438178"/>
    <n v="124.707147844535"/>
    <n v="0"/>
    <n v="0"/>
    <n v="246.795004559007"/>
    <n v="232.224312932538"/>
  </r>
  <r>
    <x v="58"/>
    <s v="Truck 2"/>
    <n v="115"/>
    <n v="115"/>
    <n v="13.834782608695599"/>
    <n v="21.435276631709002"/>
    <n v="20.5324752438178"/>
    <n v="120.70896986319001"/>
    <n v="0"/>
    <n v="0"/>
    <n v="288.69522658899098"/>
    <n v="271.59120299509198"/>
  </r>
  <r>
    <x v="58"/>
    <s v="Truck 3"/>
    <n v="135"/>
    <n v="135"/>
    <n v="14.5555555555555"/>
    <n v="23.330618030256399"/>
    <n v="20.5324752438178"/>
    <n v="141.32986011492599"/>
    <n v="0"/>
    <n v="0"/>
    <n v="306.41056022145199"/>
    <n v="291.38116707732399"/>
  </r>
  <r>
    <x v="59"/>
    <s v="Truck 0"/>
    <n v="122"/>
    <n v="109"/>
    <n v="10.4754098360655"/>
    <n v="23.459176434487102"/>
    <n v="19.1001570886271"/>
    <n v="130.099315932916"/>
    <n v="0"/>
    <n v="0"/>
    <n v="282.65154765784001"/>
    <n v="257.257837483196"/>
  </r>
  <r>
    <x v="59"/>
    <s v="Truck 1"/>
    <n v="117"/>
    <n v="117"/>
    <n v="13.991452991452899"/>
    <n v="21.171184432935799"/>
    <n v="19.1001570886271"/>
    <n v="122.994333013477"/>
    <n v="0"/>
    <n v="0"/>
    <n v="262.77877812540697"/>
    <n v="248.032986560664"/>
  </r>
  <r>
    <x v="59"/>
    <s v="Truck 2"/>
    <n v="102"/>
    <n v="102"/>
    <n v="11.0686274509803"/>
    <n v="18.557569719846001"/>
    <n v="19.1001570886271"/>
    <n v="107.144067535178"/>
    <n v="0"/>
    <n v="0"/>
    <n v="252.98262299999999"/>
    <n v="238.308244734"/>
  </r>
  <r>
    <x v="59"/>
    <s v="Truck 3"/>
    <n v="130"/>
    <n v="130"/>
    <n v="11.9461538461538"/>
    <n v="24.250369998402601"/>
    <n v="19.1001570886271"/>
    <n v="136.366367822733"/>
    <n v="0"/>
    <n v="0"/>
    <n v="298.46734920233598"/>
    <n v="274.673675636224"/>
  </r>
  <r>
    <x v="60"/>
    <s v="Truck 0"/>
    <n v="82"/>
    <n v="80"/>
    <n v="7.3048780487804796"/>
    <n v="18.749391458093498"/>
    <n v="17.753931293500798"/>
    <n v="105.08639110823999"/>
    <n v="0"/>
    <n v="0"/>
    <n v="224.300266999999"/>
    <n v="203.716319519"/>
  </r>
  <r>
    <x v="60"/>
    <s v="Truck 1"/>
    <n v="93"/>
    <n v="92"/>
    <n v="7.9354838709677402"/>
    <n v="20.2707890859575"/>
    <n v="17.753931293500798"/>
    <n v="130.270135175771"/>
    <n v="0"/>
    <n v="0"/>
    <n v="267.54310500000003"/>
    <n v="252.283299929999"/>
  </r>
  <r>
    <x v="60"/>
    <s v="Truck 2"/>
    <n v="94"/>
    <n v="92"/>
    <n v="8.0851063829787204"/>
    <n v="20.8651438203024"/>
    <n v="17.753931293500798"/>
    <n v="131.00900591762999"/>
    <n v="0"/>
    <n v="0"/>
    <n v="291.11599281197402"/>
    <n v="275.122038286936"/>
  </r>
  <r>
    <x v="60"/>
    <s v="Truck 3"/>
    <n v="100"/>
    <n v="99"/>
    <n v="8.48"/>
    <n v="20.8375112258854"/>
    <n v="17.753931293500798"/>
    <n v="136.96765744024501"/>
    <n v="0"/>
    <n v="0"/>
    <n v="250.04195907231301"/>
    <n v="235.407557547604"/>
  </r>
  <r>
    <x v="60"/>
    <s v="Truck 4"/>
    <n v="99"/>
    <n v="99"/>
    <n v="8.4444444444444393"/>
    <n v="20.660102273772701"/>
    <n v="17.753931293500798"/>
    <n v="136.05290597511501"/>
    <n v="0"/>
    <n v="0"/>
    <n v="249.49842956408"/>
    <n v="233.99040735547101"/>
  </r>
  <r>
    <x v="60"/>
    <s v="Truck 5"/>
    <n v="98"/>
    <n v="98"/>
    <n v="8.2653061224489797"/>
    <n v="20.802246646779"/>
    <n v="17.753931293500798"/>
    <n v="135.639184229504"/>
    <n v="0"/>
    <n v="0"/>
    <n v="248.05718153278801"/>
    <n v="232.638182315378"/>
  </r>
  <r>
    <x v="60"/>
    <s v="Truck 6"/>
    <n v="76"/>
    <n v="75"/>
    <n v="6.9605263157894699"/>
    <n v="19.8325706078626"/>
    <n v="17.753931293500798"/>
    <n v="108.67039958638399"/>
    <n v="0"/>
    <n v="0"/>
    <n v="227.946462999999"/>
    <n v="203.04934647299899"/>
  </r>
  <r>
    <x v="60"/>
    <s v="Truck 7"/>
    <n v="90"/>
    <n v="90"/>
    <n v="8.3333333333333304"/>
    <n v="20.284892545647299"/>
    <n v="17.753931293500798"/>
    <n v="121.84816846306499"/>
    <n v="0"/>
    <n v="0"/>
    <n v="268.15194100000002"/>
    <n v="251.47155168299901"/>
  </r>
  <r>
    <x v="60"/>
    <s v="Truck 8"/>
    <n v="85"/>
    <n v="85"/>
    <n v="8.5647058823529392"/>
    <n v="18.2433370215394"/>
    <n v="17.753931293500798"/>
    <n v="114.571695048354"/>
    <n v="0"/>
    <n v="0"/>
    <n v="244.51333399999999"/>
    <n v="231.63064669699901"/>
  </r>
  <r>
    <x v="60"/>
    <s v="Truck 9"/>
    <n v="87"/>
    <n v="87"/>
    <n v="8.6551724137930997"/>
    <n v="18.266066772022999"/>
    <n v="17.753931293500798"/>
    <n v="116.47454694818001"/>
    <n v="0"/>
    <n v="0"/>
    <n v="240.46431232441901"/>
    <n v="226.93399054125899"/>
  </r>
  <r>
    <x v="60"/>
    <s v="Truck 10"/>
    <n v="73"/>
    <n v="73"/>
    <n v="7.8356164383561602"/>
    <n v="18.2015293940206"/>
    <n v="17.753931293500798"/>
    <n v="102.242739350636"/>
    <n v="0"/>
    <n v="0"/>
    <n v="222.03952475789899"/>
    <n v="200.21715061554099"/>
  </r>
  <r>
    <x v="60"/>
    <s v="Truck 11"/>
    <n v="87"/>
    <n v="87"/>
    <n v="8.5517241379310303"/>
    <n v="18.747207099926801"/>
    <n v="17.753931293500798"/>
    <n v="116.98953682393901"/>
    <n v="0"/>
    <n v="0"/>
    <n v="250.04924927706099"/>
    <n v="236.72323927404801"/>
  </r>
  <r>
    <x v="61"/>
    <s v="Truck 0"/>
    <n v="123"/>
    <n v="123"/>
    <n v="12.959349593495901"/>
    <n v="21.341656048588199"/>
    <n v="19.570009787013799"/>
    <n v="129.36048025863201"/>
    <n v="0"/>
    <n v="0"/>
    <n v="238.113794346329"/>
    <n v="221.86296532876199"/>
  </r>
  <r>
    <x v="61"/>
    <s v="Truck 1"/>
    <n v="106"/>
    <n v="106"/>
    <n v="10.622641509433899"/>
    <n v="20.069817694804101"/>
    <n v="19.570009787013799"/>
    <n v="112.24755470076801"/>
    <n v="0"/>
    <n v="0"/>
    <n v="241.52006323260099"/>
    <n v="223.70830148566901"/>
  </r>
  <r>
    <x v="61"/>
    <s v="Truck 2"/>
    <n v="112"/>
    <n v="112"/>
    <n v="11.2410714285714"/>
    <n v="21.2389300996137"/>
    <n v="19.570009787013799"/>
    <n v="118.977807265895"/>
    <n v="0"/>
    <n v="0"/>
    <n v="275.74065901389599"/>
    <n v="259.46321076148502"/>
  </r>
  <r>
    <x v="61"/>
    <s v="Truck 3"/>
    <n v="103"/>
    <n v="103"/>
    <n v="12.8349514563106"/>
    <n v="19.7795506843763"/>
    <n v="19.570009787013799"/>
    <n v="109.09439266303499"/>
    <n v="0"/>
    <n v="0"/>
    <n v="246.231751051456"/>
    <n v="226.884365722295"/>
  </r>
  <r>
    <x v="62"/>
    <s v="Truck 0"/>
    <n v="121"/>
    <n v="108"/>
    <n v="10.892561983470999"/>
    <n v="21.5301915693815"/>
    <n v="19.6866710058673"/>
    <n v="127.868873612999"/>
    <n v="0"/>
    <n v="0"/>
    <n v="250.49589730114499"/>
    <n v="230.12330657401799"/>
  </r>
  <r>
    <x v="62"/>
    <s v="Truck 1"/>
    <n v="120"/>
    <n v="120"/>
    <n v="14.125"/>
    <n v="21.406278590322199"/>
    <n v="19.6866710058673"/>
    <n v="125.31026442006601"/>
    <n v="0"/>
    <n v="0"/>
    <n v="260.45394409335898"/>
    <n v="245.47009964403901"/>
  </r>
  <r>
    <x v="62"/>
    <s v="Truck 2"/>
    <n v="101"/>
    <n v="101"/>
    <n v="11.039603960396001"/>
    <n v="18.496237891526899"/>
    <n v="19.6866710058673"/>
    <n v="105.94031198846299"/>
    <n v="0"/>
    <n v="0"/>
    <n v="251.13265044884599"/>
    <n v="236.629771584004"/>
  </r>
  <r>
    <x v="62"/>
    <s v="Truck 3"/>
    <n v="126"/>
    <n v="126"/>
    <n v="11.968253968253901"/>
    <n v="23.6759361411669"/>
    <n v="19.6866710058673"/>
    <n v="133.04732512515301"/>
    <n v="0"/>
    <n v="0"/>
    <n v="286.270915280103"/>
    <n v="262.167175507227"/>
  </r>
  <r>
    <x v="63"/>
    <s v="Truck 0"/>
    <n v="73"/>
    <n v="73"/>
    <n v="7.2602739726027297"/>
    <n v="17.9971746284204"/>
    <n v="21.135303082301402"/>
    <n v="94.235169957254001"/>
    <n v="0"/>
    <n v="0"/>
    <n v="216.05221293997201"/>
    <n v="190.68967890808099"/>
  </r>
  <r>
    <x v="63"/>
    <s v="Truck 1"/>
    <n v="92"/>
    <n v="92"/>
    <n v="10.2717391304347"/>
    <n v="17.184628431198298"/>
    <n v="21.135303082301402"/>
    <n v="111.866540451727"/>
    <n v="0"/>
    <n v="0"/>
    <n v="230.382389177699"/>
    <n v="220.01161430909801"/>
  </r>
  <r>
    <x v="63"/>
    <s v="Truck 2"/>
    <n v="119"/>
    <n v="119"/>
    <n v="13.638655462184801"/>
    <n v="21.961268334654999"/>
    <n v="21.135303082301402"/>
    <n v="141.230430995956"/>
    <n v="0"/>
    <n v="0"/>
    <n v="318.70062106788299"/>
    <n v="307.94252579210502"/>
  </r>
  <r>
    <x v="63"/>
    <s v="Truck 3"/>
    <n v="102"/>
    <n v="102"/>
    <n v="11.176470588235199"/>
    <n v="18.525806802367899"/>
    <n v="21.135303082301402"/>
    <n v="123.89951187244201"/>
    <n v="0"/>
    <n v="0"/>
    <n v="260.84858799999898"/>
    <n v="251.08028244399901"/>
  </r>
  <r>
    <x v="63"/>
    <s v="Truck 4"/>
    <n v="89"/>
    <n v="85"/>
    <n v="8.8089887640449405"/>
    <n v="19.955627596862701"/>
    <n v="21.135303082301402"/>
    <n v="118.950484985488"/>
    <n v="0"/>
    <n v="0"/>
    <n v="263.54153123780497"/>
    <n v="239.901127187817"/>
  </r>
  <r>
    <x v="63"/>
    <s v="Truck 5"/>
    <n v="105"/>
    <n v="105"/>
    <n v="12.0571428571428"/>
    <n v="20.4068245033056"/>
    <n v="21.135303082301402"/>
    <n v="133.116218960498"/>
    <n v="0"/>
    <n v="0"/>
    <n v="275.08627287253"/>
    <n v="262.79887856744"/>
  </r>
  <r>
    <x v="63"/>
    <s v="Truck 6"/>
    <n v="108"/>
    <n v="103"/>
    <n v="10.009259259259199"/>
    <n v="20.092066870191399"/>
    <n v="21.135303082301402"/>
    <n v="145.388328749876"/>
    <n v="0"/>
    <n v="0"/>
    <n v="263.21861558397802"/>
    <n v="251.12571455483601"/>
  </r>
  <r>
    <x v="63"/>
    <s v="Truck 7"/>
    <n v="117"/>
    <n v="117"/>
    <n v="12.692307692307599"/>
    <n v="21.0550309808219"/>
    <n v="21.135303082301402"/>
    <n v="145.80786197722401"/>
    <n v="0"/>
    <n v="0"/>
    <n v="269.69545521499401"/>
    <n v="257.95572015623799"/>
  </r>
  <r>
    <x v="64"/>
    <s v="Truck 0"/>
    <n v="82"/>
    <n v="82"/>
    <n v="8.8536585365853604"/>
    <n v="17.758546101060599"/>
    <n v="22.182343519033601"/>
    <n v="102.58891624329701"/>
    <n v="0"/>
    <n v="0"/>
    <n v="241.070258177699"/>
    <n v="223.09112194909801"/>
  </r>
  <r>
    <x v="64"/>
    <s v="Truck 1"/>
    <n v="116"/>
    <n v="116"/>
    <n v="13.6293103448275"/>
    <n v="20.957026836167898"/>
    <n v="22.182343519033601"/>
    <n v="137.490491663521"/>
    <n v="0"/>
    <n v="0"/>
    <n v="257.56704545282901"/>
    <n v="246.20791570598001"/>
  </r>
  <r>
    <x v="64"/>
    <s v="Truck 2"/>
    <n v="104"/>
    <n v="104"/>
    <n v="11.432692307692299"/>
    <n v="20.031324452745299"/>
    <n v="22.182343519033601"/>
    <n v="122.492073771005"/>
    <n v="0"/>
    <n v="0"/>
    <n v="269.510989729654"/>
    <n v="249.18027192426501"/>
  </r>
  <r>
    <x v="64"/>
    <s v="Truck 3"/>
    <n v="108"/>
    <n v="103"/>
    <n v="10.009259259259199"/>
    <n v="20.564373001759201"/>
    <n v="22.182343519033601"/>
    <n v="145.68495773929399"/>
    <n v="0"/>
    <n v="0"/>
    <n v="290.62283076611101"/>
    <n v="277.54270044873903"/>
  </r>
  <r>
    <x v="64"/>
    <s v="Truck 4"/>
    <n v="118"/>
    <n v="118"/>
    <n v="12.711864406779601"/>
    <n v="21.681489460331001"/>
    <n v="22.182343519033601"/>
    <n v="147.57710911299"/>
    <n v="0"/>
    <n v="0"/>
    <n v="301.14161039617301"/>
    <n v="290.98130656567901"/>
  </r>
  <r>
    <x v="64"/>
    <s v="Truck 5"/>
    <n v="105"/>
    <n v="105"/>
    <n v="12.2095238095238"/>
    <n v="20.228263955036802"/>
    <n v="22.182343519033601"/>
    <n v="133.235857351627"/>
    <n v="0"/>
    <n v="0"/>
    <n v="265.60762083762302"/>
    <n v="252.46952770841901"/>
  </r>
  <r>
    <x v="64"/>
    <s v="Truck 6"/>
    <n v="102"/>
    <n v="99"/>
    <n v="9.3333333333333304"/>
    <n v="19.665291483936102"/>
    <n v="22.182343519033601"/>
    <n v="141.16886826769999"/>
    <n v="0"/>
    <n v="0"/>
    <n v="269.87525500485299"/>
    <n v="255.81535917888101"/>
  </r>
  <r>
    <x v="64"/>
    <s v="Truck 7"/>
    <n v="119"/>
    <n v="115"/>
    <n v="9.9075630252100808"/>
    <n v="23.0154275006864"/>
    <n v="22.182343519033601"/>
    <n v="156.696558283211"/>
    <n v="0"/>
    <n v="0"/>
    <n v="308.810079473261"/>
    <n v="291.12275276778001"/>
  </r>
  <r>
    <x v="65"/>
    <s v="Truck 0"/>
    <n v="82"/>
    <n v="82"/>
    <n v="8.8536585365853604"/>
    <n v="17.780376058543698"/>
    <n v="22.207318185529601"/>
    <n v="102.125749396271"/>
    <n v="0"/>
    <n v="0"/>
    <n v="234.99252147478501"/>
    <n v="216.72541524553199"/>
  </r>
  <r>
    <x v="65"/>
    <s v="Truck 1"/>
    <n v="92"/>
    <n v="92"/>
    <n v="10.2717391304347"/>
    <n v="17.384603900931602"/>
    <n v="22.207318185529601"/>
    <n v="112.79164773739799"/>
    <n v="0"/>
    <n v="0"/>
    <n v="235.60401106275299"/>
    <n v="226.091038308593"/>
  </r>
  <r>
    <x v="65"/>
    <s v="Truck 2"/>
    <n v="96"/>
    <n v="96"/>
    <n v="10.53125"/>
    <n v="18.269480333848598"/>
    <n v="22.207318185529601"/>
    <n v="116.701034048837"/>
    <n v="0"/>
    <n v="0"/>
    <n v="267.35928261505302"/>
    <n v="254.89432772212399"/>
  </r>
  <r>
    <x v="65"/>
    <s v="Truck 3"/>
    <n v="98"/>
    <n v="93"/>
    <n v="9.9489795918367303"/>
    <n v="19.000530694158201"/>
    <n v="22.207318185529601"/>
    <n v="128.000752915232"/>
    <n v="0"/>
    <n v="0"/>
    <n v="251.332639555372"/>
    <n v="235.39708256608699"/>
  </r>
  <r>
    <x v="65"/>
    <s v="Truck 4"/>
    <n v="117"/>
    <n v="117"/>
    <n v="12.692307692307599"/>
    <n v="21.601444378257899"/>
    <n v="22.207318185529601"/>
    <n v="145.634519998934"/>
    <n v="0"/>
    <n v="0"/>
    <n v="278.32536345926297"/>
    <n v="268.19346298152999"/>
  </r>
  <r>
    <x v="65"/>
    <s v="Truck 5"/>
    <n v="102"/>
    <n v="102"/>
    <n v="11.980392156862701"/>
    <n v="19.919183728181899"/>
    <n v="22.207318185529601"/>
    <n v="129.154221284068"/>
    <n v="0"/>
    <n v="0"/>
    <n v="262.29124208146101"/>
    <n v="249.02356459792699"/>
  </r>
  <r>
    <x v="65"/>
    <s v="Truck 6"/>
    <n v="103"/>
    <n v="97"/>
    <n v="9.3883495145630995"/>
    <n v="19.5672908276089"/>
    <n v="22.207318185529601"/>
    <n v="141.21280307962101"/>
    <n v="0"/>
    <n v="0"/>
    <n v="269.14098683936601"/>
    <n v="253.95327653595399"/>
  </r>
  <r>
    <x v="65"/>
    <s v="Truck 7"/>
    <n v="117"/>
    <n v="117"/>
    <n v="12.692307692307599"/>
    <n v="21.5835182584816"/>
    <n v="22.207318185529601"/>
    <n v="145.91590807399601"/>
    <n v="0"/>
    <n v="0"/>
    <n v="295.49634702895003"/>
    <n v="283.82536451784603"/>
  </r>
  <r>
    <x v="66"/>
    <s v="Truck 0"/>
    <n v="82"/>
    <n v="82"/>
    <n v="8.8536585365853604"/>
    <n v="18.228910408524499"/>
    <n v="22.5491037315402"/>
    <n v="102.205034052743"/>
    <n v="0"/>
    <n v="0"/>
    <n v="247.58705717769899"/>
    <n v="229.28672432609801"/>
  </r>
  <r>
    <x v="66"/>
    <s v="Truck 1"/>
    <n v="92"/>
    <n v="92"/>
    <n v="10.2717391304347"/>
    <n v="17.389880228520799"/>
    <n v="22.5491037315402"/>
    <n v="112.42321558467501"/>
    <n v="0"/>
    <n v="0"/>
    <n v="231.05219306275299"/>
    <n v="221.02956585459299"/>
  </r>
  <r>
    <x v="66"/>
    <s v="Truck 2"/>
    <n v="116"/>
    <n v="116"/>
    <n v="12.939655172413699"/>
    <n v="21.557270976445398"/>
    <n v="22.5491037315402"/>
    <n v="137.68824391997401"/>
    <n v="0"/>
    <n v="0"/>
    <n v="283.31760438143698"/>
    <n v="269.54513019530202"/>
  </r>
  <r>
    <x v="66"/>
    <s v="Truck 3"/>
    <n v="109"/>
    <n v="103"/>
    <n v="10.055045871559599"/>
    <n v="20.485874528987299"/>
    <n v="22.5491037315402"/>
    <n v="146.46717146929399"/>
    <n v="0"/>
    <n v="0"/>
    <n v="294.59691224968799"/>
    <n v="281.51752852402097"/>
  </r>
  <r>
    <x v="66"/>
    <s v="Truck 4"/>
    <n v="114"/>
    <n v="114"/>
    <n v="12.657894736842101"/>
    <n v="21.071270766959898"/>
    <n v="22.5491037315402"/>
    <n v="141.08490011358199"/>
    <n v="0"/>
    <n v="0"/>
    <n v="278.798698081461"/>
    <n v="268.31632307692701"/>
  </r>
  <r>
    <x v="66"/>
    <s v="Truck 5"/>
    <n v="105"/>
    <n v="105"/>
    <n v="12.0571428571428"/>
    <n v="20.459347426838601"/>
    <n v="22.5491037315402"/>
    <n v="132.20192402158401"/>
    <n v="0"/>
    <n v="0"/>
    <n v="286.38551621499403"/>
    <n v="273.75210441323799"/>
  </r>
  <r>
    <x v="66"/>
    <s v="Truck 6"/>
    <n v="103"/>
    <n v="99"/>
    <n v="9.3883495145630995"/>
    <n v="19.7110278187258"/>
    <n v="22.5491037315402"/>
    <n v="141.045094306538"/>
    <n v="0"/>
    <n v="0"/>
    <n v="269.20450800485298"/>
    <n v="253.175577503076"/>
  </r>
  <r>
    <x v="66"/>
    <s v="Truck 7"/>
    <n v="117"/>
    <n v="117"/>
    <n v="12.829059829059799"/>
    <n v="21.327853502406601"/>
    <n v="22.5491037315402"/>
    <n v="146.692291913996"/>
    <n v="0"/>
    <n v="0"/>
    <n v="269.03446856942702"/>
    <n v="257.86669000448001"/>
  </r>
  <r>
    <x v="67"/>
    <s v="Truck 0"/>
    <n v="82"/>
    <n v="82"/>
    <n v="8.8536585365853604"/>
    <n v="17.956549226797101"/>
    <n v="22.600118052859401"/>
    <n v="103.288625347389"/>
    <n v="0"/>
    <n v="0"/>
    <n v="242.425458177699"/>
    <n v="224.450290169098"/>
  </r>
  <r>
    <x v="67"/>
    <s v="Truck 1"/>
    <n v="106"/>
    <n v="101"/>
    <n v="9.9056603773584904"/>
    <n v="19.784435211750498"/>
    <n v="22.600118052859401"/>
    <n v="136.18417230743901"/>
    <n v="0"/>
    <n v="0"/>
    <n v="251.957875022536"/>
    <n v="239.858060352612"/>
  </r>
  <r>
    <x v="67"/>
    <s v="Truck 2"/>
    <n v="96"/>
    <n v="96"/>
    <n v="10.53125"/>
    <n v="17.9468058694851"/>
    <n v="22.600118052859401"/>
    <n v="116.874507613798"/>
    <n v="0"/>
    <n v="0"/>
    <n v="243.315476263584"/>
    <n v="231.15241536149699"/>
  </r>
  <r>
    <x v="67"/>
    <s v="Truck 3"/>
    <n v="108"/>
    <n v="102"/>
    <n v="10"/>
    <n v="20.1028065801253"/>
    <n v="22.600118052859401"/>
    <n v="138.00074288061199"/>
    <n v="0"/>
    <n v="0"/>
    <n v="264.95653207932202"/>
    <n v="251.58960222132299"/>
  </r>
  <r>
    <x v="67"/>
    <s v="Truck 4"/>
    <n v="117"/>
    <n v="117"/>
    <n v="12.692307692307599"/>
    <n v="21.624859201982002"/>
    <n v="22.600118052859401"/>
    <n v="144.59307210316501"/>
    <n v="0"/>
    <n v="0"/>
    <n v="283.21064345926402"/>
    <n v="272.54643594152998"/>
  </r>
  <r>
    <x v="67"/>
    <s v="Truck 5"/>
    <n v="96"/>
    <n v="91"/>
    <n v="8.9791666666666607"/>
    <n v="19.133388607609099"/>
    <n v="22.600118052859401"/>
    <n v="134.07801686759399"/>
    <n v="0"/>
    <n v="0"/>
    <n v="250.37260709441401"/>
    <n v="236.05904552495301"/>
  </r>
  <r>
    <x v="67"/>
    <s v="Truck 6"/>
    <n v="102"/>
    <n v="98"/>
    <n v="9.3333333333333304"/>
    <n v="19.774220147995599"/>
    <n v="22.600118052859401"/>
    <n v="140.59295113151799"/>
    <n v="0"/>
    <n v="0"/>
    <n v="280.07694624674798"/>
    <n v="264.40789466938401"/>
  </r>
  <r>
    <x v="67"/>
    <s v="Truck 7"/>
    <n v="118"/>
    <n v="118"/>
    <n v="12.711864406779601"/>
    <n v="21.765497369150399"/>
    <n v="22.600118052859401"/>
    <n v="148.59346023287699"/>
    <n v="0"/>
    <n v="0"/>
    <n v="296.76048348104001"/>
    <n v="285.252192138699"/>
  </r>
  <r>
    <x v="68"/>
    <s v="Truck 0"/>
    <n v="82"/>
    <n v="82"/>
    <n v="8.8536585365853604"/>
    <n v="17.670994075285801"/>
    <n v="22.132630265787501"/>
    <n v="102.96439892176301"/>
    <n v="0"/>
    <n v="0"/>
    <n v="231.96974817769899"/>
    <n v="213.65345921409801"/>
  </r>
  <r>
    <x v="68"/>
    <s v="Truck 1"/>
    <n v="115"/>
    <n v="115"/>
    <n v="13.6173913043478"/>
    <n v="21.017952788164301"/>
    <n v="22.132630265787501"/>
    <n v="135.07101401615699"/>
    <n v="0"/>
    <n v="0"/>
    <n v="256.70762400435802"/>
    <n v="246.42707253925099"/>
  </r>
  <r>
    <x v="68"/>
    <s v="Truck 2"/>
    <n v="106"/>
    <n v="106"/>
    <n v="11.4716981132075"/>
    <n v="20.3459559722818"/>
    <n v="22.132630265787501"/>
    <n v="126.085016292635"/>
    <n v="0"/>
    <n v="0"/>
    <n v="272.14423472965399"/>
    <n v="251.808787124265"/>
  </r>
  <r>
    <x v="68"/>
    <s v="Truck 3"/>
    <n v="103"/>
    <n v="97"/>
    <n v="9.3883495145630995"/>
    <n v="19.888651311710898"/>
    <n v="22.132630265787501"/>
    <n v="142.193054381689"/>
    <n v="0"/>
    <n v="0"/>
    <n v="271.97709254570202"/>
    <n v="260.12461692864798"/>
  </r>
  <r>
    <x v="68"/>
    <s v="Truck 4"/>
    <n v="107"/>
    <n v="104"/>
    <n v="9.9626168224299008"/>
    <n v="20.247544589322299"/>
    <n v="22.132630265787501"/>
    <n v="144.153545646754"/>
    <n v="0"/>
    <n v="0"/>
    <n v="275.56957502306"/>
    <n v="262.69229988264999"/>
  </r>
  <r>
    <x v="68"/>
    <s v="Truck 5"/>
    <n v="104"/>
    <n v="104"/>
    <n v="12.0288461538461"/>
    <n v="20.546317202683198"/>
    <n v="22.132630265787501"/>
    <n v="132.32897770526299"/>
    <n v="0"/>
    <n v="0"/>
    <n v="279.65183121499399"/>
    <n v="266.90192270823798"/>
  </r>
  <r>
    <x v="68"/>
    <s v="Truck 6"/>
    <n v="116"/>
    <n v="116"/>
    <n v="12.6724137931034"/>
    <n v="21.154419416599701"/>
    <n v="22.132630265787501"/>
    <n v="144.425061417102"/>
    <n v="0"/>
    <n v="0"/>
    <n v="266.94191706818299"/>
    <n v="255.78932698158201"/>
  </r>
  <r>
    <x v="68"/>
    <s v="Truck 7"/>
    <n v="120"/>
    <n v="116"/>
    <n v="9.9499999999999993"/>
    <n v="23.326710506049899"/>
    <n v="22.132630265787501"/>
    <n v="157.27781464222099"/>
    <n v="0"/>
    <n v="0"/>
    <n v="310.33506172866299"/>
    <n v="293.50597252877901"/>
  </r>
  <r>
    <x v="69"/>
    <s v="Truck 0"/>
    <n v="94"/>
    <n v="94"/>
    <n v="9.5638297872340399"/>
    <n v="19.312928258794301"/>
    <n v="21.702594035195599"/>
    <n v="114.300979218796"/>
    <n v="0"/>
    <n v="0"/>
    <n v="266.24870908647102"/>
    <n v="250.74777043197"/>
  </r>
  <r>
    <x v="69"/>
    <s v="Truck 1"/>
    <n v="115"/>
    <n v="115"/>
    <n v="13.539130434782599"/>
    <n v="21.439382789781199"/>
    <n v="21.702594035195599"/>
    <n v="137.34429670830099"/>
    <n v="0"/>
    <n v="0"/>
    <n v="279.55174603532299"/>
    <n v="268.552363757948"/>
  </r>
  <r>
    <x v="69"/>
    <s v="Truck 2"/>
    <n v="120"/>
    <n v="120"/>
    <n v="13.725"/>
    <n v="21.937011403342701"/>
    <n v="21.702594035195599"/>
    <n v="141.618141232272"/>
    <n v="0"/>
    <n v="0"/>
    <n v="300.76662204636"/>
    <n v="286.963744978195"/>
  </r>
  <r>
    <x v="69"/>
    <s v="Truck 3"/>
    <n v="76"/>
    <n v="76"/>
    <n v="8.8157894736842106"/>
    <n v="17.169391094462298"/>
    <n v="21.702594035195599"/>
    <n v="94.4624141314345"/>
    <n v="0"/>
    <n v="0"/>
    <n v="205.432161653279"/>
    <n v="185.554121858841"/>
  </r>
  <r>
    <x v="69"/>
    <s v="Truck 4"/>
    <n v="108"/>
    <n v="103"/>
    <n v="10.009259259259199"/>
    <n v="20.398802622490098"/>
    <n v="21.702594035195599"/>
    <n v="146.78140701110499"/>
    <n v="0"/>
    <n v="0"/>
    <n v="273.35525773585601"/>
    <n v="261.03378198474297"/>
  </r>
  <r>
    <x v="69"/>
    <s v="Truck 5"/>
    <n v="97"/>
    <n v="91"/>
    <n v="8.8969072164948404"/>
    <n v="20.567396271564402"/>
    <n v="21.702594035195599"/>
    <n v="135.557519903539"/>
    <n v="0"/>
    <n v="0"/>
    <n v="274.98657173017199"/>
    <n v="256.202379472774"/>
  </r>
  <r>
    <x v="69"/>
    <s v="Truck 6"/>
    <n v="108"/>
    <n v="105"/>
    <n v="10.009259259259199"/>
    <n v="20.5115756581007"/>
    <n v="21.702594035195599"/>
    <n v="146.05224111847301"/>
    <n v="0"/>
    <n v="0"/>
    <n v="270.18935156394701"/>
    <n v="257.00533374604299"/>
  </r>
  <r>
    <x v="69"/>
    <s v="Truck 7"/>
    <n v="117"/>
    <n v="117"/>
    <n v="12.615384615384601"/>
    <n v="21.8200808731502"/>
    <n v="21.702594035195599"/>
    <n v="147.31010840066199"/>
    <n v="0"/>
    <n v="0"/>
    <n v="302.18524185513002"/>
    <n v="291.46637523589601"/>
  </r>
  <r>
    <x v="70"/>
    <s v="Truck 0"/>
    <n v="100"/>
    <n v="100"/>
    <n v="10.45"/>
    <n v="19.351252214817301"/>
    <n v="22.2789043817871"/>
    <n v="137.097347262992"/>
    <n v="0"/>
    <n v="0"/>
    <n v="235.22915180610701"/>
    <n v="221.209346375498"/>
  </r>
  <r>
    <x v="70"/>
    <s v="Truck 1"/>
    <n v="92"/>
    <n v="92"/>
    <n v="10.0217391304347"/>
    <n v="19.870498463014201"/>
    <n v="22.2789043817871"/>
    <n v="125.121603958142"/>
    <n v="0"/>
    <n v="0"/>
    <n v="230.894736656661"/>
    <n v="212.52230009479101"/>
  </r>
  <r>
    <x v="70"/>
    <s v="Truck 2"/>
    <n v="103"/>
    <n v="103"/>
    <n v="10.6407766990291"/>
    <n v="20.065148453873299"/>
    <n v="22.2789043817871"/>
    <n v="139.746552743883"/>
    <n v="0"/>
    <n v="0"/>
    <n v="260.86989338474302"/>
    <n v="249.74564004643801"/>
  </r>
  <r>
    <x v="70"/>
    <s v="Truck 3"/>
    <n v="89"/>
    <n v="89"/>
    <n v="9.3483146067415692"/>
    <n v="18.201299625920601"/>
    <n v="22.2789043817871"/>
    <n v="118.10512103531499"/>
    <n v="0"/>
    <n v="0"/>
    <n v="219.83444231825499"/>
    <n v="204.03598366288901"/>
  </r>
  <r>
    <x v="70"/>
    <s v="Truck 4"/>
    <n v="94"/>
    <n v="94"/>
    <n v="10.3829787234042"/>
    <n v="17.0908167146744"/>
    <n v="22.2789043817871"/>
    <n v="122.149284243122"/>
    <n v="0"/>
    <n v="0"/>
    <n v="195.42769623347999"/>
    <n v="186.52905534414"/>
  </r>
  <r>
    <x v="70"/>
    <s v="Truck 5"/>
    <n v="81"/>
    <n v="81"/>
    <n v="9.1604938271604901"/>
    <n v="15.975023436746699"/>
    <n v="22.2789043817871"/>
    <n v="109.251833537518"/>
    <n v="0"/>
    <n v="0"/>
    <n v="195.872454951007"/>
    <n v="184.492910060588"/>
  </r>
  <r>
    <x v="70"/>
    <s v="Truck 6"/>
    <n v="82"/>
    <n v="82"/>
    <n v="10.024390243902401"/>
    <n v="16.2790090811034"/>
    <n v="22.2789043817871"/>
    <n v="106.173788600474"/>
    <n v="0"/>
    <n v="0"/>
    <n v="205.676007296531"/>
    <n v="192.85138408109799"/>
  </r>
  <r>
    <x v="70"/>
    <s v="Truck 7"/>
    <n v="94"/>
    <n v="94"/>
    <n v="10.3829787234042"/>
    <n v="17.676588580257601"/>
    <n v="22.2789043817871"/>
    <n v="123.59504439009901"/>
    <n v="0"/>
    <n v="0"/>
    <n v="232.44119599999999"/>
    <n v="222.05597144299901"/>
  </r>
  <r>
    <x v="70"/>
    <s v="Truck 8"/>
    <n v="82"/>
    <n v="82"/>
    <n v="9.1951219512195106"/>
    <n v="16.113633967862601"/>
    <n v="22.2789043817871"/>
    <n v="110.638121905673"/>
    <n v="0"/>
    <n v="0"/>
    <n v="202.28849950922501"/>
    <n v="188.67023556126199"/>
  </r>
  <r>
    <x v="70"/>
    <s v="Truck 9"/>
    <n v="86"/>
    <n v="86"/>
    <n v="9.4418604651162799"/>
    <n v="16.574615074276199"/>
    <n v="22.2789043817871"/>
    <n v="123.234396016728"/>
    <n v="0"/>
    <n v="0"/>
    <n v="213.66699791689399"/>
    <n v="203.68897972308301"/>
  </r>
  <r>
    <x v="70"/>
    <s v="Truck 10"/>
    <n v="96"/>
    <n v="96"/>
    <n v="10.15625"/>
    <n v="19.300829832189599"/>
    <n v="22.2789043817871"/>
    <n v="132.85421925318599"/>
    <n v="0"/>
    <n v="0"/>
    <n v="243.18964910178599"/>
    <n v="228.71559995101501"/>
  </r>
  <r>
    <x v="70"/>
    <s v="Truck 11"/>
    <n v="86"/>
    <n v="86"/>
    <n v="9.4418604651162799"/>
    <n v="16.809589717328802"/>
    <n v="22.2789043817871"/>
    <n v="122.440376250811"/>
    <n v="0"/>
    <n v="0"/>
    <n v="222.802721922182"/>
    <n v="212.07685040595601"/>
  </r>
  <r>
    <x v="71"/>
    <s v="Truck 0"/>
    <n v="82"/>
    <n v="82"/>
    <n v="8.8536585365853604"/>
    <n v="17.8152994202682"/>
    <n v="22.242177112854499"/>
    <n v="102.227524595209"/>
    <n v="0"/>
    <n v="0"/>
    <n v="234.99252147478501"/>
    <n v="216.72541524553199"/>
  </r>
  <r>
    <x v="71"/>
    <s v="Truck 1"/>
    <n v="91"/>
    <n v="91"/>
    <n v="10.219780219780199"/>
    <n v="17.3538365690505"/>
    <n v="22.242177112854499"/>
    <n v="111.521544343215"/>
    <n v="0"/>
    <n v="0"/>
    <n v="232.93050406275299"/>
    <n v="223.26985625759301"/>
  </r>
  <r>
    <x v="71"/>
    <s v="Truck 2"/>
    <n v="95"/>
    <n v="95"/>
    <n v="10.484210526315699"/>
    <n v="18.330213523985101"/>
    <n v="22.242177112854499"/>
    <n v="114.82458283118901"/>
    <n v="0"/>
    <n v="0"/>
    <n v="265.14506761505299"/>
    <n v="253.090487597124"/>
  </r>
  <r>
    <x v="71"/>
    <s v="Truck 3"/>
    <n v="97"/>
    <n v="93"/>
    <n v="9.8969072164948404"/>
    <n v="19.0064243741589"/>
    <n v="22.242177112854499"/>
    <n v="127.06717713278501"/>
    <n v="0"/>
    <n v="0"/>
    <n v="246.968358447866"/>
    <n v="231.19417620864601"/>
  </r>
  <r>
    <x v="71"/>
    <s v="Truck 4"/>
    <n v="117"/>
    <n v="117"/>
    <n v="12.692307692307599"/>
    <n v="21.515707587577602"/>
    <n v="22.242177112854499"/>
    <n v="145.26458470501501"/>
    <n v="0"/>
    <n v="0"/>
    <n v="277.73279256731797"/>
    <n v="267.88332662273399"/>
  </r>
  <r>
    <x v="71"/>
    <s v="Truck 5"/>
    <n v="105"/>
    <n v="105"/>
    <n v="12.0571428571428"/>
    <n v="20.044516856491501"/>
    <n v="22.242177112854499"/>
    <n v="133.95234786683301"/>
    <n v="0"/>
    <n v="0"/>
    <n v="263.95479908146098"/>
    <n v="250.77455724892701"/>
  </r>
  <r>
    <x v="71"/>
    <s v="Truck 6"/>
    <n v="103"/>
    <n v="97"/>
    <n v="9.3883495145630995"/>
    <n v="19.675432762359801"/>
    <n v="22.242177112854499"/>
    <n v="141.13058515951701"/>
    <n v="0"/>
    <n v="0"/>
    <n v="269.688517839366"/>
    <n v="254.439322178954"/>
  </r>
  <r>
    <x v="71"/>
    <s v="Truck 7"/>
    <n v="118"/>
    <n v="118"/>
    <n v="12.711864406779601"/>
    <n v="21.891587738491999"/>
    <n v="22.242177112854499"/>
    <n v="147.151800557543"/>
    <n v="0"/>
    <n v="0"/>
    <n v="295.08538802894998"/>
    <n v="283.68463103084599"/>
  </r>
  <r>
    <x v="72"/>
    <s v="Truck 0"/>
    <n v="100"/>
    <n v="100"/>
    <n v="10.45"/>
    <n v="19.248287556425201"/>
    <n v="22.338923418057099"/>
    <n v="136.06733480861701"/>
    <n v="0"/>
    <n v="0"/>
    <n v="236.76117591344899"/>
    <n v="222.37715932989099"/>
  </r>
  <r>
    <x v="72"/>
    <s v="Truck 1"/>
    <n v="96"/>
    <n v="96"/>
    <n v="9.96875"/>
    <n v="20.177730211602999"/>
    <n v="22.338923418057099"/>
    <n v="131.25476699670301"/>
    <n v="0"/>
    <n v="0"/>
    <n v="235.860530747246"/>
    <n v="218.220545804697"/>
  </r>
  <r>
    <x v="72"/>
    <s v="Truck 2"/>
    <n v="103"/>
    <n v="103"/>
    <n v="10.6407766990291"/>
    <n v="20.031212544965701"/>
    <n v="22.338923418057099"/>
    <n v="140.544531915948"/>
    <n v="0"/>
    <n v="0"/>
    <n v="263.35278499835402"/>
    <n v="248.03046172832401"/>
  </r>
  <r>
    <x v="72"/>
    <s v="Truck 3"/>
    <n v="89"/>
    <n v="89"/>
    <n v="9.3483146067415692"/>
    <n v="18.2227106446745"/>
    <n v="22.338923418057099"/>
    <n v="118.08851290021499"/>
    <n v="0"/>
    <n v="0"/>
    <n v="219.83444231825499"/>
    <n v="204.03598366288901"/>
  </r>
  <r>
    <x v="72"/>
    <s v="Truck 4"/>
    <n v="94"/>
    <n v="94"/>
    <n v="10.3829787234042"/>
    <n v="17.216497544322198"/>
    <n v="22.338923418057099"/>
    <n v="123.594017048857"/>
    <n v="0"/>
    <n v="0"/>
    <n v="195.42769623347999"/>
    <n v="186.52905534414"/>
  </r>
  <r>
    <x v="72"/>
    <s v="Truck 5"/>
    <n v="80"/>
    <n v="80"/>
    <n v="9.0875000000000004"/>
    <n v="16.0016643396022"/>
    <n v="22.338923418057099"/>
    <n v="108.30783115198"/>
    <n v="0"/>
    <n v="0"/>
    <n v="193.37872730173001"/>
    <n v="182.08330074866799"/>
  </r>
  <r>
    <x v="72"/>
    <s v="Truck 6"/>
    <n v="83"/>
    <n v="83"/>
    <n v="10.084337349397501"/>
    <n v="16.260276624735098"/>
    <n v="22.338923418057099"/>
    <n v="105.858705960281"/>
    <n v="0"/>
    <n v="0"/>
    <n v="204.55884159998001"/>
    <n v="191.616215892009"/>
  </r>
  <r>
    <x v="72"/>
    <s v="Truck 7"/>
    <n v="93"/>
    <n v="93"/>
    <n v="10.3333333333333"/>
    <n v="17.344877865411501"/>
    <n v="22.338923418057099"/>
    <n v="122.39590298410999"/>
    <n v="0"/>
    <n v="0"/>
    <n v="231.75764799999999"/>
    <n v="221.337855093999"/>
  </r>
  <r>
    <x v="72"/>
    <s v="Truck 8"/>
    <n v="82"/>
    <n v="82"/>
    <n v="9.1951219512195106"/>
    <n v="16.211686534806301"/>
    <n v="22.338923418057099"/>
    <n v="110.97591970995001"/>
    <n v="0"/>
    <n v="0"/>
    <n v="202.21344281720599"/>
    <n v="188.65508623101201"/>
  </r>
  <r>
    <x v="72"/>
    <s v="Truck 9"/>
    <n v="96"/>
    <n v="96"/>
    <n v="10.3229166666666"/>
    <n v="18.7125099393926"/>
    <n v="22.338923418057099"/>
    <n v="134.00501962190299"/>
    <n v="0"/>
    <n v="0"/>
    <n v="225.74346016743499"/>
    <n v="209.771693982561"/>
  </r>
  <r>
    <x v="72"/>
    <s v="Truck 10"/>
    <n v="86"/>
    <n v="86"/>
    <n v="9.4418604651162799"/>
    <n v="17.024186273712498"/>
    <n v="22.338923418057099"/>
    <n v="122.985191216739"/>
    <n v="0"/>
    <n v="0"/>
    <n v="235.47564464214301"/>
    <n v="225.885145252981"/>
  </r>
  <r>
    <x v="72"/>
    <s v="Truck 11"/>
    <n v="84"/>
    <n v="84"/>
    <n v="9.3095238095238102"/>
    <n v="16.559316041066801"/>
    <n v="22.338923418057099"/>
    <n v="120.291211276461"/>
    <n v="0"/>
    <n v="0"/>
    <n v="221.80848148279699"/>
    <n v="211.572211782968"/>
  </r>
  <r>
    <x v="73"/>
    <s v="Truck 0"/>
    <n v="83"/>
    <n v="83"/>
    <n v="7.8313253012048101"/>
    <n v="19.1701530893667"/>
    <n v="22.081656153887799"/>
    <n v="114.96736881276701"/>
    <n v="0"/>
    <n v="0"/>
    <n v="220.03739142510699"/>
    <n v="198.114589082664"/>
  </r>
  <r>
    <x v="73"/>
    <s v="Truck 1"/>
    <n v="87"/>
    <n v="87"/>
    <n v="10.6666666666666"/>
    <n v="18.1214093355381"/>
    <n v="22.081656153887799"/>
    <n v="114.92742097865199"/>
    <n v="0"/>
    <n v="0"/>
    <n v="223.13971043227701"/>
    <n v="207.38247385405799"/>
  </r>
  <r>
    <x v="73"/>
    <s v="Truck 2"/>
    <n v="104"/>
    <n v="104"/>
    <n v="10.5288461538461"/>
    <n v="20.087205404470399"/>
    <n v="22.081656153887799"/>
    <n v="142.375033332279"/>
    <n v="0"/>
    <n v="0"/>
    <n v="259.69818663520499"/>
    <n v="245.171551411954"/>
  </r>
  <r>
    <x v="73"/>
    <s v="Truck 3"/>
    <n v="93"/>
    <n v="93"/>
    <n v="10.3333333333333"/>
    <n v="17.089008528547701"/>
    <n v="22.081656153887799"/>
    <n v="121.48945153469199"/>
    <n v="0"/>
    <n v="0"/>
    <n v="203.17892541881"/>
    <n v="193.50754730152599"/>
  </r>
  <r>
    <x v="73"/>
    <s v="Truck 4"/>
    <n v="96"/>
    <n v="96"/>
    <n v="10.1979166666666"/>
    <n v="18.980667999294699"/>
    <n v="22.081656153887799"/>
    <n v="125.074554287319"/>
    <n v="0"/>
    <n v="0"/>
    <n v="227.294132838606"/>
    <n v="214.79471885936101"/>
  </r>
  <r>
    <x v="73"/>
    <s v="Truck 5"/>
    <n v="97"/>
    <n v="97"/>
    <n v="10.3711340206185"/>
    <n v="18.9151882205121"/>
    <n v="22.081656153887799"/>
    <n v="133.947865602137"/>
    <n v="0"/>
    <n v="0"/>
    <n v="228.52645192918499"/>
    <n v="214.35078874165001"/>
  </r>
  <r>
    <x v="73"/>
    <s v="Truck 6"/>
    <n v="78"/>
    <n v="78"/>
    <n v="8.9743589743589691"/>
    <n v="15.500214934443299"/>
    <n v="22.081656153887799"/>
    <n v="105.72869560798701"/>
    <n v="0"/>
    <n v="0"/>
    <n v="193.939177999999"/>
    <n v="179.551018048"/>
  </r>
  <r>
    <x v="73"/>
    <s v="Truck 7"/>
    <n v="94"/>
    <n v="94"/>
    <n v="10.3829787234042"/>
    <n v="17.5493435976048"/>
    <n v="22.081656153887799"/>
    <n v="122.10253222111"/>
    <n v="0"/>
    <n v="0"/>
    <n v="235.16675599999999"/>
    <n v="224.91565661299899"/>
  </r>
  <r>
    <x v="73"/>
    <s v="Truck 8"/>
    <n v="81"/>
    <n v="81"/>
    <n v="9.1234567901234502"/>
    <n v="16.084029779570301"/>
    <n v="22.081656153887799"/>
    <n v="109.164155830689"/>
    <n v="0"/>
    <n v="0"/>
    <n v="198.36966412750601"/>
    <n v="184.767727256462"/>
  </r>
  <r>
    <x v="73"/>
    <s v="Truck 9"/>
    <n v="86"/>
    <n v="86"/>
    <n v="9.4418604651162799"/>
    <n v="16.7686359644314"/>
    <n v="22.081656153887799"/>
    <n v="121.599332987132"/>
    <n v="0"/>
    <n v="0"/>
    <n v="213.243359107282"/>
    <n v="203.26746920063701"/>
  </r>
  <r>
    <x v="73"/>
    <s v="Truck 10"/>
    <n v="93"/>
    <n v="93"/>
    <n v="10.2365591397849"/>
    <n v="17.3061767678198"/>
    <n v="22.081656153887799"/>
    <n v="122.69147662519801"/>
    <n v="0"/>
    <n v="0"/>
    <n v="223.749225708279"/>
    <n v="214.40384180720301"/>
  </r>
  <r>
    <x v="73"/>
    <s v="Truck 11"/>
    <n v="86"/>
    <n v="86"/>
    <n v="9.4418604651162799"/>
    <n v="16.708883033059099"/>
    <n v="22.081656153887799"/>
    <n v="123.32141833662899"/>
    <n v="0"/>
    <n v="0"/>
    <n v="215.35919672597399"/>
    <n v="204.70427955621599"/>
  </r>
  <r>
    <x v="74"/>
    <s v="Truck 0"/>
    <n v="99"/>
    <n v="95"/>
    <n v="9.1010101010101003"/>
    <n v="18.9335934152836"/>
    <n v="22.263093745665302"/>
    <n v="136.99436304957399"/>
    <n v="0"/>
    <n v="0"/>
    <n v="207.80552238475599"/>
    <n v="194.55936123142101"/>
  </r>
  <r>
    <x v="74"/>
    <s v="Truck 1"/>
    <n v="95"/>
    <n v="95"/>
    <n v="10.084210526315699"/>
    <n v="20.324479641855302"/>
    <n v="22.263093745665302"/>
    <n v="128.65183373008901"/>
    <n v="0"/>
    <n v="0"/>
    <n v="244.160013182314"/>
    <n v="225.277728013596"/>
  </r>
  <r>
    <x v="74"/>
    <s v="Truck 2"/>
    <n v="103"/>
    <n v="103"/>
    <n v="10.407766990291201"/>
    <n v="20.0903742692139"/>
    <n v="22.263093745665302"/>
    <n v="140.06766392028101"/>
    <n v="0"/>
    <n v="0"/>
    <n v="260.07150845207701"/>
    <n v="244.98439781421499"/>
  </r>
  <r>
    <x v="74"/>
    <s v="Truck 3"/>
    <n v="88"/>
    <n v="88"/>
    <n v="9.2840909090908994"/>
    <n v="18.281634223563099"/>
    <n v="22.263093745665302"/>
    <n v="116.540389680356"/>
    <n v="0"/>
    <n v="0"/>
    <n v="222.23024231825499"/>
    <n v="207.20296649788901"/>
  </r>
  <r>
    <x v="74"/>
    <s v="Truck 4"/>
    <n v="94"/>
    <n v="94"/>
    <n v="10.3829787234042"/>
    <n v="17.351473406333"/>
    <n v="22.263093745665302"/>
    <n v="123.560403636102"/>
    <n v="0"/>
    <n v="0"/>
    <n v="203.801018"/>
    <n v="194.12658476899901"/>
  </r>
  <r>
    <x v="74"/>
    <s v="Truck 5"/>
    <n v="80"/>
    <n v="80"/>
    <n v="9.0749999999999993"/>
    <n v="15.906768889578499"/>
    <n v="22.263093745665302"/>
    <n v="108.682218954972"/>
    <n v="0"/>
    <n v="0"/>
    <n v="198.84293094775401"/>
    <n v="187.52008841870401"/>
  </r>
  <r>
    <x v="74"/>
    <s v="Truck 6"/>
    <n v="94"/>
    <n v="94"/>
    <n v="10.3829787234042"/>
    <n v="17.608863069737499"/>
    <n v="22.263093745665302"/>
    <n v="121.99206151476"/>
    <n v="0"/>
    <n v="0"/>
    <n v="222.11949875919501"/>
    <n v="211.60697562686099"/>
  </r>
  <r>
    <x v="74"/>
    <s v="Truck 7"/>
    <n v="86"/>
    <n v="86"/>
    <n v="10.1860465116279"/>
    <n v="16.6023843290027"/>
    <n v="22.263093745665302"/>
    <n v="110.379031345401"/>
    <n v="0"/>
    <n v="0"/>
    <n v="201.089416"/>
    <n v="188.804775282999"/>
  </r>
  <r>
    <x v="74"/>
    <s v="Truck 8"/>
    <n v="82"/>
    <n v="82"/>
    <n v="9.1951219512195106"/>
    <n v="16.2255072173641"/>
    <n v="22.263093745665302"/>
    <n v="109.641814357285"/>
    <n v="0"/>
    <n v="0"/>
    <n v="226.914334817206"/>
    <n v="213.80268846701199"/>
  </r>
  <r>
    <x v="74"/>
    <s v="Truck 9"/>
    <n v="80"/>
    <n v="80"/>
    <n v="9.1374999999999993"/>
    <n v="15.958757394162999"/>
    <n v="22.263093745665302"/>
    <n v="107.807674949431"/>
    <n v="0"/>
    <n v="0"/>
    <n v="197.26754"/>
    <n v="183.72885541899899"/>
  </r>
  <r>
    <x v="74"/>
    <s v="Truck 10"/>
    <n v="85"/>
    <n v="85"/>
    <n v="9.3764705882352892"/>
    <n v="16.640492515404802"/>
    <n v="22.263093745665302"/>
    <n v="121.242658611341"/>
    <n v="0"/>
    <n v="0"/>
    <n v="208.74983262156499"/>
    <n v="198.437397736897"/>
  </r>
  <r>
    <x v="74"/>
    <s v="Truck 11"/>
    <n v="84"/>
    <n v="84"/>
    <n v="9.3095238095238102"/>
    <n v="16.579556091974901"/>
    <n v="22.263093745665302"/>
    <n v="121.54097971864999"/>
    <n v="0"/>
    <n v="0"/>
    <n v="223.83185250337499"/>
    <n v="213.72135667605099"/>
  </r>
  <r>
    <x v="75"/>
    <s v="Truck 0"/>
    <n v="94"/>
    <n v="94"/>
    <n v="10.127659574468"/>
    <n v="20.189940757038801"/>
    <n v="22.390308282084099"/>
    <n v="127.697775369005"/>
    <n v="0"/>
    <n v="0"/>
    <n v="246.17687525101601"/>
    <n v="226.12975192453399"/>
  </r>
  <r>
    <x v="75"/>
    <s v="Truck 1"/>
    <n v="100"/>
    <n v="100"/>
    <n v="10.29"/>
    <n v="19.2815001234923"/>
    <n v="22.390308282084099"/>
    <n v="136.35205568146699"/>
    <n v="0"/>
    <n v="0"/>
    <n v="215.78661589520701"/>
    <n v="203.37807358648001"/>
  </r>
  <r>
    <x v="75"/>
    <s v="Truck 2"/>
    <n v="104"/>
    <n v="104"/>
    <n v="10.682692307692299"/>
    <n v="20.0586352675451"/>
    <n v="22.390308282084099"/>
    <n v="140.683247099874"/>
    <n v="0"/>
    <n v="0"/>
    <n v="261.26197374747198"/>
    <n v="246.41649995866601"/>
  </r>
  <r>
    <x v="75"/>
    <s v="Truck 3"/>
    <n v="89"/>
    <n v="89"/>
    <n v="9.3483146067415692"/>
    <n v="18.471137746268599"/>
    <n v="22.390308282084099"/>
    <n v="116.874879602288"/>
    <n v="0"/>
    <n v="0"/>
    <n v="220.231597563245"/>
    <n v="205.599619752466"/>
  </r>
  <r>
    <x v="75"/>
    <s v="Truck 4"/>
    <n v="93"/>
    <n v="93"/>
    <n v="10.3333333333333"/>
    <n v="17.160064583191001"/>
    <n v="22.390308282084099"/>
    <n v="121.08188282368501"/>
    <n v="0"/>
    <n v="0"/>
    <n v="196.27851269332299"/>
    <n v="186.51807818555301"/>
  </r>
  <r>
    <x v="75"/>
    <s v="Truck 5"/>
    <n v="80"/>
    <n v="80"/>
    <n v="9.0749999999999993"/>
    <n v="15.8258921918602"/>
    <n v="22.390308282084099"/>
    <n v="108.33124299430099"/>
    <n v="0"/>
    <n v="0"/>
    <n v="202.769348705086"/>
    <n v="191.344364034828"/>
  </r>
  <r>
    <x v="75"/>
    <s v="Truck 6"/>
    <n v="93"/>
    <n v="93"/>
    <n v="10.322580645161199"/>
    <n v="17.288350138932302"/>
    <n v="22.390308282084099"/>
    <n v="120.847970239067"/>
    <n v="0"/>
    <n v="0"/>
    <n v="214.74292120331501"/>
    <n v="204.65003496191699"/>
  </r>
  <r>
    <x v="75"/>
    <s v="Truck 7"/>
    <n v="93"/>
    <n v="93"/>
    <n v="10.3333333333333"/>
    <n v="17.418422621936099"/>
    <n v="22.390308282084099"/>
    <n v="121.96874470245599"/>
    <n v="0"/>
    <n v="0"/>
    <n v="223.70965584194499"/>
    <n v="213.80692185150599"/>
  </r>
  <r>
    <x v="75"/>
    <s v="Truck 8"/>
    <n v="82"/>
    <n v="82"/>
    <n v="9.1951219512195106"/>
    <n v="16.0548629131636"/>
    <n v="22.390308282084099"/>
    <n v="110.043031614299"/>
    <n v="0"/>
    <n v="0"/>
    <n v="201.79597850922499"/>
    <n v="188.13396461326201"/>
  </r>
  <r>
    <x v="75"/>
    <s v="Truck 9"/>
    <n v="79"/>
    <n v="79"/>
    <n v="9.0506329113924"/>
    <n v="15.7201713751426"/>
    <n v="22.390308282084099"/>
    <n v="107.48590451491999"/>
    <n v="0"/>
    <n v="0"/>
    <n v="186.04840466720501"/>
    <n v="172.491103135061"/>
  </r>
  <r>
    <x v="75"/>
    <s v="Truck 10"/>
    <n v="85"/>
    <n v="85"/>
    <n v="9.3647058823529399"/>
    <n v="16.735197580758101"/>
    <n v="22.390308282084099"/>
    <n v="121.779085150458"/>
    <n v="0"/>
    <n v="0"/>
    <n v="223.079659060951"/>
    <n v="211.83119822788601"/>
  </r>
  <r>
    <x v="75"/>
    <s v="Truck 11"/>
    <n v="86"/>
    <n v="86"/>
    <n v="9.4418604651162799"/>
    <n v="16.5356742621283"/>
    <n v="22.390308282084099"/>
    <n v="122.224218543643"/>
    <n v="0"/>
    <n v="0"/>
    <n v="213.93817472597399"/>
    <n v="203.36195667021599"/>
  </r>
  <r>
    <x v="76"/>
    <s v="Truck 0"/>
    <n v="81"/>
    <n v="81"/>
    <n v="8.7777777777777697"/>
    <n v="17.835131748362301"/>
    <n v="22.509028203194301"/>
    <n v="101.889074807233"/>
    <n v="0"/>
    <n v="0"/>
    <n v="242.196882177699"/>
    <n v="224.569508396098"/>
  </r>
  <r>
    <x v="76"/>
    <s v="Truck 1"/>
    <n v="93"/>
    <n v="93"/>
    <n v="10.430107526881701"/>
    <n v="17.630198937763701"/>
    <n v="22.509028203194301"/>
    <n v="112.38815026792901"/>
    <n v="0"/>
    <n v="0"/>
    <n v="237.78264795120199"/>
    <n v="226.89000623432301"/>
  </r>
  <r>
    <x v="76"/>
    <s v="Truck 2"/>
    <n v="96"/>
    <n v="96"/>
    <n v="10.53125"/>
    <n v="17.823396538042999"/>
    <n v="22.509028203194301"/>
    <n v="116.60470977663201"/>
    <n v="0"/>
    <n v="0"/>
    <n v="242.41194926358401"/>
    <n v="230.31510530049701"/>
  </r>
  <r>
    <x v="76"/>
    <s v="Truck 3"/>
    <n v="107"/>
    <n v="101"/>
    <n v="9.9532710280373795"/>
    <n v="19.958006604365298"/>
    <n v="22.509028203194301"/>
    <n v="136.920009668398"/>
    <n v="0"/>
    <n v="0"/>
    <n v="272.10970855537198"/>
    <n v="258.20319910108799"/>
  </r>
  <r>
    <x v="76"/>
    <s v="Truck 4"/>
    <n v="109"/>
    <n v="103"/>
    <n v="10.055045871559599"/>
    <n v="20.2277495605783"/>
    <n v="22.509028203194301"/>
    <n v="147.35809282181199"/>
    <n v="0"/>
    <n v="0"/>
    <n v="267.37229825281503"/>
    <n v="255.699519261494"/>
  </r>
  <r>
    <x v="76"/>
    <s v="Truck 5"/>
    <n v="104"/>
    <n v="104"/>
    <n v="12.0288461538461"/>
    <n v="19.849019612749601"/>
    <n v="22.509028203194301"/>
    <n v="132.41587127187299"/>
    <n v="0"/>
    <n v="0"/>
    <n v="254.83335445012301"/>
    <n v="241.53948675422501"/>
  </r>
  <r>
    <x v="76"/>
    <s v="Truck 6"/>
    <n v="103"/>
    <n v="98"/>
    <n v="9.3883495145630995"/>
    <n v="20.093567220436501"/>
    <n v="22.509028203194301"/>
    <n v="141.47443400829101"/>
    <n v="0"/>
    <n v="0"/>
    <n v="276.44068031810201"/>
    <n v="261.03643165368698"/>
  </r>
  <r>
    <x v="76"/>
    <s v="Truck 7"/>
    <n v="117"/>
    <n v="117"/>
    <n v="12.5641025641025"/>
    <n v="21.640004213592199"/>
    <n v="22.509028203194301"/>
    <n v="146.36495472476801"/>
    <n v="0"/>
    <n v="0"/>
    <n v="294.81217640975501"/>
    <n v="283.13300905013"/>
  </r>
  <r>
    <x v="77"/>
    <s v="Truck 0"/>
    <n v="88"/>
    <n v="88"/>
    <n v="8.8636363636363598"/>
    <n v="18.063979727241598"/>
    <n v="22.067447821352701"/>
    <n v="119.189413799029"/>
    <n v="0"/>
    <n v="0"/>
    <n v="208.191425239712"/>
    <n v="193.47753737002699"/>
  </r>
  <r>
    <x v="77"/>
    <s v="Truck 1"/>
    <n v="91"/>
    <n v="91"/>
    <n v="8.8901098901098905"/>
    <n v="18.509024601388798"/>
    <n v="22.067447821352701"/>
    <n v="118.842067909394"/>
    <n v="0"/>
    <n v="0"/>
    <n v="217.15947899999901"/>
    <n v="203.103880271999"/>
  </r>
  <r>
    <x v="77"/>
    <s v="Truck 2"/>
    <n v="87"/>
    <n v="87"/>
    <n v="9.5517241379310303"/>
    <n v="16.828445298842901"/>
    <n v="22.067447821352701"/>
    <n v="115.308064995482"/>
    <n v="0"/>
    <n v="0"/>
    <n v="220.85158117381999"/>
    <n v="207.82225516994899"/>
  </r>
  <r>
    <x v="77"/>
    <s v="Truck 3"/>
    <n v="87"/>
    <n v="87"/>
    <n v="9.5287356321838992"/>
    <n v="16.590496169342"/>
    <n v="22.067447821352701"/>
    <n v="115.17673211837"/>
    <n v="0"/>
    <n v="0"/>
    <n v="206.289840275335"/>
    <n v="195.03886342885599"/>
  </r>
  <r>
    <x v="77"/>
    <s v="Truck 4"/>
    <n v="95"/>
    <n v="95"/>
    <n v="10.052631578947301"/>
    <n v="18.9907800539928"/>
    <n v="22.067447821352701"/>
    <n v="123.763810836513"/>
    <n v="0"/>
    <n v="0"/>
    <n v="231.077504523714"/>
    <n v="218.18240281130801"/>
  </r>
  <r>
    <x v="77"/>
    <s v="Truck 5"/>
    <n v="82"/>
    <n v="82"/>
    <n v="9.1951219512195106"/>
    <n v="16.1358399442536"/>
    <n v="22.067447821352701"/>
    <n v="110.965318873725"/>
    <n v="0"/>
    <n v="0"/>
    <n v="205.40520799999999"/>
    <n v="193.32260816599899"/>
  </r>
  <r>
    <x v="77"/>
    <s v="Truck 6"/>
    <n v="94"/>
    <n v="94"/>
    <n v="10.3829787234042"/>
    <n v="17.469555884545201"/>
    <n v="22.067447821352701"/>
    <n v="123.633579943105"/>
    <n v="0"/>
    <n v="0"/>
    <n v="225.52483312750601"/>
    <n v="214.85888697746199"/>
  </r>
  <r>
    <x v="77"/>
    <s v="Truck 7"/>
    <n v="93"/>
    <n v="93"/>
    <n v="10.3333333333333"/>
    <n v="17.048142099741899"/>
    <n v="22.067447821352701"/>
    <n v="121.478342574105"/>
    <n v="0"/>
    <n v="0"/>
    <n v="208.70560485759299"/>
    <n v="198.639510810616"/>
  </r>
  <r>
    <x v="77"/>
    <s v="Truck 8"/>
    <n v="80"/>
    <n v="80"/>
    <n v="8.9375"/>
    <n v="16.388302696677801"/>
    <n v="22.067447821352701"/>
    <n v="109.507030188333"/>
    <n v="0"/>
    <n v="0"/>
    <n v="218.096834315824"/>
    <n v="204.569106227243"/>
  </r>
  <r>
    <x v="77"/>
    <s v="Truck 9"/>
    <n v="89"/>
    <n v="89"/>
    <n v="10.1348314606741"/>
    <n v="18.4685703415124"/>
    <n v="22.067447821352701"/>
    <n v="125.492534147279"/>
    <n v="0"/>
    <n v="0"/>
    <n v="214.19884546739101"/>
    <n v="198.76624703436201"/>
  </r>
  <r>
    <x v="77"/>
    <s v="Truck 10"/>
    <n v="86"/>
    <n v="86"/>
    <n v="9.4418604651162799"/>
    <n v="16.4055874916981"/>
    <n v="22.067447821352701"/>
    <n v="123.851756714046"/>
    <n v="0"/>
    <n v="0"/>
    <n v="201.83464486474199"/>
    <n v="190.96761994614599"/>
  </r>
  <r>
    <x v="77"/>
    <s v="Truck 11"/>
    <n v="89"/>
    <n v="89"/>
    <n v="9.1910112359550507"/>
    <n v="18.530534186589801"/>
    <n v="22.067447821352701"/>
    <n v="127.175456288544"/>
    <n v="0"/>
    <n v="0"/>
    <n v="235.40552311884699"/>
    <n v="221.45898634934099"/>
  </r>
  <r>
    <x v="78"/>
    <s v="Truck 0"/>
    <n v="90"/>
    <n v="90"/>
    <n v="8.9111111111111097"/>
    <n v="18.1804293480611"/>
    <n v="21.9212582027873"/>
    <n v="122.725154693071"/>
    <n v="0"/>
    <n v="0"/>
    <n v="207.95118810685099"/>
    <n v="193.21718321877501"/>
  </r>
  <r>
    <x v="78"/>
    <s v="Truck 1"/>
    <n v="91"/>
    <n v="91"/>
    <n v="8.8901098901098905"/>
    <n v="18.413465235141"/>
    <n v="21.9212582027873"/>
    <n v="120.11350098703799"/>
    <n v="0"/>
    <n v="0"/>
    <n v="220.153482"/>
    <n v="205.19346915099899"/>
  </r>
  <r>
    <x v="78"/>
    <s v="Truck 2"/>
    <n v="87"/>
    <n v="87"/>
    <n v="9.5632183908045896"/>
    <n v="16.811727505421501"/>
    <n v="21.9212582027873"/>
    <n v="114.716659367999"/>
    <n v="0"/>
    <n v="0"/>
    <n v="216.880471441363"/>
    <n v="204.05227957105799"/>
  </r>
  <r>
    <x v="78"/>
    <s v="Truck 3"/>
    <n v="89"/>
    <n v="89"/>
    <n v="9.3483146067415692"/>
    <n v="18.5117782466689"/>
    <n v="21.9212582027873"/>
    <n v="118.700597614861"/>
    <n v="0"/>
    <n v="0"/>
    <n v="221.02710891528801"/>
    <n v="205.84552925851301"/>
  </r>
  <r>
    <x v="78"/>
    <s v="Truck 4"/>
    <n v="110"/>
    <n v="110"/>
    <n v="11.272727272727201"/>
    <n v="20.537056628682901"/>
    <n v="21.9212582027873"/>
    <n v="147.754767518699"/>
    <n v="0"/>
    <n v="0"/>
    <n v="254.56600170210999"/>
    <n v="242.03674003790599"/>
  </r>
  <r>
    <x v="78"/>
    <s v="Truck 5"/>
    <n v="81"/>
    <n v="81"/>
    <n v="9.1604938271604901"/>
    <n v="16.0514056617309"/>
    <n v="21.9212582027873"/>
    <n v="109.462709878485"/>
    <n v="0"/>
    <n v="0"/>
    <n v="196.148144713504"/>
    <n v="185.01361656399899"/>
  </r>
  <r>
    <x v="78"/>
    <s v="Truck 6"/>
    <n v="94"/>
    <n v="94"/>
    <n v="10.3829787234042"/>
    <n v="17.325070463200301"/>
    <n v="21.9212582027873"/>
    <n v="121.979533758863"/>
    <n v="0"/>
    <n v="0"/>
    <n v="215.80895327790901"/>
    <n v="206.71576752230899"/>
  </r>
  <r>
    <x v="78"/>
    <s v="Truck 7"/>
    <n v="84"/>
    <n v="84"/>
    <n v="10.25"/>
    <n v="16.4461556273552"/>
    <n v="21.9212582027873"/>
    <n v="107.68355904166"/>
    <n v="0"/>
    <n v="0"/>
    <n v="195.20509250922501"/>
    <n v="182.528348074262"/>
  </r>
  <r>
    <x v="78"/>
    <s v="Truck 8"/>
    <n v="82"/>
    <n v="82"/>
    <n v="9.1951219512195106"/>
    <n v="16.6285787472873"/>
    <n v="21.9212582027873"/>
    <n v="110.62870750638"/>
    <n v="0"/>
    <n v="0"/>
    <n v="226.164188667205"/>
    <n v="213.26992791906099"/>
  </r>
  <r>
    <x v="78"/>
    <s v="Truck 9"/>
    <n v="88"/>
    <n v="88"/>
    <n v="10.3068181818181"/>
    <n v="18.443584202368399"/>
    <n v="21.9212582027873"/>
    <n v="124.089987164766"/>
    <n v="0"/>
    <n v="0"/>
    <n v="230.11419383870401"/>
    <n v="214.50190796680101"/>
  </r>
  <r>
    <x v="78"/>
    <s v="Truck 10"/>
    <n v="86"/>
    <n v="86"/>
    <n v="9.4418604651162799"/>
    <n v="16.652472365468199"/>
    <n v="21.9212582027873"/>
    <n v="123.06580171666199"/>
    <n v="0"/>
    <n v="0"/>
    <n v="201.95113486474199"/>
    <n v="191.07250738614599"/>
  </r>
  <r>
    <x v="78"/>
    <s v="Truck 11"/>
    <n v="88"/>
    <n v="88"/>
    <n v="9.2613636363636296"/>
    <n v="18.509381757349001"/>
    <n v="21.9212582027873"/>
    <n v="125.882062135472"/>
    <n v="0"/>
    <n v="0"/>
    <n v="235.13822118393401"/>
    <n v="220.97569902215901"/>
  </r>
  <r>
    <x v="79"/>
    <s v="Truck 0"/>
    <n v="100"/>
    <n v="100"/>
    <n v="10.45"/>
    <n v="19.2885083487663"/>
    <n v="22.248684378181299"/>
    <n v="137.51058481299401"/>
    <n v="0"/>
    <n v="0"/>
    <n v="236.76117591344899"/>
    <n v="222.37715932989099"/>
  </r>
  <r>
    <x v="79"/>
    <s v="Truck 1"/>
    <n v="95"/>
    <n v="95"/>
    <n v="9.9789473684210499"/>
    <n v="20.197010612685698"/>
    <n v="22.248684378181299"/>
    <n v="127.74888732683399"/>
    <n v="0"/>
    <n v="0"/>
    <n v="235.65658174724601"/>
    <n v="218.025162662697"/>
  </r>
  <r>
    <x v="79"/>
    <s v="Truck 2"/>
    <n v="104"/>
    <n v="104"/>
    <n v="10.682692307692299"/>
    <n v="20.394910177322501"/>
    <n v="22.248684378181299"/>
    <n v="139.60183748551799"/>
    <n v="0"/>
    <n v="0"/>
    <n v="263.39657399835397"/>
    <n v="248.114492050324"/>
  </r>
  <r>
    <x v="79"/>
    <s v="Truck 3"/>
    <n v="87"/>
    <n v="87"/>
    <n v="9.2183908045976999"/>
    <n v="18.0799591892794"/>
    <n v="22.248684378181299"/>
    <n v="115.793766948094"/>
    <n v="0"/>
    <n v="0"/>
    <n v="217.83439531825499"/>
    <n v="202.17248735688901"/>
  </r>
  <r>
    <x v="79"/>
    <s v="Truck 4"/>
    <n v="109"/>
    <n v="109"/>
    <n v="11.2385321100917"/>
    <n v="20.2685357900267"/>
    <n v="22.248684378181299"/>
    <n v="146.077466803943"/>
    <n v="0"/>
    <n v="0"/>
    <n v="242.97133359965599"/>
    <n v="231.217607970562"/>
  </r>
  <r>
    <x v="79"/>
    <s v="Truck 5"/>
    <n v="80"/>
    <n v="80"/>
    <n v="9.0875000000000004"/>
    <n v="15.912609921610001"/>
    <n v="22.248684378181299"/>
    <n v="107.62334537692"/>
    <n v="0"/>
    <n v="0"/>
    <n v="191.199846353975"/>
    <n v="179.32875383396299"/>
  </r>
  <r>
    <x v="79"/>
    <s v="Truck 6"/>
    <n v="83"/>
    <n v="83"/>
    <n v="10.1927710843373"/>
    <n v="16.276397035065202"/>
    <n v="22.248684378181299"/>
    <n v="106.644470676157"/>
    <n v="0"/>
    <n v="0"/>
    <n v="206.125897371495"/>
    <n v="193.64405492819401"/>
  </r>
  <r>
    <x v="79"/>
    <s v="Truck 7"/>
    <n v="94"/>
    <n v="94"/>
    <n v="10.3829787234042"/>
    <n v="17.4254449631261"/>
    <n v="22.248684378181299"/>
    <n v="122.87496578555201"/>
    <n v="0"/>
    <n v="0"/>
    <n v="225.14925589097399"/>
    <n v="215.17516055395399"/>
  </r>
  <r>
    <x v="79"/>
    <s v="Truck 8"/>
    <n v="82"/>
    <n v="82"/>
    <n v="9.1951219512195106"/>
    <n v="16.149528516892602"/>
    <n v="22.248684378181299"/>
    <n v="110.753002295169"/>
    <n v="0"/>
    <n v="0"/>
    <n v="201.213784949749"/>
    <n v="187.83848542352601"/>
  </r>
  <r>
    <x v="79"/>
    <s v="Truck 9"/>
    <n v="80"/>
    <n v="80"/>
    <n v="9.1374999999999993"/>
    <n v="15.7165356225722"/>
    <n v="22.248684378181299"/>
    <n v="107.841224345546"/>
    <n v="0"/>
    <n v="0"/>
    <n v="184.710669"/>
    <n v="170.73016729099899"/>
  </r>
  <r>
    <x v="79"/>
    <s v="Truck 10"/>
    <n v="86"/>
    <n v="86"/>
    <n v="9.4418604651162799"/>
    <n v="17.029276313590501"/>
    <n v="22.248684378181299"/>
    <n v="122.816168133779"/>
    <n v="0"/>
    <n v="0"/>
    <n v="234.714752642143"/>
    <n v="225.03446504698101"/>
  </r>
  <r>
    <x v="79"/>
    <s v="Truck 11"/>
    <n v="86"/>
    <n v="86"/>
    <n v="9.4418604651162799"/>
    <n v="16.679257664043799"/>
    <n v="22.248684378181299"/>
    <n v="123.127448969459"/>
    <n v="0"/>
    <n v="0"/>
    <n v="222.24170448279699"/>
    <n v="212.013232796968"/>
  </r>
  <r>
    <x v="80"/>
    <s v="Truck 0"/>
    <n v="100"/>
    <n v="100"/>
    <n v="10.45"/>
    <n v="19.2714967507282"/>
    <n v="22.4235222125272"/>
    <n v="136.920069405513"/>
    <n v="0"/>
    <n v="0"/>
    <n v="232.89581862614699"/>
    <n v="218.83401319829801"/>
  </r>
  <r>
    <x v="80"/>
    <s v="Truck 1"/>
    <n v="85"/>
    <n v="85"/>
    <n v="10.423529411764701"/>
    <n v="17.7190287421314"/>
    <n v="22.4235222125272"/>
    <n v="113.21208379410901"/>
    <n v="0"/>
    <n v="0"/>
    <n v="204.421902082489"/>
    <n v="190.49060837528299"/>
  </r>
  <r>
    <x v="80"/>
    <s v="Truck 2"/>
    <n v="104"/>
    <n v="104"/>
    <n v="10.682692307692299"/>
    <n v="20.291202560648198"/>
    <n v="22.4235222125272"/>
    <n v="141.282306843035"/>
    <n v="0"/>
    <n v="0"/>
    <n v="266.91642616117798"/>
    <n v="252.05977456723801"/>
  </r>
  <r>
    <x v="80"/>
    <s v="Truck 3"/>
    <n v="89"/>
    <n v="89"/>
    <n v="9.1910112359550507"/>
    <n v="18.251693792815701"/>
    <n v="22.4235222125272"/>
    <n v="117.94354370405399"/>
    <n v="0"/>
    <n v="0"/>
    <n v="212.84250061322501"/>
    <n v="197.171756003685"/>
  </r>
  <r>
    <x v="80"/>
    <s v="Truck 4"/>
    <n v="110"/>
    <n v="110"/>
    <n v="11.272727272727201"/>
    <n v="20.291617100949399"/>
    <n v="22.4235222125272"/>
    <n v="147.43650596002399"/>
    <n v="0"/>
    <n v="0"/>
    <n v="243.95014118873999"/>
    <n v="232.158132138876"/>
  </r>
  <r>
    <x v="80"/>
    <s v="Truck 5"/>
    <n v="78"/>
    <n v="78"/>
    <n v="8.9358974358974308"/>
    <n v="15.789255462402901"/>
    <n v="22.4235222125272"/>
    <n v="105.150241991154"/>
    <n v="0"/>
    <n v="0"/>
    <n v="189.55219795707899"/>
    <n v="177.68593180196601"/>
  </r>
  <r>
    <x v="80"/>
    <s v="Truck 6"/>
    <n v="92"/>
    <n v="92"/>
    <n v="10.173913043478199"/>
    <n v="17.3987971582592"/>
    <n v="22.4235222125272"/>
    <n v="120.630538945243"/>
    <n v="0"/>
    <n v="0"/>
    <n v="235.51780429652999"/>
    <n v="224.993237467098"/>
  </r>
  <r>
    <x v="80"/>
    <s v="Truck 7"/>
    <n v="93"/>
    <n v="93"/>
    <n v="10.3333333333333"/>
    <n v="17.038393379575801"/>
    <n v="22.4235222125272"/>
    <n v="122.50692821831601"/>
    <n v="0"/>
    <n v="0"/>
    <n v="205.81453163931499"/>
    <n v="195.47119618161699"/>
  </r>
  <r>
    <x v="80"/>
    <s v="Truck 8"/>
    <n v="82"/>
    <n v="82"/>
    <n v="9.1951219512195106"/>
    <n v="16.049507073927298"/>
    <n v="22.4235222125272"/>
    <n v="111.51864633815499"/>
    <n v="0"/>
    <n v="0"/>
    <n v="194.40867450922499"/>
    <n v="182.303005175262"/>
  </r>
  <r>
    <x v="80"/>
    <s v="Truck 9"/>
    <n v="88"/>
    <n v="88"/>
    <n v="10.125"/>
    <n v="18.529714117581701"/>
    <n v="22.4235222125272"/>
    <n v="119.352885807131"/>
    <n v="0"/>
    <n v="0"/>
    <n v="241.06104341548399"/>
    <n v="225.06700630598999"/>
  </r>
  <r>
    <x v="80"/>
    <s v="Truck 10"/>
    <n v="85"/>
    <n v="85"/>
    <n v="9.3647058823529399"/>
    <n v="16.754210264029499"/>
    <n v="22.4235222125272"/>
    <n v="122.079334843867"/>
    <n v="0"/>
    <n v="0"/>
    <n v="219.946110531947"/>
    <n v="210.31248592020799"/>
  </r>
  <r>
    <x v="80"/>
    <s v="Truck 11"/>
    <n v="86"/>
    <n v="86"/>
    <n v="9.4418604651162799"/>
    <n v="17.094382678572899"/>
    <n v="22.4235222125272"/>
    <n v="121.91938017619"/>
    <n v="0"/>
    <n v="0"/>
    <n v="230.19714992218201"/>
    <n v="219.7012803899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1:H82" firstHeaderRow="0" firstDataRow="1" firstDataCol="1"/>
  <pivotFields count="12">
    <pivotField axis="axisRow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Waste Disposed" fld="7" baseField="0" baseItem="0"/>
    <dataField name="collection requests" fld="3" baseField="0" baseItem="0"/>
    <dataField name="Requests queue length" fld="4" subtotal="average" baseField="0" baseItem="0"/>
    <dataField name="Filling level" fld="6" subtotal="average" baseField="0" baseItem="0"/>
    <dataField name="Travel time (hrs)" fld="5" baseField="0" baseItem="0"/>
    <dataField name="Travel Distance" fld="10" baseField="0" baseItem="0"/>
    <dataField name="Total CO2 emission" fld="11" baseField="0" baseItem="0"/>
  </dataFields>
  <formats count="5"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1:H82" firstHeaderRow="0" firstDataRow="1" firstDataCol="1"/>
  <pivotFields count="12">
    <pivotField axis="axisRow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Waste Disposed" fld="7" baseField="0" baseItem="0"/>
    <dataField name="collection requests" fld="3" baseField="0" baseItem="0"/>
    <dataField name="Requests queue length" fld="4" subtotal="average" baseField="0" baseItem="0"/>
    <dataField name="Filling level" fld="6" subtotal="average" baseField="0" baseItem="0"/>
    <dataField name="Travel time (hrs)" fld="5" baseField="0" baseItem="0"/>
    <dataField name="Travel Distance" fld="10" baseField="0" baseItem="0"/>
    <dataField name="Total CO2 emission" fld="11" baseField="0" baseItem="0"/>
  </dataFields>
  <formats count="5"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G19" sqref="G19"/>
    </sheetView>
  </sheetViews>
  <sheetFormatPr defaultRowHeight="14.4" x14ac:dyDescent="0.3"/>
  <cols>
    <col min="1" max="1" width="12.109375" bestFit="1" customWidth="1"/>
    <col min="2" max="2" width="10.33203125" bestFit="1" customWidth="1"/>
    <col min="3" max="3" width="17.5546875" bestFit="1" customWidth="1"/>
    <col min="4" max="4" width="12.109375" customWidth="1"/>
    <col min="5" max="5" width="22.88671875" bestFit="1" customWidth="1"/>
    <col min="6" max="7" width="17.5546875" bestFit="1" customWidth="1"/>
    <col min="12" max="12" width="22.88671875" bestFit="1" customWidth="1"/>
    <col min="13" max="13" width="17.5546875" bestFit="1" customWidth="1"/>
  </cols>
  <sheetData>
    <row r="1" spans="1:13" ht="21" x14ac:dyDescent="0.4">
      <c r="A1" s="27" t="s">
        <v>37</v>
      </c>
      <c r="B1" s="27"/>
      <c r="C1" s="27"/>
      <c r="D1" s="2"/>
      <c r="I1" s="27" t="s">
        <v>38</v>
      </c>
      <c r="J1" s="27"/>
      <c r="K1" s="27"/>
    </row>
    <row r="2" spans="1:13" x14ac:dyDescent="0.3">
      <c r="A2" t="s">
        <v>0</v>
      </c>
      <c r="B2" t="s">
        <v>41</v>
      </c>
      <c r="C2" t="s">
        <v>42</v>
      </c>
      <c r="D2" t="s">
        <v>43</v>
      </c>
      <c r="E2" t="s">
        <v>1</v>
      </c>
      <c r="F2" t="s">
        <v>2</v>
      </c>
      <c r="H2" t="s">
        <v>0</v>
      </c>
      <c r="I2" t="s">
        <v>41</v>
      </c>
      <c r="J2" t="s">
        <v>42</v>
      </c>
      <c r="K2" t="s">
        <v>43</v>
      </c>
      <c r="L2" t="s">
        <v>1</v>
      </c>
      <c r="M2" t="s">
        <v>2</v>
      </c>
    </row>
    <row r="3" spans="1:13" x14ac:dyDescent="0.3">
      <c r="A3" t="s">
        <v>3</v>
      </c>
      <c r="B3">
        <v>0</v>
      </c>
      <c r="C3">
        <v>0</v>
      </c>
      <c r="D3">
        <v>0</v>
      </c>
      <c r="E3">
        <v>371.823972371688</v>
      </c>
      <c r="F3">
        <v>6.4459259259259198</v>
      </c>
      <c r="H3" t="s">
        <v>3</v>
      </c>
      <c r="I3">
        <v>0</v>
      </c>
      <c r="J3">
        <v>0</v>
      </c>
      <c r="K3">
        <v>0</v>
      </c>
      <c r="L3" s="5">
        <v>371.67875732978598</v>
      </c>
      <c r="M3" s="5">
        <v>13</v>
      </c>
    </row>
    <row r="4" spans="1:13" x14ac:dyDescent="0.3">
      <c r="A4" t="s">
        <v>4</v>
      </c>
      <c r="B4">
        <v>0</v>
      </c>
      <c r="C4">
        <v>0</v>
      </c>
      <c r="D4">
        <v>0</v>
      </c>
      <c r="E4">
        <v>371.72713534189</v>
      </c>
      <c r="F4">
        <v>6.4171511627906899</v>
      </c>
      <c r="H4" t="s">
        <v>4</v>
      </c>
      <c r="I4">
        <v>0</v>
      </c>
      <c r="J4">
        <v>0</v>
      </c>
      <c r="K4">
        <v>0</v>
      </c>
      <c r="L4" s="5">
        <v>373.48526818611299</v>
      </c>
      <c r="M4" s="5">
        <v>13</v>
      </c>
    </row>
    <row r="5" spans="1:13" x14ac:dyDescent="0.3">
      <c r="A5" t="s">
        <v>5</v>
      </c>
      <c r="B5">
        <v>0</v>
      </c>
      <c r="C5">
        <v>0</v>
      </c>
      <c r="D5">
        <v>0</v>
      </c>
      <c r="E5">
        <v>480.43662821189002</v>
      </c>
      <c r="F5">
        <v>5.9423076923076898</v>
      </c>
      <c r="H5" t="s">
        <v>5</v>
      </c>
      <c r="I5">
        <v>0</v>
      </c>
      <c r="J5">
        <v>0</v>
      </c>
      <c r="K5">
        <v>0</v>
      </c>
      <c r="L5" s="5">
        <v>480.12624525300402</v>
      </c>
      <c r="M5" s="5">
        <v>13</v>
      </c>
    </row>
    <row r="6" spans="1:13" x14ac:dyDescent="0.3">
      <c r="A6" t="s">
        <v>6</v>
      </c>
      <c r="B6">
        <v>0</v>
      </c>
      <c r="C6">
        <v>0</v>
      </c>
      <c r="D6">
        <v>0</v>
      </c>
      <c r="E6">
        <v>1572.28237569675</v>
      </c>
      <c r="F6">
        <v>6.0055320533680403</v>
      </c>
      <c r="H6" t="s">
        <v>6</v>
      </c>
      <c r="I6">
        <v>0</v>
      </c>
      <c r="J6">
        <v>0</v>
      </c>
      <c r="K6">
        <v>0</v>
      </c>
      <c r="L6" s="5">
        <v>1573.6482776974101</v>
      </c>
      <c r="M6" s="5">
        <v>13</v>
      </c>
    </row>
    <row r="7" spans="1:13" x14ac:dyDescent="0.3">
      <c r="A7" t="s">
        <v>7</v>
      </c>
      <c r="B7">
        <v>0</v>
      </c>
      <c r="C7">
        <v>0</v>
      </c>
      <c r="D7">
        <v>0</v>
      </c>
      <c r="E7">
        <v>1602.2881543895101</v>
      </c>
      <c r="F7">
        <v>5.9038461538461497</v>
      </c>
      <c r="H7" t="s">
        <v>7</v>
      </c>
      <c r="I7">
        <v>0</v>
      </c>
      <c r="J7">
        <v>0</v>
      </c>
      <c r="K7">
        <v>0</v>
      </c>
      <c r="L7" s="5">
        <v>1600.9525794813301</v>
      </c>
      <c r="M7" s="5">
        <v>13</v>
      </c>
    </row>
    <row r="8" spans="1:13" x14ac:dyDescent="0.3">
      <c r="A8" t="s">
        <v>8</v>
      </c>
      <c r="B8">
        <v>0</v>
      </c>
      <c r="C8">
        <v>0</v>
      </c>
      <c r="D8">
        <v>0</v>
      </c>
      <c r="E8">
        <v>1922.74656925619</v>
      </c>
      <c r="F8">
        <v>5.9230769230769198</v>
      </c>
      <c r="H8" t="s">
        <v>8</v>
      </c>
      <c r="I8">
        <v>0</v>
      </c>
      <c r="J8">
        <v>0</v>
      </c>
      <c r="K8">
        <v>0</v>
      </c>
      <c r="L8" s="5">
        <v>1918.75263634676</v>
      </c>
      <c r="M8" s="5">
        <v>13</v>
      </c>
    </row>
    <row r="9" spans="1:13" x14ac:dyDescent="0.3">
      <c r="A9" t="s">
        <v>9</v>
      </c>
      <c r="B9">
        <v>0</v>
      </c>
      <c r="C9">
        <v>0</v>
      </c>
      <c r="D9">
        <v>0</v>
      </c>
      <c r="E9">
        <v>1969.45615795459</v>
      </c>
      <c r="F9">
        <v>5.9965744400526999</v>
      </c>
      <c r="H9" t="s">
        <v>9</v>
      </c>
      <c r="I9">
        <v>0</v>
      </c>
      <c r="J9">
        <v>0</v>
      </c>
      <c r="K9">
        <v>0</v>
      </c>
      <c r="L9" s="5">
        <v>1972.21834827259</v>
      </c>
      <c r="M9" s="5">
        <v>13</v>
      </c>
    </row>
    <row r="10" spans="1:13" x14ac:dyDescent="0.3">
      <c r="A10" t="s">
        <v>10</v>
      </c>
      <c r="B10">
        <v>0</v>
      </c>
      <c r="C10">
        <v>0</v>
      </c>
      <c r="D10">
        <v>0</v>
      </c>
      <c r="E10">
        <v>2852.2928997560998</v>
      </c>
      <c r="F10">
        <v>1.4003944773175501</v>
      </c>
      <c r="H10" t="s">
        <v>10</v>
      </c>
      <c r="I10">
        <v>0</v>
      </c>
      <c r="J10">
        <v>0</v>
      </c>
      <c r="K10">
        <v>0</v>
      </c>
      <c r="L10" s="5">
        <v>2844.6879203984099</v>
      </c>
      <c r="M10" s="5">
        <v>13</v>
      </c>
    </row>
    <row r="11" spans="1:13" x14ac:dyDescent="0.3">
      <c r="A11" t="s">
        <v>11</v>
      </c>
      <c r="B11">
        <v>0</v>
      </c>
      <c r="C11">
        <v>0</v>
      </c>
      <c r="D11">
        <v>0</v>
      </c>
      <c r="E11">
        <v>6678.7568414819098</v>
      </c>
      <c r="F11">
        <v>6.0151968685240602</v>
      </c>
      <c r="H11" t="s">
        <v>11</v>
      </c>
      <c r="I11">
        <v>0</v>
      </c>
      <c r="J11">
        <v>0</v>
      </c>
      <c r="K11">
        <v>0</v>
      </c>
      <c r="L11" s="5">
        <v>6680.1343337284397</v>
      </c>
      <c r="M11" s="5">
        <v>12.8838004101162</v>
      </c>
    </row>
    <row r="12" spans="1:13" x14ac:dyDescent="0.3">
      <c r="A12" t="s">
        <v>12</v>
      </c>
      <c r="B12">
        <v>0</v>
      </c>
      <c r="C12">
        <v>0</v>
      </c>
      <c r="D12">
        <v>0</v>
      </c>
      <c r="E12">
        <v>8595.2363749564793</v>
      </c>
      <c r="F12">
        <v>6.0399129172714003</v>
      </c>
      <c r="H12" t="s">
        <v>12</v>
      </c>
      <c r="I12">
        <v>0</v>
      </c>
      <c r="J12">
        <v>0</v>
      </c>
      <c r="K12">
        <v>0</v>
      </c>
      <c r="L12" s="5">
        <v>8594.9777306135402</v>
      </c>
      <c r="M12" s="5">
        <v>13.015475976246099</v>
      </c>
    </row>
    <row r="13" spans="1:13" x14ac:dyDescent="0.3">
      <c r="A13" t="s">
        <v>13</v>
      </c>
      <c r="B13">
        <v>0</v>
      </c>
      <c r="C13">
        <v>0</v>
      </c>
      <c r="D13">
        <v>0</v>
      </c>
      <c r="E13">
        <v>8590.3627123051901</v>
      </c>
      <c r="F13">
        <v>1.36640459631085</v>
      </c>
      <c r="H13" t="s">
        <v>13</v>
      </c>
      <c r="I13">
        <v>0</v>
      </c>
      <c r="J13">
        <v>0</v>
      </c>
      <c r="K13">
        <v>0</v>
      </c>
      <c r="L13" s="5">
        <v>8599.1638021478102</v>
      </c>
      <c r="M13" s="5">
        <v>12.808754086451099</v>
      </c>
    </row>
    <row r="15" spans="1:13" x14ac:dyDescent="0.3">
      <c r="A15" s="3" t="s">
        <v>39</v>
      </c>
      <c r="B15" s="4">
        <f>AVERAGE(B3:B13)</f>
        <v>0</v>
      </c>
      <c r="C15" s="4">
        <f>AVERAGE(C3:C13)</f>
        <v>0</v>
      </c>
      <c r="D15" s="4"/>
      <c r="E15" s="4">
        <f>AVERAGE(E3:E13)</f>
        <v>3182.4918019747438</v>
      </c>
      <c r="F15" s="4">
        <f>AVERAGE(F3:F13)</f>
        <v>5.2233021100719972</v>
      </c>
      <c r="L15" s="4">
        <f>AVERAGE(L3:L13)</f>
        <v>3182.7114454050175</v>
      </c>
      <c r="M15" s="4">
        <f>AVERAGE(M3:M13)</f>
        <v>12.973457315710307</v>
      </c>
    </row>
    <row r="16" spans="1:13" x14ac:dyDescent="0.3">
      <c r="A16" s="3" t="s">
        <v>40</v>
      </c>
      <c r="B16" s="4">
        <f>SUM(B3:B13)</f>
        <v>0</v>
      </c>
      <c r="C16" s="4"/>
      <c r="D16" s="4"/>
      <c r="E16" s="4">
        <f>SUM(E3:E13)</f>
        <v>35007.409821722184</v>
      </c>
      <c r="F16" s="4"/>
      <c r="J16" t="s">
        <v>44</v>
      </c>
      <c r="L16" s="4">
        <f>SUM(L3:L13)</f>
        <v>35009.825899455194</v>
      </c>
      <c r="M16" s="4"/>
    </row>
  </sheetData>
  <mergeCells count="2">
    <mergeCell ref="A1:C1"/>
    <mergeCell ref="I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zoomScale="115" zoomScaleNormal="115" workbookViewId="0">
      <pane ySplit="2" topLeftCell="A3" activePane="bottomLeft" state="frozen"/>
      <selection pane="bottomLeft" activeCell="F12" sqref="F12"/>
    </sheetView>
  </sheetViews>
  <sheetFormatPr defaultRowHeight="14.4" x14ac:dyDescent="0.3"/>
  <cols>
    <col min="2" max="2" width="12.77734375" customWidth="1"/>
    <col min="3" max="3" width="13.109375" customWidth="1"/>
    <col min="4" max="4" width="12.109375" customWidth="1"/>
    <col min="5" max="5" width="13.44140625" customWidth="1"/>
    <col min="6" max="6" width="11.44140625" customWidth="1"/>
    <col min="7" max="7" width="14.44140625" customWidth="1"/>
    <col min="8" max="8" width="21.44140625" hidden="1" customWidth="1"/>
    <col min="9" max="9" width="22.33203125" hidden="1" customWidth="1"/>
    <col min="10" max="10" width="12.21875" customWidth="1"/>
    <col min="11" max="11" width="14.33203125" bestFit="1" customWidth="1"/>
    <col min="12" max="12" width="3.5546875" customWidth="1"/>
    <col min="14" max="14" width="11.88671875" customWidth="1"/>
    <col min="15" max="15" width="10.77734375" customWidth="1"/>
    <col min="16" max="16" width="10" bestFit="1" customWidth="1"/>
    <col min="17" max="17" width="11.88671875" customWidth="1"/>
    <col min="18" max="18" width="11" bestFit="1" customWidth="1"/>
    <col min="19" max="19" width="11.33203125" customWidth="1"/>
    <col min="20" max="20" width="8.44140625" customWidth="1"/>
    <col min="21" max="21" width="7" customWidth="1"/>
    <col min="22" max="22" width="13.109375" customWidth="1"/>
    <col min="23" max="23" width="14.33203125" bestFit="1" customWidth="1"/>
  </cols>
  <sheetData>
    <row r="1" spans="1:24" ht="21" x14ac:dyDescent="0.4">
      <c r="A1" s="27" t="s">
        <v>50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 t="s">
        <v>51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4" x14ac:dyDescent="0.3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4" x14ac:dyDescent="0.3">
      <c r="A3" t="s">
        <v>25</v>
      </c>
      <c r="B3" s="5">
        <v>15950</v>
      </c>
      <c r="C3" s="5">
        <v>15950</v>
      </c>
      <c r="D3" s="5">
        <v>22.9086520376175</v>
      </c>
      <c r="E3" s="5">
        <v>2302.28207732395</v>
      </c>
      <c r="F3" s="5">
        <v>11.1294139329349</v>
      </c>
      <c r="G3" s="5">
        <v>6722.5651105305697</v>
      </c>
      <c r="H3" s="5">
        <v>0</v>
      </c>
      <c r="I3" s="5">
        <v>0</v>
      </c>
      <c r="J3" s="1">
        <v>30883.967175999798</v>
      </c>
      <c r="K3" s="1">
        <v>27147.318855193698</v>
      </c>
      <c r="L3" s="5"/>
      <c r="M3" t="s">
        <v>25</v>
      </c>
      <c r="N3">
        <v>2372</v>
      </c>
      <c r="O3">
        <v>2369</v>
      </c>
      <c r="P3" s="5">
        <v>6.8891231028667699</v>
      </c>
      <c r="Q3" s="5">
        <v>586.03921185561603</v>
      </c>
      <c r="R3" s="5">
        <v>18.218510934819101</v>
      </c>
      <c r="S3" s="5">
        <v>3293.8590705891402</v>
      </c>
      <c r="T3" s="5">
        <v>1</v>
      </c>
      <c r="U3" s="5">
        <v>0</v>
      </c>
      <c r="V3" s="5">
        <v>7309.0240090000098</v>
      </c>
      <c r="W3" s="5">
        <v>6613.33181108802</v>
      </c>
    </row>
    <row r="4" spans="1:24" x14ac:dyDescent="0.3">
      <c r="A4" t="s">
        <v>26</v>
      </c>
      <c r="B4" s="5">
        <v>15690</v>
      </c>
      <c r="C4" s="5">
        <v>15690</v>
      </c>
      <c r="D4" s="5">
        <v>22.539451880178401</v>
      </c>
      <c r="E4" s="5">
        <v>2294.2449845769702</v>
      </c>
      <c r="F4" s="5">
        <v>11.1294139329349</v>
      </c>
      <c r="G4" s="5">
        <v>6417.3001005234501</v>
      </c>
      <c r="H4" s="5">
        <v>0</v>
      </c>
      <c r="I4" s="5">
        <v>0</v>
      </c>
      <c r="J4" s="1">
        <v>31021.607857999399</v>
      </c>
      <c r="K4" s="1">
        <v>26998.030185618802</v>
      </c>
      <c r="L4" s="5"/>
      <c r="M4" t="s">
        <v>26</v>
      </c>
      <c r="N4">
        <v>2600</v>
      </c>
      <c r="O4">
        <v>2600</v>
      </c>
      <c r="P4" s="5">
        <v>7.9123076923076896</v>
      </c>
      <c r="Q4" s="5">
        <v>571.77371439291699</v>
      </c>
      <c r="R4" s="5">
        <v>18.218510934819101</v>
      </c>
      <c r="S4" s="5">
        <v>3547.95894780966</v>
      </c>
      <c r="T4" s="5">
        <v>1</v>
      </c>
      <c r="U4" s="5">
        <v>0</v>
      </c>
      <c r="V4" s="5">
        <v>6617.0236340000201</v>
      </c>
      <c r="W4" s="5">
        <v>6113.7858207910103</v>
      </c>
    </row>
    <row r="5" spans="1:24" x14ac:dyDescent="0.3">
      <c r="A5" t="s">
        <v>27</v>
      </c>
      <c r="B5" s="5">
        <v>15569</v>
      </c>
      <c r="C5" s="5">
        <v>15569</v>
      </c>
      <c r="D5" s="5">
        <v>22.352816494315601</v>
      </c>
      <c r="E5" s="5">
        <v>2293.2056670648399</v>
      </c>
      <c r="F5" s="5">
        <v>11.1294139329349</v>
      </c>
      <c r="G5" s="5">
        <v>6484.2442891045403</v>
      </c>
      <c r="H5" s="5">
        <v>0</v>
      </c>
      <c r="I5" s="5">
        <v>0</v>
      </c>
      <c r="J5" s="1">
        <v>31703.736519999398</v>
      </c>
      <c r="K5" s="1">
        <v>27681.951601491401</v>
      </c>
      <c r="L5" s="5"/>
      <c r="M5" t="s">
        <v>27</v>
      </c>
      <c r="N5">
        <v>2559</v>
      </c>
      <c r="O5">
        <v>2557</v>
      </c>
      <c r="P5" s="5">
        <v>8.2958186791715498</v>
      </c>
      <c r="Q5" s="5">
        <v>565.43666330806604</v>
      </c>
      <c r="R5" s="5">
        <v>18.218510934819101</v>
      </c>
      <c r="S5" s="5">
        <v>3419.54605470865</v>
      </c>
      <c r="T5" s="5">
        <v>1</v>
      </c>
      <c r="U5" s="5">
        <v>0</v>
      </c>
      <c r="V5" s="5">
        <v>7333.7179490000199</v>
      </c>
      <c r="W5" s="5">
        <v>6861.0055322029702</v>
      </c>
    </row>
    <row r="6" spans="1:24" x14ac:dyDescent="0.3">
      <c r="A6" t="s">
        <v>28</v>
      </c>
      <c r="B6" s="5">
        <v>10036</v>
      </c>
      <c r="C6" s="5">
        <v>10036</v>
      </c>
      <c r="D6" s="5">
        <v>20.889497807891502</v>
      </c>
      <c r="E6" s="5">
        <v>1474.8735043894201</v>
      </c>
      <c r="F6" s="5">
        <v>11.1294139329349</v>
      </c>
      <c r="G6" s="5">
        <v>3755.8875309477598</v>
      </c>
      <c r="H6" s="5">
        <v>0</v>
      </c>
      <c r="I6" s="5">
        <v>0</v>
      </c>
      <c r="J6" s="1">
        <v>18784.579337000301</v>
      </c>
      <c r="K6" s="1">
        <v>16285.3998267507</v>
      </c>
      <c r="L6" s="5"/>
      <c r="M6" t="s">
        <v>28</v>
      </c>
      <c r="N6">
        <v>2373</v>
      </c>
      <c r="O6">
        <v>2373</v>
      </c>
      <c r="P6" s="5">
        <v>8.6881584492203903</v>
      </c>
      <c r="Q6" s="5">
        <v>495.97588283034997</v>
      </c>
      <c r="R6" s="5">
        <v>18.218510934819101</v>
      </c>
      <c r="S6" s="5">
        <v>3111.2377398835702</v>
      </c>
      <c r="T6" s="5">
        <v>1</v>
      </c>
      <c r="U6" s="5">
        <v>0</v>
      </c>
      <c r="V6" s="5">
        <v>5720.8465539999897</v>
      </c>
      <c r="W6" s="5">
        <v>5305.8464700699797</v>
      </c>
    </row>
    <row r="7" spans="1:24" x14ac:dyDescent="0.3">
      <c r="A7" t="s">
        <v>29</v>
      </c>
      <c r="B7" s="5">
        <v>10036</v>
      </c>
      <c r="C7" s="5">
        <v>10036</v>
      </c>
      <c r="D7" s="5">
        <v>20.889497807891502</v>
      </c>
      <c r="E7" s="5">
        <v>1485.91022081597</v>
      </c>
      <c r="F7" s="5">
        <v>11.1294139329349</v>
      </c>
      <c r="G7" s="5">
        <v>3802.9499564584698</v>
      </c>
      <c r="H7" s="5">
        <v>0</v>
      </c>
      <c r="I7" s="5">
        <v>0</v>
      </c>
      <c r="J7" s="1">
        <v>19301.4636359998</v>
      </c>
      <c r="K7" s="1">
        <v>16742.504520578801</v>
      </c>
      <c r="L7" s="5"/>
      <c r="M7" t="s">
        <v>29</v>
      </c>
      <c r="N7">
        <v>2239</v>
      </c>
      <c r="O7">
        <v>2239</v>
      </c>
      <c r="P7" s="5">
        <v>8.1956230460026802</v>
      </c>
      <c r="Q7" s="5">
        <v>473.768293334183</v>
      </c>
      <c r="R7" s="5">
        <v>18.218510934819101</v>
      </c>
      <c r="S7" s="5">
        <v>2989.46031789261</v>
      </c>
      <c r="T7" s="5">
        <v>0</v>
      </c>
      <c r="U7" s="5">
        <v>0</v>
      </c>
      <c r="V7" s="5">
        <v>5582.7322139999897</v>
      </c>
      <c r="W7" s="5">
        <v>5176.0818045629803</v>
      </c>
    </row>
    <row r="8" spans="1:24" x14ac:dyDescent="0.3">
      <c r="A8" t="s">
        <v>30</v>
      </c>
      <c r="B8" s="5">
        <v>10036</v>
      </c>
      <c r="C8" s="5">
        <v>10036</v>
      </c>
      <c r="D8" s="5">
        <v>20.889497807891502</v>
      </c>
      <c r="E8" s="5">
        <v>1474.8518442458601</v>
      </c>
      <c r="F8" s="5">
        <v>11.1294139329349</v>
      </c>
      <c r="G8" s="5">
        <v>3794.7255307476998</v>
      </c>
      <c r="H8" s="5">
        <v>0</v>
      </c>
      <c r="I8" s="5">
        <v>0</v>
      </c>
      <c r="J8" s="1">
        <v>18628.9465009997</v>
      </c>
      <c r="K8" s="1">
        <v>16171.4736365382</v>
      </c>
      <c r="L8" s="5"/>
      <c r="M8" t="s">
        <v>30</v>
      </c>
      <c r="N8">
        <v>2367</v>
      </c>
      <c r="O8">
        <v>2367</v>
      </c>
      <c r="P8" s="5">
        <v>8.6827207435572404</v>
      </c>
      <c r="Q8" s="5">
        <v>489.33490870235897</v>
      </c>
      <c r="R8" s="5">
        <v>18.218510934819101</v>
      </c>
      <c r="S8" s="5">
        <v>3118.9348912701398</v>
      </c>
      <c r="T8" s="5">
        <v>0</v>
      </c>
      <c r="U8" s="5">
        <v>0</v>
      </c>
      <c r="V8" s="5">
        <v>6069.2591969999903</v>
      </c>
      <c r="W8" s="5">
        <v>5724.1629375140101</v>
      </c>
    </row>
    <row r="9" spans="1:24" x14ac:dyDescent="0.3">
      <c r="A9" t="s">
        <v>31</v>
      </c>
      <c r="B9" s="5">
        <v>10036</v>
      </c>
      <c r="C9" s="5">
        <v>10036</v>
      </c>
      <c r="D9" s="5">
        <v>20.889497807891502</v>
      </c>
      <c r="E9" s="5">
        <v>1479.4626916253201</v>
      </c>
      <c r="F9" s="5">
        <v>11.1294139329349</v>
      </c>
      <c r="G9" s="5">
        <v>3801.7460221091301</v>
      </c>
      <c r="H9" s="5">
        <v>0</v>
      </c>
      <c r="I9" s="5">
        <v>0</v>
      </c>
      <c r="J9" s="1">
        <v>19031.728374000199</v>
      </c>
      <c r="K9" s="1">
        <v>16492.482184543998</v>
      </c>
      <c r="L9" s="5"/>
      <c r="M9" t="s">
        <v>31</v>
      </c>
      <c r="N9">
        <v>2308</v>
      </c>
      <c r="O9">
        <v>2308</v>
      </c>
      <c r="P9" s="5">
        <v>8.8236568457538898</v>
      </c>
      <c r="Q9" s="5">
        <v>478.69037642045498</v>
      </c>
      <c r="R9" s="5">
        <v>18.218510934819101</v>
      </c>
      <c r="S9" s="5">
        <v>3011.12466115296</v>
      </c>
      <c r="T9" s="5">
        <v>0</v>
      </c>
      <c r="U9" s="5">
        <v>0</v>
      </c>
      <c r="V9" s="5">
        <v>6137.0972590000201</v>
      </c>
      <c r="W9" s="5">
        <v>5794.9801903509997</v>
      </c>
    </row>
    <row r="10" spans="1:24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t="s">
        <v>32</v>
      </c>
      <c r="N10">
        <v>2227</v>
      </c>
      <c r="O10">
        <v>2227</v>
      </c>
      <c r="P10" s="5">
        <v>8.8859452177817602</v>
      </c>
      <c r="Q10" s="5">
        <v>456.173518653896</v>
      </c>
      <c r="R10" s="5">
        <v>18.218510934819101</v>
      </c>
      <c r="S10" s="5">
        <v>2888.58112784487</v>
      </c>
      <c r="T10" s="5">
        <v>0</v>
      </c>
      <c r="U10" s="5">
        <v>0</v>
      </c>
      <c r="V10" s="5">
        <v>5753.1905390000002</v>
      </c>
      <c r="W10" s="5">
        <v>5433.1472554749798</v>
      </c>
    </row>
    <row r="11" spans="1:24" x14ac:dyDescent="0.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t="s">
        <v>33</v>
      </c>
      <c r="N11">
        <v>2124</v>
      </c>
      <c r="O11">
        <v>2124</v>
      </c>
      <c r="P11" s="5">
        <v>8.8295668549905795</v>
      </c>
      <c r="Q11" s="5">
        <v>434.31880393872399</v>
      </c>
      <c r="R11" s="5">
        <v>18.218510934819101</v>
      </c>
      <c r="S11" s="5">
        <v>2728.3865873097202</v>
      </c>
      <c r="T11" s="5">
        <v>0</v>
      </c>
      <c r="U11" s="5">
        <v>0</v>
      </c>
      <c r="V11" s="5">
        <v>5452.6633690000399</v>
      </c>
      <c r="W11" s="5">
        <v>5138.0229782800097</v>
      </c>
    </row>
    <row r="12" spans="1:24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t="s">
        <v>34</v>
      </c>
      <c r="N12">
        <v>2073</v>
      </c>
      <c r="O12">
        <v>2073</v>
      </c>
      <c r="P12" s="5">
        <v>8.9170284611673907</v>
      </c>
      <c r="Q12" s="5">
        <v>426.969472201418</v>
      </c>
      <c r="R12" s="5">
        <v>18.218510934819101</v>
      </c>
      <c r="S12" s="5">
        <v>2650.8505444907501</v>
      </c>
      <c r="T12" s="5">
        <v>0</v>
      </c>
      <c r="U12" s="5">
        <v>0</v>
      </c>
      <c r="V12" s="5">
        <v>5483.4289840000001</v>
      </c>
      <c r="W12" s="5">
        <v>5188.7880378469799</v>
      </c>
    </row>
    <row r="13" spans="1:24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t="s">
        <v>35</v>
      </c>
      <c r="N13">
        <v>1741</v>
      </c>
      <c r="O13">
        <v>1741</v>
      </c>
      <c r="P13" s="5">
        <v>8.0160827110855806</v>
      </c>
      <c r="Q13" s="5">
        <v>385.11838118343297</v>
      </c>
      <c r="R13" s="5">
        <v>18.218510934819101</v>
      </c>
      <c r="S13" s="5">
        <v>2300.7706457378599</v>
      </c>
      <c r="T13" s="5">
        <v>0</v>
      </c>
      <c r="U13" s="5">
        <v>0</v>
      </c>
      <c r="V13" s="5">
        <v>4952.1792770000102</v>
      </c>
      <c r="W13" s="5">
        <v>4606.5122014409899</v>
      </c>
    </row>
    <row r="14" spans="1:24" x14ac:dyDescent="0.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t="s">
        <v>36</v>
      </c>
      <c r="N14">
        <v>1737</v>
      </c>
      <c r="O14">
        <v>1737</v>
      </c>
      <c r="P14" s="5">
        <v>7.9027058146229097</v>
      </c>
      <c r="Q14" s="5">
        <v>384.44661324287199</v>
      </c>
      <c r="R14" s="5">
        <v>18.218510934819101</v>
      </c>
      <c r="S14" s="5">
        <v>2392.5116904680099</v>
      </c>
      <c r="T14" s="5">
        <v>0</v>
      </c>
      <c r="U14" s="5">
        <v>0</v>
      </c>
      <c r="V14" s="5">
        <v>4942.9452490000103</v>
      </c>
      <c r="W14" s="5">
        <v>4602.5551929619796</v>
      </c>
    </row>
    <row r="15" spans="1:24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4" s="1" customFormat="1" x14ac:dyDescent="0.3">
      <c r="A16" s="4" t="s">
        <v>39</v>
      </c>
      <c r="B16" s="4"/>
      <c r="C16" s="4"/>
      <c r="D16" s="4">
        <f t="shared" ref="D16:K16" si="0">AVERAGE(D6:D14)</f>
        <v>20.889497807891502</v>
      </c>
      <c r="E16" s="4">
        <f t="shared" si="0"/>
        <v>1478.7745652691426</v>
      </c>
      <c r="F16" s="4">
        <f t="shared" si="0"/>
        <v>11.1294139329349</v>
      </c>
      <c r="G16" s="4">
        <f t="shared" si="0"/>
        <v>3788.8272600657651</v>
      </c>
      <c r="H16" s="4">
        <f t="shared" si="0"/>
        <v>0</v>
      </c>
      <c r="I16" s="4">
        <f t="shared" si="0"/>
        <v>0</v>
      </c>
      <c r="J16" s="4">
        <f t="shared" si="0"/>
        <v>18936.679462</v>
      </c>
      <c r="K16" s="4">
        <f t="shared" si="0"/>
        <v>16422.965042102926</v>
      </c>
      <c r="N16" s="4"/>
      <c r="O16" s="4"/>
      <c r="P16" s="4">
        <f t="shared" ref="P16:W16" si="1">AVERAGE(P6:P14)</f>
        <v>8.5490542382424906</v>
      </c>
      <c r="Q16" s="4">
        <f t="shared" si="1"/>
        <v>447.19958338974334</v>
      </c>
      <c r="R16" s="4">
        <f t="shared" si="1"/>
        <v>18.218510934819104</v>
      </c>
      <c r="S16" s="4">
        <f t="shared" si="1"/>
        <v>2799.0953562278323</v>
      </c>
      <c r="T16" s="4">
        <f t="shared" si="1"/>
        <v>0.1111111111111111</v>
      </c>
      <c r="U16" s="4">
        <f t="shared" si="1"/>
        <v>0</v>
      </c>
      <c r="V16" s="4">
        <f t="shared" si="1"/>
        <v>5566.0380713333388</v>
      </c>
      <c r="W16" s="4">
        <f t="shared" si="1"/>
        <v>5218.8996742781001</v>
      </c>
    </row>
    <row r="17" spans="1:23" s="1" customFormat="1" x14ac:dyDescent="0.3">
      <c r="A17" s="4" t="s">
        <v>61</v>
      </c>
      <c r="B17" s="4"/>
      <c r="C17" s="4"/>
      <c r="D17" s="4"/>
      <c r="E17" s="4">
        <f>_xlfn.STDEV.S(E3:E9)</f>
        <v>437.15913586797052</v>
      </c>
      <c r="F17" s="4"/>
      <c r="G17" s="4">
        <f>_xlfn.STDEV.S(G3:G9)</f>
        <v>1474.2932852701438</v>
      </c>
      <c r="H17" s="4"/>
      <c r="I17" s="4"/>
      <c r="J17" s="4">
        <f>_xlfn.STDEV.S(J3:J9)</f>
        <v>6564.8768037859591</v>
      </c>
      <c r="K17" s="4">
        <f>_xlfn.STDEV.S(K3:K9)</f>
        <v>5807.4947937614379</v>
      </c>
      <c r="N17" s="4"/>
      <c r="O17" s="4"/>
      <c r="P17" s="4"/>
      <c r="Q17" s="4">
        <f>_xlfn.STDEV.S(Q3:Q14)</f>
        <v>68.048674929839592</v>
      </c>
      <c r="R17" s="4"/>
      <c r="S17" s="4">
        <f>_xlfn.STDEV.S(S3:S14)</f>
        <v>385.00631711245069</v>
      </c>
      <c r="T17" s="4"/>
      <c r="U17" s="4"/>
      <c r="V17" s="4">
        <f>_xlfn.STDEV.S(V3:V14)</f>
        <v>795.24515261123861</v>
      </c>
      <c r="W17" s="4">
        <f>_xlfn.STDEV.S(W3:W14)</f>
        <v>710.86166798519332</v>
      </c>
    </row>
    <row r="18" spans="1:23" s="1" customFormat="1" x14ac:dyDescent="0.3">
      <c r="A18" s="4" t="s">
        <v>40</v>
      </c>
      <c r="B18" s="4">
        <f>SUM(B6:B14)</f>
        <v>40144</v>
      </c>
      <c r="C18" s="4">
        <f>SUM(C6:C14)</f>
        <v>40144</v>
      </c>
      <c r="D18" s="4"/>
      <c r="E18" s="4">
        <f>SUM(E6:E14)</f>
        <v>5915.0982610765705</v>
      </c>
      <c r="F18" s="4"/>
      <c r="G18" s="4">
        <f>SUM(G6:G14)</f>
        <v>15155.309040263061</v>
      </c>
      <c r="H18" s="4">
        <f>SUM(H6:H14)</f>
        <v>0</v>
      </c>
      <c r="I18" s="4">
        <f>SUM(I6:I14)</f>
        <v>0</v>
      </c>
      <c r="J18" s="4">
        <f>SUM(J6:J14)</f>
        <v>75746.717848</v>
      </c>
      <c r="K18" s="4">
        <f>SUM(K6:K14)</f>
        <v>65691.860168411702</v>
      </c>
      <c r="N18" s="4">
        <f>SUM(N6:N14)</f>
        <v>19189</v>
      </c>
      <c r="O18" s="4">
        <f>SUM(O6:O14)</f>
        <v>19189</v>
      </c>
      <c r="P18" s="4"/>
      <c r="Q18" s="4">
        <f>SUM(Q6:Q14)</f>
        <v>4024.7962505076898</v>
      </c>
      <c r="R18" s="4"/>
      <c r="S18" s="4">
        <f>SUM(S6:S14)</f>
        <v>25191.858206050492</v>
      </c>
      <c r="T18" s="4">
        <f>SUM(T6:T14)</f>
        <v>1</v>
      </c>
      <c r="U18" s="4">
        <f>SUM(U6:U14)</f>
        <v>0</v>
      </c>
      <c r="V18" s="4">
        <f>SUM(V6:V14)</f>
        <v>50094.342642000047</v>
      </c>
      <c r="W18" s="4">
        <f>SUM(W6:W14)</f>
        <v>46970.097068502902</v>
      </c>
    </row>
    <row r="19" spans="1:23" x14ac:dyDescent="0.3">
      <c r="A19" t="s">
        <v>52</v>
      </c>
      <c r="E19" s="5">
        <f>(E18/G18)</f>
        <v>0.39029875572724698</v>
      </c>
      <c r="F19" t="s">
        <v>59</v>
      </c>
      <c r="J19" s="5">
        <f>J18/G18</f>
        <v>4.9980318874899838</v>
      </c>
      <c r="K19" s="5">
        <f>K18/G18</f>
        <v>4.3345774074212775</v>
      </c>
      <c r="Q19" s="5">
        <f>(Q18/S18)</f>
        <v>0.15976575517327374</v>
      </c>
      <c r="R19" t="s">
        <v>59</v>
      </c>
      <c r="V19" s="5">
        <f>V18/S18</f>
        <v>1.9885132026492816</v>
      </c>
      <c r="W19" s="5">
        <f>W18/S18</f>
        <v>1.8644951350679557</v>
      </c>
    </row>
    <row r="20" spans="1:23" x14ac:dyDescent="0.3">
      <c r="E20" s="5">
        <f>E19*60</f>
        <v>23.41792534363482</v>
      </c>
      <c r="F20" t="s">
        <v>58</v>
      </c>
      <c r="Q20" s="5">
        <f>Q19*60</f>
        <v>9.5859453103964238</v>
      </c>
      <c r="R20" t="s">
        <v>58</v>
      </c>
    </row>
    <row r="21" spans="1:23" x14ac:dyDescent="0.3">
      <c r="A21" s="28" t="s">
        <v>53</v>
      </c>
      <c r="B21" s="28"/>
      <c r="C21" s="16">
        <f>V18-J18</f>
        <v>-25652.375205999953</v>
      </c>
      <c r="D21" s="15">
        <f>(V18-J18)/J18</f>
        <v>-0.33865989094704085</v>
      </c>
    </row>
    <row r="22" spans="1:23" x14ac:dyDescent="0.3">
      <c r="A22" s="28" t="s">
        <v>54</v>
      </c>
      <c r="B22" s="28"/>
      <c r="D22" s="15">
        <f>(V19-J19)/J19</f>
        <v>-0.6021407531179408</v>
      </c>
    </row>
    <row r="23" spans="1:23" x14ac:dyDescent="0.3">
      <c r="D23" s="15"/>
    </row>
    <row r="24" spans="1:23" x14ac:dyDescent="0.3">
      <c r="A24" s="28" t="s">
        <v>64</v>
      </c>
      <c r="B24" s="28"/>
      <c r="C24" s="16">
        <f>W18-K18</f>
        <v>-18721.7630999088</v>
      </c>
      <c r="D24" s="15">
        <f>(W18-K18)/K18</f>
        <v>-0.28499365144954847</v>
      </c>
    </row>
    <row r="25" spans="1:23" x14ac:dyDescent="0.3">
      <c r="A25" s="28" t="s">
        <v>55</v>
      </c>
      <c r="B25" s="28"/>
      <c r="D25" s="15">
        <f>(W19-K19)/K19</f>
        <v>-0.56985538385455214</v>
      </c>
      <c r="G25">
        <v>25652.38</v>
      </c>
      <c r="J25">
        <v>18721.759999999998</v>
      </c>
    </row>
    <row r="26" spans="1:23" x14ac:dyDescent="0.3">
      <c r="G26">
        <f>G25/G25*100</f>
        <v>100</v>
      </c>
      <c r="J26">
        <f>J25/G25*100</f>
        <v>72.982545869038262</v>
      </c>
    </row>
    <row r="27" spans="1:23" x14ac:dyDescent="0.3">
      <c r="A27" s="28" t="s">
        <v>56</v>
      </c>
      <c r="B27" s="28"/>
      <c r="D27" s="15">
        <f>(Q18-E18)/E18</f>
        <v>-0.31957237684583084</v>
      </c>
    </row>
    <row r="28" spans="1:23" x14ac:dyDescent="0.3">
      <c r="A28" s="28" t="s">
        <v>57</v>
      </c>
      <c r="B28" s="28"/>
      <c r="D28" s="15">
        <f>(Q19-E19)/E19</f>
        <v>-0.59065779014442188</v>
      </c>
    </row>
  </sheetData>
  <mergeCells count="8">
    <mergeCell ref="A27:B27"/>
    <mergeCell ref="A28:B28"/>
    <mergeCell ref="A25:B25"/>
    <mergeCell ref="A1:L1"/>
    <mergeCell ref="M1:X1"/>
    <mergeCell ref="A21:B21"/>
    <mergeCell ref="A22:B22"/>
    <mergeCell ref="A24:B2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H16" sqref="H16"/>
    </sheetView>
  </sheetViews>
  <sheetFormatPr defaultRowHeight="14.4" x14ac:dyDescent="0.3"/>
  <cols>
    <col min="1" max="1" width="22.21875" bestFit="1" customWidth="1"/>
    <col min="7" max="7" width="19.44140625" customWidth="1"/>
    <col min="8" max="8" width="13" customWidth="1"/>
    <col min="9" max="9" width="17" customWidth="1"/>
    <col min="12" max="12" width="20.77734375" bestFit="1" customWidth="1"/>
    <col min="13" max="13" width="12" bestFit="1" customWidth="1"/>
  </cols>
  <sheetData>
    <row r="1" spans="1:13" x14ac:dyDescent="0.3">
      <c r="A1" s="29" t="s">
        <v>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x14ac:dyDescent="0.3">
      <c r="A2" s="30"/>
      <c r="B2" s="9" t="s">
        <v>45</v>
      </c>
      <c r="C2" s="9" t="s">
        <v>25</v>
      </c>
      <c r="D2" s="9">
        <v>1</v>
      </c>
      <c r="E2" s="9">
        <v>1</v>
      </c>
      <c r="F2" s="9">
        <v>1</v>
      </c>
      <c r="G2" s="9">
        <v>1.5689781521434401</v>
      </c>
      <c r="H2" s="9">
        <v>0.23134128406659901</v>
      </c>
      <c r="I2" s="9">
        <v>0.23134128406659901</v>
      </c>
      <c r="J2" s="9">
        <v>0</v>
      </c>
      <c r="K2" s="9">
        <v>0</v>
      </c>
      <c r="L2" s="9">
        <v>17.109074</v>
      </c>
      <c r="M2" s="10">
        <v>13.42550424</v>
      </c>
    </row>
    <row r="3" spans="1:13" x14ac:dyDescent="0.3">
      <c r="A3" s="30"/>
      <c r="B3" s="9"/>
      <c r="C3" s="9"/>
      <c r="D3" s="9"/>
      <c r="E3" s="9"/>
      <c r="F3" s="9"/>
      <c r="G3" s="11"/>
      <c r="H3" s="11"/>
      <c r="I3" s="11"/>
      <c r="J3" s="9"/>
      <c r="K3" s="9"/>
      <c r="L3" s="9"/>
      <c r="M3" s="10"/>
    </row>
    <row r="4" spans="1:13" ht="15" thickBot="1" x14ac:dyDescent="0.35">
      <c r="A4" s="31"/>
      <c r="B4" s="12" t="s">
        <v>46</v>
      </c>
      <c r="C4" s="12" t="s">
        <v>25</v>
      </c>
      <c r="D4" s="12">
        <v>1</v>
      </c>
      <c r="E4" s="12">
        <v>1</v>
      </c>
      <c r="F4" s="12">
        <v>1</v>
      </c>
      <c r="G4" s="12">
        <v>1.59022824140888</v>
      </c>
      <c r="H4" s="12">
        <v>1.01936224618176</v>
      </c>
      <c r="I4" s="12">
        <v>1.01936224618176</v>
      </c>
      <c r="J4" s="12">
        <v>0</v>
      </c>
      <c r="K4" s="12">
        <v>0</v>
      </c>
      <c r="L4" s="12">
        <v>17.109074</v>
      </c>
      <c r="M4" s="13">
        <v>13.42550424</v>
      </c>
    </row>
    <row r="5" spans="1:13" x14ac:dyDescent="0.3">
      <c r="A5" s="29" t="s">
        <v>48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x14ac:dyDescent="0.3">
      <c r="A6" s="30"/>
      <c r="B6" s="9" t="s">
        <v>45</v>
      </c>
      <c r="C6" s="9" t="s">
        <v>25</v>
      </c>
      <c r="D6" s="9">
        <v>4</v>
      </c>
      <c r="E6" s="9">
        <v>4</v>
      </c>
      <c r="F6" s="9">
        <v>1</v>
      </c>
      <c r="G6" s="9">
        <v>6.5998949097650499</v>
      </c>
      <c r="H6" s="9">
        <v>0.440053315428586</v>
      </c>
      <c r="I6" s="9">
        <v>1.76021326171434</v>
      </c>
      <c r="J6" s="9">
        <v>0</v>
      </c>
      <c r="K6" s="9">
        <v>0</v>
      </c>
      <c r="L6" s="9">
        <v>68.436295999999999</v>
      </c>
      <c r="M6" s="10">
        <v>53.702016960000002</v>
      </c>
    </row>
    <row r="7" spans="1:13" ht="15" thickBot="1" x14ac:dyDescent="0.35">
      <c r="A7" s="31"/>
      <c r="B7" s="12" t="s">
        <v>46</v>
      </c>
      <c r="C7" s="12" t="s">
        <v>25</v>
      </c>
      <c r="D7" s="12">
        <v>2</v>
      </c>
      <c r="E7" s="12">
        <v>2</v>
      </c>
      <c r="F7" s="12">
        <v>1</v>
      </c>
      <c r="G7" s="14">
        <v>3.2047861156698301</v>
      </c>
      <c r="H7" s="14">
        <v>1.0413990915025499</v>
      </c>
      <c r="I7" s="14">
        <v>2.0827981830050999</v>
      </c>
      <c r="J7" s="12">
        <v>0</v>
      </c>
      <c r="K7" s="12">
        <v>0</v>
      </c>
      <c r="L7" s="12">
        <v>34.218147999999999</v>
      </c>
      <c r="M7" s="13">
        <v>26.851008480000001</v>
      </c>
    </row>
    <row r="8" spans="1:13" x14ac:dyDescent="0.3">
      <c r="A8" s="29" t="s">
        <v>49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8"/>
    </row>
    <row r="9" spans="1:13" x14ac:dyDescent="0.3">
      <c r="A9" s="30"/>
      <c r="B9" s="9" t="s">
        <v>45</v>
      </c>
      <c r="C9" s="9" t="s">
        <v>25</v>
      </c>
      <c r="D9">
        <v>56</v>
      </c>
      <c r="E9">
        <v>56</v>
      </c>
      <c r="F9">
        <v>7.5</v>
      </c>
      <c r="G9">
        <v>11.4596758325828</v>
      </c>
      <c r="H9">
        <v>6.1480549661740298</v>
      </c>
      <c r="I9">
        <v>24.592219864696101</v>
      </c>
      <c r="J9">
        <v>0</v>
      </c>
      <c r="K9">
        <v>0</v>
      </c>
      <c r="L9">
        <v>114.24504</v>
      </c>
      <c r="M9">
        <v>94.284015023999999</v>
      </c>
    </row>
    <row r="10" spans="1:13" ht="15" thickBot="1" x14ac:dyDescent="0.35">
      <c r="A10" s="31"/>
      <c r="B10" s="12" t="s">
        <v>46</v>
      </c>
      <c r="C10" s="12" t="s">
        <v>25</v>
      </c>
      <c r="D10" s="12">
        <v>28</v>
      </c>
      <c r="E10" s="12">
        <v>28</v>
      </c>
      <c r="F10" s="12">
        <v>7.5</v>
      </c>
      <c r="G10" s="14">
        <v>5.7499389784287303</v>
      </c>
      <c r="H10" s="14">
        <v>14.2926718937824</v>
      </c>
      <c r="I10" s="14">
        <v>28.585343787564799</v>
      </c>
      <c r="J10" s="12">
        <v>0</v>
      </c>
      <c r="K10" s="12">
        <v>0</v>
      </c>
      <c r="L10" s="12">
        <v>57.122520000000002</v>
      </c>
      <c r="M10" s="13">
        <v>51.163342484999902</v>
      </c>
    </row>
    <row r="23" spans="9:9" x14ac:dyDescent="0.3">
      <c r="I23">
        <f>14*3</f>
        <v>42</v>
      </c>
    </row>
  </sheetData>
  <mergeCells count="3">
    <mergeCell ref="A1:A4"/>
    <mergeCell ref="A5:A7"/>
    <mergeCell ref="A8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3"/>
  <sheetViews>
    <sheetView workbookViewId="0">
      <pane ySplit="2" topLeftCell="A3" activePane="bottomLeft" state="frozen"/>
      <selection pane="bottomLeft" activeCell="U7" sqref="U7"/>
    </sheetView>
  </sheetViews>
  <sheetFormatPr defaultRowHeight="14.4" x14ac:dyDescent="0.3"/>
  <cols>
    <col min="2" max="2" width="12.109375" bestFit="1" customWidth="1"/>
    <col min="4" max="4" width="17.5546875" bestFit="1" customWidth="1"/>
    <col min="24" max="24" width="17.21875" bestFit="1" customWidth="1"/>
  </cols>
  <sheetData>
    <row r="1" spans="1:25" x14ac:dyDescent="0.3">
      <c r="A1" s="32" t="s">
        <v>62</v>
      </c>
      <c r="B1" s="32"/>
      <c r="H1" s="3" t="s">
        <v>65</v>
      </c>
      <c r="T1" s="3" t="s">
        <v>85</v>
      </c>
      <c r="Y1" s="3" t="s">
        <v>86</v>
      </c>
    </row>
    <row r="2" spans="1:25" x14ac:dyDescent="0.3">
      <c r="A2" t="s">
        <v>60</v>
      </c>
      <c r="B2" t="s">
        <v>0</v>
      </c>
      <c r="C2" t="s">
        <v>1</v>
      </c>
      <c r="D2" t="s">
        <v>2</v>
      </c>
      <c r="F2" t="s">
        <v>60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S2" t="s">
        <v>80</v>
      </c>
      <c r="T2" t="s">
        <v>81</v>
      </c>
      <c r="U2" t="s">
        <v>82</v>
      </c>
      <c r="V2" t="s">
        <v>83</v>
      </c>
      <c r="W2" t="s">
        <v>84</v>
      </c>
    </row>
    <row r="3" spans="1:25" x14ac:dyDescent="0.3">
      <c r="A3">
        <v>1</v>
      </c>
      <c r="B3" t="s">
        <v>3</v>
      </c>
      <c r="C3">
        <v>15.4540424202798</v>
      </c>
      <c r="D3">
        <v>4</v>
      </c>
      <c r="F3">
        <v>1</v>
      </c>
      <c r="G3" t="s">
        <v>25</v>
      </c>
      <c r="H3">
        <v>1078</v>
      </c>
      <c r="I3">
        <v>1077</v>
      </c>
      <c r="J3">
        <v>37.6669758812615</v>
      </c>
      <c r="K3">
        <v>144.20420087458001</v>
      </c>
      <c r="L3">
        <v>11.2121620667551</v>
      </c>
      <c r="M3">
        <v>368.42664137901698</v>
      </c>
      <c r="N3">
        <v>0</v>
      </c>
      <c r="O3">
        <v>0</v>
      </c>
      <c r="P3">
        <v>1983.04241199999</v>
      </c>
      <c r="Q3">
        <v>1769.7276929659999</v>
      </c>
      <c r="S3">
        <v>1</v>
      </c>
      <c r="T3">
        <v>4</v>
      </c>
      <c r="U3">
        <v>15</v>
      </c>
      <c r="V3">
        <v>2</v>
      </c>
      <c r="W3">
        <v>0.35</v>
      </c>
    </row>
    <row r="4" spans="1:25" x14ac:dyDescent="0.3">
      <c r="A4">
        <v>1</v>
      </c>
      <c r="B4" t="s">
        <v>4</v>
      </c>
      <c r="C4">
        <v>15.1503806196373</v>
      </c>
      <c r="D4">
        <v>3.9512195121951201</v>
      </c>
      <c r="F4">
        <v>1</v>
      </c>
      <c r="G4" t="s">
        <v>26</v>
      </c>
      <c r="H4">
        <v>1067</v>
      </c>
      <c r="I4">
        <v>1067</v>
      </c>
      <c r="J4">
        <v>37.233364573570697</v>
      </c>
      <c r="K4">
        <v>141.60149675518801</v>
      </c>
      <c r="L4">
        <v>11.2121620667551</v>
      </c>
      <c r="M4">
        <v>359.63275835964799</v>
      </c>
      <c r="N4">
        <v>0</v>
      </c>
      <c r="O4">
        <v>0</v>
      </c>
      <c r="P4">
        <v>1966.9802089999901</v>
      </c>
      <c r="Q4">
        <v>1746.8563813969899</v>
      </c>
      <c r="S4">
        <v>2</v>
      </c>
      <c r="T4">
        <v>8</v>
      </c>
      <c r="U4">
        <v>15</v>
      </c>
      <c r="V4">
        <v>4</v>
      </c>
      <c r="W4">
        <v>0.35</v>
      </c>
    </row>
    <row r="5" spans="1:25" x14ac:dyDescent="0.3">
      <c r="A5">
        <v>1</v>
      </c>
      <c r="B5" t="s">
        <v>5</v>
      </c>
      <c r="C5">
        <v>19.727394749813101</v>
      </c>
      <c r="D5">
        <v>4.5</v>
      </c>
      <c r="F5">
        <v>1</v>
      </c>
      <c r="G5" t="s">
        <v>27</v>
      </c>
      <c r="H5">
        <v>714</v>
      </c>
      <c r="I5">
        <v>714</v>
      </c>
      <c r="J5">
        <v>35.275910364145602</v>
      </c>
      <c r="K5">
        <v>96.718161063994799</v>
      </c>
      <c r="L5">
        <v>11.2121620667551</v>
      </c>
      <c r="M5">
        <v>240.26563534512599</v>
      </c>
      <c r="N5">
        <v>0</v>
      </c>
      <c r="O5">
        <v>0</v>
      </c>
      <c r="P5">
        <v>1337.5833379999899</v>
      </c>
      <c r="Q5">
        <v>1188.543396024</v>
      </c>
      <c r="S5">
        <v>3</v>
      </c>
      <c r="T5">
        <v>8</v>
      </c>
      <c r="U5">
        <v>15</v>
      </c>
      <c r="V5">
        <v>4</v>
      </c>
      <c r="W5">
        <v>0.35</v>
      </c>
    </row>
    <row r="6" spans="1:25" x14ac:dyDescent="0.3">
      <c r="A6">
        <v>1</v>
      </c>
      <c r="B6" t="s">
        <v>6</v>
      </c>
      <c r="C6">
        <v>64.596399858853204</v>
      </c>
      <c r="D6">
        <v>4.0171428571428498</v>
      </c>
      <c r="F6">
        <v>1</v>
      </c>
      <c r="G6" t="s">
        <v>28</v>
      </c>
      <c r="H6">
        <v>714</v>
      </c>
      <c r="I6">
        <v>714</v>
      </c>
      <c r="J6">
        <v>35.275910364145602</v>
      </c>
      <c r="K6">
        <v>95.096914845004903</v>
      </c>
      <c r="L6">
        <v>11.2121620667551</v>
      </c>
      <c r="M6">
        <v>242.58846812576101</v>
      </c>
      <c r="N6">
        <v>0</v>
      </c>
      <c r="O6">
        <v>0</v>
      </c>
      <c r="P6">
        <v>1248.9576319999901</v>
      </c>
      <c r="Q6">
        <v>1110.201038448</v>
      </c>
      <c r="S6">
        <v>4</v>
      </c>
      <c r="T6">
        <v>12</v>
      </c>
      <c r="U6">
        <v>15</v>
      </c>
      <c r="V6">
        <v>2</v>
      </c>
      <c r="W6">
        <v>0.2</v>
      </c>
    </row>
    <row r="7" spans="1:25" x14ac:dyDescent="0.3">
      <c r="A7">
        <v>1</v>
      </c>
      <c r="B7" t="s">
        <v>7</v>
      </c>
      <c r="C7">
        <v>65.698318684727496</v>
      </c>
      <c r="D7">
        <v>3.5</v>
      </c>
      <c r="F7">
        <v>1</v>
      </c>
      <c r="G7" t="s">
        <v>29</v>
      </c>
      <c r="H7">
        <v>0</v>
      </c>
      <c r="I7">
        <v>0</v>
      </c>
      <c r="J7">
        <v>0</v>
      </c>
      <c r="K7">
        <v>0</v>
      </c>
      <c r="L7">
        <v>11.2121620667551</v>
      </c>
      <c r="M7">
        <v>0</v>
      </c>
      <c r="N7">
        <v>0</v>
      </c>
      <c r="O7">
        <v>0</v>
      </c>
      <c r="P7">
        <v>0</v>
      </c>
      <c r="Q7">
        <v>0</v>
      </c>
      <c r="S7" s="25">
        <v>5</v>
      </c>
      <c r="T7" s="25">
        <v>12</v>
      </c>
      <c r="U7" s="25">
        <v>15</v>
      </c>
      <c r="V7" s="25">
        <v>2</v>
      </c>
      <c r="W7" s="25">
        <v>0.35</v>
      </c>
      <c r="X7" s="3" t="s">
        <v>92</v>
      </c>
    </row>
    <row r="8" spans="1:25" x14ac:dyDescent="0.3">
      <c r="A8">
        <v>1</v>
      </c>
      <c r="B8" t="s">
        <v>8</v>
      </c>
      <c r="C8">
        <v>78.528643350794596</v>
      </c>
      <c r="D8">
        <v>4</v>
      </c>
      <c r="F8">
        <v>1</v>
      </c>
      <c r="G8" t="s">
        <v>30</v>
      </c>
      <c r="H8">
        <v>0</v>
      </c>
      <c r="I8">
        <v>0</v>
      </c>
      <c r="J8">
        <v>0</v>
      </c>
      <c r="K8">
        <v>0</v>
      </c>
      <c r="L8">
        <v>11.2121620667551</v>
      </c>
      <c r="M8">
        <v>0</v>
      </c>
      <c r="N8">
        <v>0</v>
      </c>
      <c r="O8">
        <v>0</v>
      </c>
      <c r="P8">
        <v>0</v>
      </c>
      <c r="Q8">
        <v>0</v>
      </c>
      <c r="S8">
        <v>6</v>
      </c>
      <c r="T8">
        <v>12</v>
      </c>
      <c r="U8">
        <v>15</v>
      </c>
      <c r="V8">
        <v>2</v>
      </c>
      <c r="W8">
        <v>0.35</v>
      </c>
    </row>
    <row r="9" spans="1:25" x14ac:dyDescent="0.3">
      <c r="A9">
        <v>1</v>
      </c>
      <c r="B9" t="s">
        <v>9</v>
      </c>
      <c r="C9">
        <v>81.3114845294498</v>
      </c>
      <c r="D9">
        <v>3.5</v>
      </c>
      <c r="F9">
        <v>1</v>
      </c>
      <c r="G9" t="s">
        <v>31</v>
      </c>
      <c r="H9">
        <v>0</v>
      </c>
      <c r="I9">
        <v>0</v>
      </c>
      <c r="J9">
        <v>0</v>
      </c>
      <c r="K9">
        <v>0</v>
      </c>
      <c r="L9">
        <v>11.2121620667551</v>
      </c>
      <c r="M9">
        <v>0</v>
      </c>
      <c r="N9">
        <v>0</v>
      </c>
      <c r="O9">
        <v>0</v>
      </c>
      <c r="P9">
        <v>0</v>
      </c>
      <c r="Q9">
        <v>0</v>
      </c>
      <c r="S9">
        <v>7</v>
      </c>
      <c r="T9">
        <v>12</v>
      </c>
      <c r="U9">
        <v>15</v>
      </c>
      <c r="V9">
        <v>3</v>
      </c>
      <c r="W9">
        <v>0.2</v>
      </c>
    </row>
    <row r="10" spans="1:25" x14ac:dyDescent="0.3">
      <c r="A10">
        <v>1</v>
      </c>
      <c r="B10" t="s">
        <v>10</v>
      </c>
      <c r="C10">
        <v>117.014074118252</v>
      </c>
      <c r="D10">
        <v>1.37083993660855</v>
      </c>
      <c r="F10">
        <v>1</v>
      </c>
      <c r="G10" t="s">
        <v>32</v>
      </c>
      <c r="H10">
        <v>0</v>
      </c>
      <c r="I10">
        <v>0</v>
      </c>
      <c r="J10">
        <v>0</v>
      </c>
      <c r="K10">
        <v>0</v>
      </c>
      <c r="L10">
        <v>11.2121620667551</v>
      </c>
      <c r="M10">
        <v>0</v>
      </c>
      <c r="N10">
        <v>0</v>
      </c>
      <c r="O10">
        <v>0</v>
      </c>
      <c r="P10">
        <v>0</v>
      </c>
      <c r="Q10">
        <v>0</v>
      </c>
      <c r="S10">
        <v>8</v>
      </c>
      <c r="T10">
        <v>12</v>
      </c>
      <c r="U10">
        <v>15</v>
      </c>
      <c r="V10">
        <v>3</v>
      </c>
      <c r="W10">
        <v>0.35</v>
      </c>
    </row>
    <row r="11" spans="1:25" x14ac:dyDescent="0.3">
      <c r="A11">
        <v>1</v>
      </c>
      <c r="B11" t="s">
        <v>11</v>
      </c>
      <c r="C11">
        <v>272.76448139401401</v>
      </c>
      <c r="D11">
        <v>4.0464646464646403</v>
      </c>
      <c r="F11">
        <v>2</v>
      </c>
      <c r="G11" t="s">
        <v>25</v>
      </c>
      <c r="H11">
        <v>1078</v>
      </c>
      <c r="I11">
        <v>1077</v>
      </c>
      <c r="J11">
        <v>37.6669758812615</v>
      </c>
      <c r="K11">
        <v>144.88121547813199</v>
      </c>
      <c r="L11">
        <v>11.010459635070101</v>
      </c>
      <c r="M11">
        <v>367.17349703792001</v>
      </c>
      <c r="N11">
        <v>0</v>
      </c>
      <c r="O11">
        <v>0</v>
      </c>
      <c r="P11">
        <v>1990.59882299999</v>
      </c>
      <c r="Q11">
        <v>1772.729740663</v>
      </c>
      <c r="S11">
        <v>9</v>
      </c>
      <c r="T11">
        <v>12</v>
      </c>
      <c r="U11">
        <v>15</v>
      </c>
      <c r="V11">
        <v>3</v>
      </c>
      <c r="W11">
        <v>0.5</v>
      </c>
    </row>
    <row r="12" spans="1:25" x14ac:dyDescent="0.3">
      <c r="A12">
        <v>1</v>
      </c>
      <c r="B12" t="s">
        <v>12</v>
      </c>
      <c r="C12">
        <v>352.82345851271202</v>
      </c>
      <c r="D12">
        <v>4.5317647058823498</v>
      </c>
      <c r="F12">
        <v>2</v>
      </c>
      <c r="G12" t="s">
        <v>26</v>
      </c>
      <c r="H12">
        <v>1067</v>
      </c>
      <c r="I12">
        <v>1067</v>
      </c>
      <c r="J12">
        <v>37.233364573570697</v>
      </c>
      <c r="K12">
        <v>145.26192012530399</v>
      </c>
      <c r="L12">
        <v>11.010459635070101</v>
      </c>
      <c r="M12">
        <v>362.57892004752699</v>
      </c>
      <c r="N12">
        <v>0</v>
      </c>
      <c r="O12">
        <v>0</v>
      </c>
      <c r="P12">
        <v>2009.5409359999901</v>
      </c>
      <c r="Q12">
        <v>1781.76081180199</v>
      </c>
      <c r="S12">
        <v>10</v>
      </c>
      <c r="T12">
        <v>12</v>
      </c>
      <c r="U12">
        <v>15</v>
      </c>
      <c r="V12">
        <v>4</v>
      </c>
      <c r="W12">
        <v>0.2</v>
      </c>
    </row>
    <row r="13" spans="1:25" x14ac:dyDescent="0.3">
      <c r="A13">
        <v>1</v>
      </c>
      <c r="B13" t="s">
        <v>13</v>
      </c>
      <c r="C13">
        <v>352.27031545773201</v>
      </c>
      <c r="D13">
        <v>1.3518373729476101</v>
      </c>
      <c r="F13">
        <v>2</v>
      </c>
      <c r="G13" t="s">
        <v>27</v>
      </c>
      <c r="H13">
        <v>714</v>
      </c>
      <c r="I13">
        <v>714</v>
      </c>
      <c r="J13">
        <v>35.275910364145602</v>
      </c>
      <c r="K13">
        <v>96.865185674774295</v>
      </c>
      <c r="L13">
        <v>11.010459635070101</v>
      </c>
      <c r="M13">
        <v>239.508561948173</v>
      </c>
      <c r="N13">
        <v>0</v>
      </c>
      <c r="O13">
        <v>0</v>
      </c>
      <c r="P13">
        <v>1336.37798199999</v>
      </c>
      <c r="Q13">
        <v>1187.27173361</v>
      </c>
      <c r="S13">
        <v>11</v>
      </c>
      <c r="T13">
        <v>12</v>
      </c>
      <c r="U13">
        <v>15</v>
      </c>
      <c r="V13">
        <v>4</v>
      </c>
      <c r="W13">
        <v>0.35</v>
      </c>
    </row>
    <row r="14" spans="1:25" x14ac:dyDescent="0.3">
      <c r="A14">
        <v>2</v>
      </c>
      <c r="B14" t="s">
        <v>3</v>
      </c>
      <c r="C14">
        <v>15.3890795556295</v>
      </c>
      <c r="D14">
        <v>4</v>
      </c>
      <c r="F14">
        <v>2</v>
      </c>
      <c r="G14" t="s">
        <v>28</v>
      </c>
      <c r="H14">
        <v>714</v>
      </c>
      <c r="I14">
        <v>714</v>
      </c>
      <c r="J14">
        <v>35.275910364145602</v>
      </c>
      <c r="K14">
        <v>94.870171256343696</v>
      </c>
      <c r="L14">
        <v>11.010459635070101</v>
      </c>
      <c r="M14">
        <v>241.88958082409201</v>
      </c>
      <c r="N14">
        <v>0</v>
      </c>
      <c r="O14">
        <v>0</v>
      </c>
      <c r="P14">
        <v>1248.09702299999</v>
      </c>
      <c r="Q14">
        <v>1108.8835216350001</v>
      </c>
      <c r="S14">
        <v>12</v>
      </c>
      <c r="T14">
        <v>12</v>
      </c>
      <c r="U14">
        <v>15</v>
      </c>
      <c r="V14">
        <v>4</v>
      </c>
      <c r="W14">
        <v>0.5</v>
      </c>
    </row>
    <row r="15" spans="1:25" x14ac:dyDescent="0.3">
      <c r="A15">
        <v>2</v>
      </c>
      <c r="B15" t="s">
        <v>4</v>
      </c>
      <c r="C15">
        <v>14.997421590126001</v>
      </c>
      <c r="D15">
        <v>3.9512195121951201</v>
      </c>
      <c r="F15">
        <v>2</v>
      </c>
      <c r="G15" t="s">
        <v>29</v>
      </c>
      <c r="H15">
        <v>0</v>
      </c>
      <c r="I15">
        <v>0</v>
      </c>
      <c r="J15">
        <v>0</v>
      </c>
      <c r="K15">
        <v>0</v>
      </c>
      <c r="L15">
        <v>11.010459635070101</v>
      </c>
      <c r="M15">
        <v>0</v>
      </c>
      <c r="N15">
        <v>0</v>
      </c>
      <c r="O15">
        <v>0</v>
      </c>
      <c r="P15">
        <v>0</v>
      </c>
      <c r="Q15">
        <v>0</v>
      </c>
      <c r="S15">
        <v>13</v>
      </c>
      <c r="T15">
        <v>4</v>
      </c>
      <c r="U15">
        <v>20</v>
      </c>
      <c r="V15">
        <v>2</v>
      </c>
      <c r="W15">
        <v>0.2</v>
      </c>
    </row>
    <row r="16" spans="1:25" x14ac:dyDescent="0.3">
      <c r="A16">
        <v>2</v>
      </c>
      <c r="B16" t="s">
        <v>5</v>
      </c>
      <c r="C16">
        <v>19.7624291866254</v>
      </c>
      <c r="D16">
        <v>4.5</v>
      </c>
      <c r="F16">
        <v>2</v>
      </c>
      <c r="G16" t="s">
        <v>30</v>
      </c>
      <c r="H16">
        <v>0</v>
      </c>
      <c r="I16">
        <v>0</v>
      </c>
      <c r="J16">
        <v>0</v>
      </c>
      <c r="K16">
        <v>0</v>
      </c>
      <c r="L16">
        <v>11.010459635070101</v>
      </c>
      <c r="M16">
        <v>0</v>
      </c>
      <c r="N16">
        <v>0</v>
      </c>
      <c r="O16">
        <v>0</v>
      </c>
      <c r="P16">
        <v>0</v>
      </c>
      <c r="Q16">
        <v>0</v>
      </c>
      <c r="S16">
        <v>14</v>
      </c>
      <c r="T16">
        <v>4</v>
      </c>
      <c r="U16">
        <v>20</v>
      </c>
      <c r="V16">
        <v>2</v>
      </c>
      <c r="W16">
        <v>0.35</v>
      </c>
    </row>
    <row r="17" spans="1:23" x14ac:dyDescent="0.3">
      <c r="A17">
        <v>2</v>
      </c>
      <c r="B17" t="s">
        <v>6</v>
      </c>
      <c r="C17">
        <v>64.476954693412793</v>
      </c>
      <c r="D17">
        <v>4.0171428571428498</v>
      </c>
      <c r="F17">
        <v>2</v>
      </c>
      <c r="G17" t="s">
        <v>31</v>
      </c>
      <c r="H17">
        <v>0</v>
      </c>
      <c r="I17">
        <v>0</v>
      </c>
      <c r="J17">
        <v>0</v>
      </c>
      <c r="K17">
        <v>0</v>
      </c>
      <c r="L17">
        <v>11.010459635070101</v>
      </c>
      <c r="M17">
        <v>0</v>
      </c>
      <c r="N17">
        <v>0</v>
      </c>
      <c r="O17">
        <v>0</v>
      </c>
      <c r="P17">
        <v>0</v>
      </c>
      <c r="Q17">
        <v>0</v>
      </c>
      <c r="S17">
        <v>15</v>
      </c>
      <c r="T17">
        <v>4</v>
      </c>
      <c r="U17">
        <v>20</v>
      </c>
      <c r="V17">
        <v>2</v>
      </c>
      <c r="W17">
        <v>0.5</v>
      </c>
    </row>
    <row r="18" spans="1:23" x14ac:dyDescent="0.3">
      <c r="A18">
        <v>2</v>
      </c>
      <c r="B18" t="s">
        <v>7</v>
      </c>
      <c r="C18">
        <v>65.369650906471804</v>
      </c>
      <c r="D18">
        <v>3.5</v>
      </c>
      <c r="F18">
        <v>2</v>
      </c>
      <c r="G18" t="s">
        <v>32</v>
      </c>
      <c r="H18">
        <v>0</v>
      </c>
      <c r="I18">
        <v>0</v>
      </c>
      <c r="J18">
        <v>0</v>
      </c>
      <c r="K18">
        <v>0</v>
      </c>
      <c r="L18">
        <v>11.010459635070101</v>
      </c>
      <c r="M18">
        <v>0</v>
      </c>
      <c r="N18">
        <v>0</v>
      </c>
      <c r="O18">
        <v>0</v>
      </c>
      <c r="P18">
        <v>0</v>
      </c>
      <c r="Q18">
        <v>0</v>
      </c>
      <c r="S18">
        <v>16</v>
      </c>
      <c r="T18">
        <v>4</v>
      </c>
      <c r="U18">
        <v>20</v>
      </c>
      <c r="V18">
        <v>3</v>
      </c>
      <c r="W18">
        <v>0.2</v>
      </c>
    </row>
    <row r="19" spans="1:23" x14ac:dyDescent="0.3">
      <c r="A19">
        <v>2</v>
      </c>
      <c r="B19" t="s">
        <v>8</v>
      </c>
      <c r="C19">
        <v>79.0762181205628</v>
      </c>
      <c r="D19">
        <v>4</v>
      </c>
      <c r="F19">
        <v>3</v>
      </c>
      <c r="G19" t="s">
        <v>25</v>
      </c>
      <c r="H19">
        <v>1078</v>
      </c>
      <c r="I19">
        <v>1075</v>
      </c>
      <c r="J19">
        <v>37.6669758812615</v>
      </c>
      <c r="K19">
        <v>145.465527003142</v>
      </c>
      <c r="L19">
        <v>11.2237167873262</v>
      </c>
      <c r="M19">
        <v>367.81427167456098</v>
      </c>
      <c r="N19">
        <v>0</v>
      </c>
      <c r="O19">
        <v>0</v>
      </c>
      <c r="P19">
        <v>1991.48095299999</v>
      </c>
      <c r="Q19">
        <v>1775.6728603399999</v>
      </c>
      <c r="S19">
        <v>17</v>
      </c>
      <c r="T19">
        <v>4</v>
      </c>
      <c r="U19">
        <v>20</v>
      </c>
      <c r="V19">
        <v>3</v>
      </c>
      <c r="W19">
        <v>0.35</v>
      </c>
    </row>
    <row r="20" spans="1:23" x14ac:dyDescent="0.3">
      <c r="A20">
        <v>2</v>
      </c>
      <c r="B20" t="s">
        <v>9</v>
      </c>
      <c r="C20">
        <v>80.396246403212004</v>
      </c>
      <c r="D20">
        <v>3.5</v>
      </c>
      <c r="F20">
        <v>3</v>
      </c>
      <c r="G20" t="s">
        <v>26</v>
      </c>
      <c r="H20">
        <v>1067</v>
      </c>
      <c r="I20">
        <v>1067</v>
      </c>
      <c r="J20">
        <v>37.233364573570697</v>
      </c>
      <c r="K20">
        <v>142.04526381383999</v>
      </c>
      <c r="L20">
        <v>11.2237167873262</v>
      </c>
      <c r="M20">
        <v>360.56469187588698</v>
      </c>
      <c r="N20">
        <v>0</v>
      </c>
      <c r="O20">
        <v>0</v>
      </c>
      <c r="P20">
        <v>1980.8992989999899</v>
      </c>
      <c r="Q20">
        <v>1759.57757878999</v>
      </c>
      <c r="S20">
        <v>18</v>
      </c>
      <c r="T20">
        <v>4</v>
      </c>
      <c r="U20">
        <v>20</v>
      </c>
      <c r="V20">
        <v>3</v>
      </c>
      <c r="W20">
        <v>0.5</v>
      </c>
    </row>
    <row r="21" spans="1:23" x14ac:dyDescent="0.3">
      <c r="A21">
        <v>2</v>
      </c>
      <c r="B21" t="s">
        <v>10</v>
      </c>
      <c r="C21">
        <v>116.895920878596</v>
      </c>
      <c r="D21">
        <v>1.37083993660855</v>
      </c>
      <c r="F21">
        <v>3</v>
      </c>
      <c r="G21" t="s">
        <v>27</v>
      </c>
      <c r="H21">
        <v>714</v>
      </c>
      <c r="I21">
        <v>714</v>
      </c>
      <c r="J21">
        <v>35.275910364145602</v>
      </c>
      <c r="K21">
        <v>96.599726128737302</v>
      </c>
      <c r="L21">
        <v>11.2237167873262</v>
      </c>
      <c r="M21">
        <v>241.349987661211</v>
      </c>
      <c r="N21">
        <v>0</v>
      </c>
      <c r="O21">
        <v>0</v>
      </c>
      <c r="P21">
        <v>1342.94339699999</v>
      </c>
      <c r="Q21">
        <v>1194.09421647</v>
      </c>
      <c r="S21">
        <v>19</v>
      </c>
      <c r="T21">
        <v>4</v>
      </c>
      <c r="U21">
        <v>20</v>
      </c>
      <c r="V21">
        <v>3</v>
      </c>
      <c r="W21">
        <v>0.5</v>
      </c>
    </row>
    <row r="22" spans="1:23" x14ac:dyDescent="0.3">
      <c r="A22">
        <v>2</v>
      </c>
      <c r="B22" t="s">
        <v>11</v>
      </c>
      <c r="C22">
        <v>274.73655180867399</v>
      </c>
      <c r="D22">
        <v>4.0464646464646403</v>
      </c>
      <c r="F22">
        <v>3</v>
      </c>
      <c r="G22" t="s">
        <v>28</v>
      </c>
      <c r="H22">
        <v>714</v>
      </c>
      <c r="I22">
        <v>714</v>
      </c>
      <c r="J22">
        <v>35.275910364145602</v>
      </c>
      <c r="K22">
        <v>95.575800693091395</v>
      </c>
      <c r="L22">
        <v>11.2237167873262</v>
      </c>
      <c r="M22">
        <v>242.432461819574</v>
      </c>
      <c r="N22">
        <v>0</v>
      </c>
      <c r="O22">
        <v>0</v>
      </c>
      <c r="P22">
        <v>1249.2379389999901</v>
      </c>
      <c r="Q22">
        <v>1109.6932592170001</v>
      </c>
      <c r="S22">
        <v>20</v>
      </c>
      <c r="T22">
        <v>4</v>
      </c>
      <c r="U22">
        <v>20</v>
      </c>
      <c r="V22">
        <v>3</v>
      </c>
      <c r="W22">
        <v>0.5</v>
      </c>
    </row>
    <row r="23" spans="1:23" x14ac:dyDescent="0.3">
      <c r="A23">
        <v>2</v>
      </c>
      <c r="B23" t="s">
        <v>12</v>
      </c>
      <c r="C23">
        <v>352.46656888576302</v>
      </c>
      <c r="D23">
        <v>4.5317647058823498</v>
      </c>
      <c r="F23">
        <v>3</v>
      </c>
      <c r="G23" t="s">
        <v>29</v>
      </c>
      <c r="H23">
        <v>0</v>
      </c>
      <c r="I23">
        <v>0</v>
      </c>
      <c r="J23">
        <v>0</v>
      </c>
      <c r="K23">
        <v>0</v>
      </c>
      <c r="L23">
        <v>11.2237167873262</v>
      </c>
      <c r="M23">
        <v>0</v>
      </c>
      <c r="N23">
        <v>0</v>
      </c>
      <c r="O23">
        <v>0</v>
      </c>
      <c r="P23">
        <v>0</v>
      </c>
      <c r="Q23">
        <v>0</v>
      </c>
      <c r="S23">
        <v>21</v>
      </c>
      <c r="T23">
        <v>4</v>
      </c>
      <c r="U23">
        <v>20</v>
      </c>
      <c r="V23">
        <v>4</v>
      </c>
      <c r="W23">
        <v>0.5</v>
      </c>
    </row>
    <row r="24" spans="1:23" x14ac:dyDescent="0.3">
      <c r="A24">
        <v>2</v>
      </c>
      <c r="B24" t="s">
        <v>13</v>
      </c>
      <c r="C24">
        <v>352.29380333596299</v>
      </c>
      <c r="D24">
        <v>1.3518373729476101</v>
      </c>
      <c r="F24">
        <v>3</v>
      </c>
      <c r="G24" t="s">
        <v>30</v>
      </c>
      <c r="H24">
        <v>0</v>
      </c>
      <c r="I24">
        <v>0</v>
      </c>
      <c r="J24">
        <v>0</v>
      </c>
      <c r="K24">
        <v>0</v>
      </c>
      <c r="L24">
        <v>11.2237167873262</v>
      </c>
      <c r="M24">
        <v>0</v>
      </c>
      <c r="N24">
        <v>0</v>
      </c>
      <c r="O24">
        <v>0</v>
      </c>
      <c r="P24">
        <v>0</v>
      </c>
      <c r="Q24">
        <v>0</v>
      </c>
      <c r="S24">
        <v>22</v>
      </c>
      <c r="T24">
        <v>8</v>
      </c>
      <c r="U24">
        <v>20</v>
      </c>
      <c r="V24">
        <v>2</v>
      </c>
      <c r="W24">
        <v>0.2</v>
      </c>
    </row>
    <row r="25" spans="1:23" x14ac:dyDescent="0.3">
      <c r="A25">
        <v>3</v>
      </c>
      <c r="B25" t="s">
        <v>3</v>
      </c>
      <c r="C25">
        <v>15.2557517493753</v>
      </c>
      <c r="D25">
        <v>4</v>
      </c>
      <c r="F25">
        <v>3</v>
      </c>
      <c r="G25" t="s">
        <v>31</v>
      </c>
      <c r="H25">
        <v>0</v>
      </c>
      <c r="I25">
        <v>0</v>
      </c>
      <c r="J25">
        <v>0</v>
      </c>
      <c r="K25">
        <v>0</v>
      </c>
      <c r="L25">
        <v>11.2237167873262</v>
      </c>
      <c r="M25">
        <v>0</v>
      </c>
      <c r="N25">
        <v>0</v>
      </c>
      <c r="O25">
        <v>0</v>
      </c>
      <c r="P25">
        <v>0</v>
      </c>
      <c r="Q25">
        <v>0</v>
      </c>
      <c r="S25">
        <v>23</v>
      </c>
      <c r="T25">
        <v>8</v>
      </c>
      <c r="U25">
        <v>20</v>
      </c>
      <c r="V25">
        <v>2</v>
      </c>
      <c r="W25">
        <v>0.35</v>
      </c>
    </row>
    <row r="26" spans="1:23" x14ac:dyDescent="0.3">
      <c r="A26">
        <v>3</v>
      </c>
      <c r="B26" t="s">
        <v>4</v>
      </c>
      <c r="C26">
        <v>15.2195693301269</v>
      </c>
      <c r="D26">
        <v>3.84615384615384</v>
      </c>
      <c r="F26">
        <v>3</v>
      </c>
      <c r="G26" t="s">
        <v>32</v>
      </c>
      <c r="H26">
        <v>0</v>
      </c>
      <c r="I26">
        <v>0</v>
      </c>
      <c r="J26">
        <v>0</v>
      </c>
      <c r="K26">
        <v>0</v>
      </c>
      <c r="L26">
        <v>11.2237167873262</v>
      </c>
      <c r="M26">
        <v>0</v>
      </c>
      <c r="N26">
        <v>0</v>
      </c>
      <c r="O26">
        <v>0</v>
      </c>
      <c r="P26">
        <v>0</v>
      </c>
      <c r="Q26">
        <v>0</v>
      </c>
      <c r="S26">
        <v>24</v>
      </c>
      <c r="T26">
        <v>8</v>
      </c>
      <c r="U26">
        <v>20</v>
      </c>
      <c r="V26">
        <v>2</v>
      </c>
      <c r="W26">
        <v>0.5</v>
      </c>
    </row>
    <row r="27" spans="1:23" x14ac:dyDescent="0.3">
      <c r="A27">
        <v>3</v>
      </c>
      <c r="B27" t="s">
        <v>5</v>
      </c>
      <c r="C27">
        <v>19.1886614040172</v>
      </c>
      <c r="D27">
        <v>4.5</v>
      </c>
      <c r="F27">
        <v>4</v>
      </c>
      <c r="G27" t="s">
        <v>25</v>
      </c>
      <c r="H27">
        <v>1302</v>
      </c>
      <c r="I27">
        <v>1221</v>
      </c>
      <c r="J27">
        <v>78.582949308755701</v>
      </c>
      <c r="K27">
        <v>204.29804160874301</v>
      </c>
      <c r="L27">
        <v>5.8326613246757502</v>
      </c>
      <c r="M27">
        <v>421.16684582695598</v>
      </c>
      <c r="N27">
        <v>0</v>
      </c>
      <c r="O27">
        <v>0</v>
      </c>
      <c r="P27">
        <v>2887.2352989999999</v>
      </c>
      <c r="Q27">
        <v>2508.7293062879899</v>
      </c>
      <c r="S27">
        <v>25</v>
      </c>
      <c r="T27">
        <v>8</v>
      </c>
      <c r="U27">
        <v>20</v>
      </c>
      <c r="V27">
        <v>3</v>
      </c>
      <c r="W27">
        <v>0.2</v>
      </c>
    </row>
    <row r="28" spans="1:23" x14ac:dyDescent="0.3">
      <c r="A28">
        <v>3</v>
      </c>
      <c r="B28" t="s">
        <v>6</v>
      </c>
      <c r="C28">
        <v>64.703639579502195</v>
      </c>
      <c r="D28">
        <v>4.0171428571428498</v>
      </c>
      <c r="F28">
        <v>4</v>
      </c>
      <c r="G28" t="s">
        <v>26</v>
      </c>
      <c r="H28">
        <v>1138</v>
      </c>
      <c r="I28">
        <v>1134</v>
      </c>
      <c r="J28">
        <v>71.623022847100103</v>
      </c>
      <c r="K28">
        <v>200.648557445991</v>
      </c>
      <c r="L28">
        <v>5.8326613246757502</v>
      </c>
      <c r="M28">
        <v>382.52949339613701</v>
      </c>
      <c r="N28">
        <v>0</v>
      </c>
      <c r="O28">
        <v>0</v>
      </c>
      <c r="P28">
        <v>2798.7146830000002</v>
      </c>
      <c r="Q28">
        <v>2417.9069333039902</v>
      </c>
      <c r="S28">
        <v>26</v>
      </c>
      <c r="T28">
        <v>8</v>
      </c>
      <c r="U28">
        <v>20</v>
      </c>
      <c r="V28">
        <v>3</v>
      </c>
      <c r="W28">
        <v>0.35</v>
      </c>
    </row>
    <row r="29" spans="1:23" x14ac:dyDescent="0.3">
      <c r="A29">
        <v>3</v>
      </c>
      <c r="B29" t="s">
        <v>7</v>
      </c>
      <c r="C29">
        <v>65.816728605265098</v>
      </c>
      <c r="D29">
        <v>3.5</v>
      </c>
      <c r="F29">
        <v>4</v>
      </c>
      <c r="G29" t="s">
        <v>27</v>
      </c>
      <c r="H29">
        <v>697</v>
      </c>
      <c r="I29">
        <v>697</v>
      </c>
      <c r="J29">
        <v>88.058823529411697</v>
      </c>
      <c r="K29">
        <v>112.710494365877</v>
      </c>
      <c r="L29">
        <v>5.8326613246757502</v>
      </c>
      <c r="M29">
        <v>190.22273646001901</v>
      </c>
      <c r="N29">
        <v>0</v>
      </c>
      <c r="O29">
        <v>0</v>
      </c>
      <c r="P29">
        <v>1297.2626359999899</v>
      </c>
      <c r="Q29">
        <v>1109.5235997459899</v>
      </c>
      <c r="S29">
        <v>27</v>
      </c>
      <c r="T29">
        <v>8</v>
      </c>
      <c r="U29">
        <v>20</v>
      </c>
      <c r="V29">
        <v>3</v>
      </c>
      <c r="W29">
        <v>0.5</v>
      </c>
    </row>
    <row r="30" spans="1:23" x14ac:dyDescent="0.3">
      <c r="A30">
        <v>3</v>
      </c>
      <c r="B30" t="s">
        <v>8</v>
      </c>
      <c r="C30">
        <v>79.253990083640801</v>
      </c>
      <c r="D30">
        <v>4</v>
      </c>
      <c r="F30">
        <v>4</v>
      </c>
      <c r="G30" t="s">
        <v>28</v>
      </c>
      <c r="H30">
        <v>692</v>
      </c>
      <c r="I30">
        <v>692</v>
      </c>
      <c r="J30">
        <v>87.419075144508597</v>
      </c>
      <c r="K30">
        <v>112.077946187232</v>
      </c>
      <c r="L30">
        <v>5.8326613246757502</v>
      </c>
      <c r="M30">
        <v>189.29118078943901</v>
      </c>
      <c r="N30">
        <v>0</v>
      </c>
      <c r="O30">
        <v>0</v>
      </c>
      <c r="P30">
        <v>1311.20135799999</v>
      </c>
      <c r="Q30">
        <v>1121.6140943539999</v>
      </c>
      <c r="S30">
        <v>28</v>
      </c>
      <c r="T30">
        <v>8</v>
      </c>
      <c r="U30">
        <v>20</v>
      </c>
      <c r="V30">
        <v>4</v>
      </c>
      <c r="W30">
        <v>0.2</v>
      </c>
    </row>
    <row r="31" spans="1:23" x14ac:dyDescent="0.3">
      <c r="A31">
        <v>3</v>
      </c>
      <c r="B31" t="s">
        <v>9</v>
      </c>
      <c r="C31">
        <v>81.181624270578496</v>
      </c>
      <c r="D31">
        <v>3.5</v>
      </c>
      <c r="F31">
        <v>5</v>
      </c>
      <c r="G31" t="s">
        <v>25</v>
      </c>
      <c r="H31">
        <v>1306</v>
      </c>
      <c r="I31">
        <v>1225</v>
      </c>
      <c r="J31">
        <v>78.965543644716604</v>
      </c>
      <c r="K31">
        <v>204.758993615457</v>
      </c>
      <c r="L31">
        <v>5.7532156040272699</v>
      </c>
      <c r="M31">
        <v>420.35451515729198</v>
      </c>
      <c r="N31">
        <v>0</v>
      </c>
      <c r="O31">
        <v>0</v>
      </c>
      <c r="P31">
        <v>2910.7558399999998</v>
      </c>
      <c r="Q31">
        <v>2526.75864821399</v>
      </c>
      <c r="S31">
        <v>29</v>
      </c>
      <c r="T31">
        <v>8</v>
      </c>
      <c r="U31">
        <v>20</v>
      </c>
      <c r="V31">
        <v>4</v>
      </c>
      <c r="W31">
        <v>0.35</v>
      </c>
    </row>
    <row r="32" spans="1:23" x14ac:dyDescent="0.3">
      <c r="A32">
        <v>3</v>
      </c>
      <c r="B32" t="s">
        <v>10</v>
      </c>
      <c r="C32">
        <v>116.751962242541</v>
      </c>
      <c r="D32">
        <v>1.37083993660855</v>
      </c>
      <c r="F32">
        <v>5</v>
      </c>
      <c r="G32" t="s">
        <v>26</v>
      </c>
      <c r="H32">
        <v>1143</v>
      </c>
      <c r="I32">
        <v>1139</v>
      </c>
      <c r="J32">
        <v>72.201224846894107</v>
      </c>
      <c r="K32">
        <v>201.36484457014799</v>
      </c>
      <c r="L32">
        <v>5.7532156040272699</v>
      </c>
      <c r="M32">
        <v>384.50211334826503</v>
      </c>
      <c r="N32">
        <v>0</v>
      </c>
      <c r="O32">
        <v>0</v>
      </c>
      <c r="P32">
        <v>2833.5685790000002</v>
      </c>
      <c r="Q32">
        <v>2448.0191579519901</v>
      </c>
      <c r="S32">
        <v>30</v>
      </c>
      <c r="T32">
        <v>8</v>
      </c>
      <c r="U32">
        <v>20</v>
      </c>
      <c r="V32">
        <v>4</v>
      </c>
      <c r="W32">
        <v>0.5</v>
      </c>
    </row>
    <row r="33" spans="1:23" x14ac:dyDescent="0.3">
      <c r="A33">
        <v>3</v>
      </c>
      <c r="B33" t="s">
        <v>11</v>
      </c>
      <c r="C33">
        <v>275.45586323791298</v>
      </c>
      <c r="D33">
        <v>4.0464646464646403</v>
      </c>
      <c r="F33">
        <v>5</v>
      </c>
      <c r="G33" t="s">
        <v>27</v>
      </c>
      <c r="H33">
        <v>696</v>
      </c>
      <c r="I33">
        <v>696</v>
      </c>
      <c r="J33">
        <v>87.9152298850574</v>
      </c>
      <c r="K33">
        <v>113.399318937774</v>
      </c>
      <c r="L33">
        <v>5.7532156040272699</v>
      </c>
      <c r="M33">
        <v>190.15785052515599</v>
      </c>
      <c r="N33">
        <v>0</v>
      </c>
      <c r="O33">
        <v>0</v>
      </c>
      <c r="P33">
        <v>1312.2849649999901</v>
      </c>
      <c r="Q33">
        <v>1119.795259941</v>
      </c>
      <c r="S33">
        <v>31</v>
      </c>
      <c r="T33">
        <v>12</v>
      </c>
      <c r="U33">
        <v>20</v>
      </c>
      <c r="V33">
        <v>2</v>
      </c>
      <c r="W33">
        <v>0.2</v>
      </c>
    </row>
    <row r="34" spans="1:23" x14ac:dyDescent="0.3">
      <c r="A34">
        <v>3</v>
      </c>
      <c r="B34" t="s">
        <v>12</v>
      </c>
      <c r="C34">
        <v>352.69735227385598</v>
      </c>
      <c r="D34">
        <v>4.5317647058823498</v>
      </c>
      <c r="F34">
        <v>5</v>
      </c>
      <c r="G34" t="s">
        <v>28</v>
      </c>
      <c r="H34">
        <v>691</v>
      </c>
      <c r="I34">
        <v>691</v>
      </c>
      <c r="J34">
        <v>87.279305354558602</v>
      </c>
      <c r="K34">
        <v>111.231131892677</v>
      </c>
      <c r="L34">
        <v>5.7532156040272699</v>
      </c>
      <c r="M34">
        <v>190.14793539890201</v>
      </c>
      <c r="N34">
        <v>0</v>
      </c>
      <c r="O34">
        <v>0</v>
      </c>
      <c r="P34">
        <v>1301.9089289999899</v>
      </c>
      <c r="Q34">
        <v>1113.41621538799</v>
      </c>
      <c r="S34">
        <v>32</v>
      </c>
      <c r="T34">
        <v>12</v>
      </c>
      <c r="U34">
        <v>20</v>
      </c>
      <c r="V34">
        <v>2</v>
      </c>
      <c r="W34">
        <v>0.35</v>
      </c>
    </row>
    <row r="35" spans="1:23" x14ac:dyDescent="0.3">
      <c r="A35">
        <v>3</v>
      </c>
      <c r="B35" t="s">
        <v>13</v>
      </c>
      <c r="C35">
        <v>352.40101951035501</v>
      </c>
      <c r="D35">
        <v>1.3518373729476101</v>
      </c>
      <c r="F35">
        <v>6</v>
      </c>
      <c r="G35" t="s">
        <v>25</v>
      </c>
      <c r="H35">
        <v>1300</v>
      </c>
      <c r="I35">
        <v>1219</v>
      </c>
      <c r="J35">
        <v>78.386153846153803</v>
      </c>
      <c r="K35">
        <v>204.08933870890999</v>
      </c>
      <c r="L35">
        <v>5.77948345780257</v>
      </c>
      <c r="M35">
        <v>420.69176682099197</v>
      </c>
      <c r="N35">
        <v>0</v>
      </c>
      <c r="O35">
        <v>0</v>
      </c>
      <c r="P35">
        <v>2885.8749090000001</v>
      </c>
      <c r="Q35">
        <v>2507.4010639849898</v>
      </c>
      <c r="S35">
        <v>33</v>
      </c>
      <c r="T35">
        <v>12</v>
      </c>
      <c r="U35">
        <v>20</v>
      </c>
      <c r="V35">
        <v>2</v>
      </c>
      <c r="W35">
        <v>0.5</v>
      </c>
    </row>
    <row r="36" spans="1:23" x14ac:dyDescent="0.3">
      <c r="A36">
        <v>4</v>
      </c>
      <c r="B36" t="s">
        <v>3</v>
      </c>
      <c r="C36">
        <v>15.218783612605799</v>
      </c>
      <c r="D36">
        <v>4</v>
      </c>
      <c r="F36">
        <v>6</v>
      </c>
      <c r="G36" t="s">
        <v>26</v>
      </c>
      <c r="H36">
        <v>1136</v>
      </c>
      <c r="I36">
        <v>1132</v>
      </c>
      <c r="J36">
        <v>71.3908450704225</v>
      </c>
      <c r="K36">
        <v>201.141410811307</v>
      </c>
      <c r="L36">
        <v>5.77948345780257</v>
      </c>
      <c r="M36">
        <v>386.03151555770398</v>
      </c>
      <c r="N36">
        <v>0</v>
      </c>
      <c r="O36">
        <v>0</v>
      </c>
      <c r="P36">
        <v>2808.408664</v>
      </c>
      <c r="Q36">
        <v>2428.3292650979902</v>
      </c>
      <c r="S36">
        <v>34</v>
      </c>
      <c r="T36">
        <v>12</v>
      </c>
      <c r="U36">
        <v>20</v>
      </c>
      <c r="V36">
        <v>3</v>
      </c>
      <c r="W36">
        <v>0.2</v>
      </c>
    </row>
    <row r="37" spans="1:23" x14ac:dyDescent="0.3">
      <c r="A37">
        <v>4</v>
      </c>
      <c r="B37" t="s">
        <v>4</v>
      </c>
      <c r="C37">
        <v>15.327286802360399</v>
      </c>
      <c r="D37">
        <v>3.5</v>
      </c>
      <c r="F37">
        <v>6</v>
      </c>
      <c r="G37" t="s">
        <v>27</v>
      </c>
      <c r="H37">
        <v>694</v>
      </c>
      <c r="I37">
        <v>694</v>
      </c>
      <c r="J37">
        <v>87.632564841498507</v>
      </c>
      <c r="K37">
        <v>112.714035534522</v>
      </c>
      <c r="L37">
        <v>5.77948345780257</v>
      </c>
      <c r="M37">
        <v>188.73787529025299</v>
      </c>
      <c r="N37">
        <v>0</v>
      </c>
      <c r="O37">
        <v>0</v>
      </c>
      <c r="P37">
        <v>1312.27439999999</v>
      </c>
      <c r="Q37">
        <v>1121.1413573249899</v>
      </c>
      <c r="S37">
        <v>35</v>
      </c>
      <c r="T37">
        <v>12</v>
      </c>
      <c r="U37">
        <v>20</v>
      </c>
      <c r="V37">
        <v>3</v>
      </c>
      <c r="W37">
        <v>0.35</v>
      </c>
    </row>
    <row r="38" spans="1:23" x14ac:dyDescent="0.3">
      <c r="A38">
        <v>4</v>
      </c>
      <c r="B38" t="s">
        <v>5</v>
      </c>
      <c r="C38">
        <v>19.878098321144201</v>
      </c>
      <c r="D38">
        <v>5</v>
      </c>
      <c r="F38">
        <v>6</v>
      </c>
      <c r="G38" t="s">
        <v>28</v>
      </c>
      <c r="H38">
        <v>690</v>
      </c>
      <c r="I38">
        <v>690</v>
      </c>
      <c r="J38">
        <v>87.171014492753599</v>
      </c>
      <c r="K38">
        <v>111.59512924592001</v>
      </c>
      <c r="L38">
        <v>5.77948345780257</v>
      </c>
      <c r="M38">
        <v>189.332951180577</v>
      </c>
      <c r="N38">
        <v>0</v>
      </c>
      <c r="O38">
        <v>0</v>
      </c>
      <c r="P38">
        <v>1303.24950899999</v>
      </c>
      <c r="Q38">
        <v>1114.6192660709901</v>
      </c>
      <c r="S38">
        <v>36</v>
      </c>
      <c r="T38">
        <v>12</v>
      </c>
      <c r="U38">
        <v>20</v>
      </c>
      <c r="V38">
        <v>3</v>
      </c>
      <c r="W38">
        <v>0.5</v>
      </c>
    </row>
    <row r="39" spans="1:23" x14ac:dyDescent="0.3">
      <c r="A39">
        <v>4</v>
      </c>
      <c r="B39" t="s">
        <v>6</v>
      </c>
      <c r="C39">
        <v>64.2557276411614</v>
      </c>
      <c r="D39">
        <v>3.35593220338983</v>
      </c>
      <c r="F39">
        <v>7</v>
      </c>
      <c r="G39" t="s">
        <v>25</v>
      </c>
      <c r="H39">
        <v>1299</v>
      </c>
      <c r="I39">
        <v>1218</v>
      </c>
      <c r="J39">
        <v>78.290223248652794</v>
      </c>
      <c r="K39">
        <v>204.46580897326101</v>
      </c>
      <c r="L39">
        <v>5.7793060788179904</v>
      </c>
      <c r="M39">
        <v>421.643198388153</v>
      </c>
      <c r="N39">
        <v>0</v>
      </c>
      <c r="O39">
        <v>0</v>
      </c>
      <c r="P39">
        <v>2891.0899089999998</v>
      </c>
      <c r="Q39">
        <v>2514.39349119699</v>
      </c>
      <c r="S39">
        <v>37</v>
      </c>
      <c r="T39">
        <v>12</v>
      </c>
      <c r="U39">
        <v>20</v>
      </c>
      <c r="V39">
        <v>4</v>
      </c>
      <c r="W39">
        <v>0.2</v>
      </c>
    </row>
    <row r="40" spans="1:23" x14ac:dyDescent="0.3">
      <c r="A40">
        <v>4</v>
      </c>
      <c r="B40" t="s">
        <v>7</v>
      </c>
      <c r="C40">
        <v>65.733146244244494</v>
      </c>
      <c r="D40">
        <v>3.7</v>
      </c>
      <c r="F40">
        <v>7</v>
      </c>
      <c r="G40" t="s">
        <v>26</v>
      </c>
      <c r="H40">
        <v>1135</v>
      </c>
      <c r="I40">
        <v>1131</v>
      </c>
      <c r="J40">
        <v>71.276651982378795</v>
      </c>
      <c r="K40">
        <v>199.82949241280801</v>
      </c>
      <c r="L40">
        <v>5.7793060788179904</v>
      </c>
      <c r="M40">
        <v>384.07974062506202</v>
      </c>
      <c r="N40">
        <v>0</v>
      </c>
      <c r="O40">
        <v>0</v>
      </c>
      <c r="P40">
        <v>2796.8631970000001</v>
      </c>
      <c r="Q40">
        <v>2417.8713349679902</v>
      </c>
      <c r="S40">
        <v>38</v>
      </c>
      <c r="T40">
        <v>12</v>
      </c>
      <c r="U40">
        <v>20</v>
      </c>
      <c r="V40">
        <v>4</v>
      </c>
      <c r="W40">
        <v>0.35</v>
      </c>
    </row>
    <row r="41" spans="1:23" x14ac:dyDescent="0.3">
      <c r="A41">
        <v>4</v>
      </c>
      <c r="B41" t="s">
        <v>8</v>
      </c>
      <c r="C41">
        <v>78.921639528258297</v>
      </c>
      <c r="D41">
        <v>4</v>
      </c>
      <c r="F41">
        <v>7</v>
      </c>
      <c r="G41" t="s">
        <v>27</v>
      </c>
      <c r="H41">
        <v>701</v>
      </c>
      <c r="I41">
        <v>701</v>
      </c>
      <c r="J41">
        <v>88.626248216833005</v>
      </c>
      <c r="K41">
        <v>113.31466275408199</v>
      </c>
      <c r="L41">
        <v>5.7793060788179904</v>
      </c>
      <c r="M41">
        <v>189.267756159371</v>
      </c>
      <c r="N41">
        <v>0</v>
      </c>
      <c r="O41">
        <v>0</v>
      </c>
      <c r="P41">
        <v>1322.4568259999901</v>
      </c>
      <c r="Q41">
        <v>1130.5972742929901</v>
      </c>
      <c r="S41">
        <v>39</v>
      </c>
      <c r="T41">
        <v>12</v>
      </c>
      <c r="U41">
        <v>20</v>
      </c>
      <c r="V41">
        <v>4</v>
      </c>
      <c r="W41">
        <v>0.5</v>
      </c>
    </row>
    <row r="42" spans="1:23" x14ac:dyDescent="0.3">
      <c r="A42">
        <v>4</v>
      </c>
      <c r="B42" t="s">
        <v>9</v>
      </c>
      <c r="C42">
        <v>80.359012820983196</v>
      </c>
      <c r="D42">
        <v>3.5</v>
      </c>
      <c r="F42">
        <v>7</v>
      </c>
      <c r="G42" t="s">
        <v>28</v>
      </c>
      <c r="H42">
        <v>696</v>
      </c>
      <c r="I42">
        <v>696</v>
      </c>
      <c r="J42">
        <v>87.987068965517196</v>
      </c>
      <c r="K42">
        <v>111.88020139654</v>
      </c>
      <c r="L42">
        <v>5.7793060788179904</v>
      </c>
      <c r="M42">
        <v>189.767050985103</v>
      </c>
      <c r="N42">
        <v>0</v>
      </c>
      <c r="O42">
        <v>0</v>
      </c>
      <c r="P42">
        <v>1309.9998799999901</v>
      </c>
      <c r="Q42">
        <v>1120.8303686089901</v>
      </c>
      <c r="S42">
        <v>40</v>
      </c>
      <c r="T42">
        <v>4</v>
      </c>
      <c r="U42">
        <v>25</v>
      </c>
      <c r="V42">
        <v>2</v>
      </c>
      <c r="W42">
        <v>0.2</v>
      </c>
    </row>
    <row r="43" spans="1:23" x14ac:dyDescent="0.3">
      <c r="A43">
        <v>4</v>
      </c>
      <c r="B43" t="s">
        <v>10</v>
      </c>
      <c r="C43">
        <v>116.896836468925</v>
      </c>
      <c r="D43">
        <v>1.74823943661971</v>
      </c>
      <c r="F43">
        <v>8</v>
      </c>
      <c r="G43" t="s">
        <v>25</v>
      </c>
      <c r="H43">
        <v>1298</v>
      </c>
      <c r="I43">
        <v>1216</v>
      </c>
      <c r="J43">
        <v>78.194915254237202</v>
      </c>
      <c r="K43">
        <v>202.87363324319099</v>
      </c>
      <c r="L43">
        <v>5.7545685637030299</v>
      </c>
      <c r="M43">
        <v>417.80409494828803</v>
      </c>
      <c r="N43">
        <v>0</v>
      </c>
      <c r="O43">
        <v>0</v>
      </c>
      <c r="P43">
        <v>2883.3819449999901</v>
      </c>
      <c r="Q43">
        <v>2503.2392003109899</v>
      </c>
      <c r="S43">
        <v>41</v>
      </c>
      <c r="T43">
        <v>4</v>
      </c>
      <c r="U43">
        <v>25</v>
      </c>
      <c r="V43">
        <v>2</v>
      </c>
      <c r="W43">
        <v>0.35</v>
      </c>
    </row>
    <row r="44" spans="1:23" x14ac:dyDescent="0.3">
      <c r="A44">
        <v>4</v>
      </c>
      <c r="B44" t="s">
        <v>11</v>
      </c>
      <c r="C44">
        <v>273.788853525658</v>
      </c>
      <c r="D44">
        <v>3.9610655737704898</v>
      </c>
      <c r="F44">
        <v>8</v>
      </c>
      <c r="G44" t="s">
        <v>26</v>
      </c>
      <c r="H44">
        <v>1134</v>
      </c>
      <c r="I44">
        <v>1132</v>
      </c>
      <c r="J44">
        <v>71.161375661375601</v>
      </c>
      <c r="K44">
        <v>201.89709370775</v>
      </c>
      <c r="L44">
        <v>5.7545685637030299</v>
      </c>
      <c r="M44">
        <v>387.561949307693</v>
      </c>
      <c r="N44">
        <v>0</v>
      </c>
      <c r="O44">
        <v>0</v>
      </c>
      <c r="P44">
        <v>2820.0301840000002</v>
      </c>
      <c r="Q44">
        <v>2435.5899097809902</v>
      </c>
      <c r="S44">
        <v>42</v>
      </c>
      <c r="T44">
        <v>4</v>
      </c>
      <c r="U44">
        <v>25</v>
      </c>
      <c r="V44">
        <v>2</v>
      </c>
      <c r="W44">
        <v>0.5</v>
      </c>
    </row>
    <row r="45" spans="1:23" x14ac:dyDescent="0.3">
      <c r="A45">
        <v>4</v>
      </c>
      <c r="B45" t="s">
        <v>12</v>
      </c>
      <c r="C45">
        <v>353.96985546664001</v>
      </c>
      <c r="D45">
        <v>4.5477855477855398</v>
      </c>
      <c r="F45">
        <v>8</v>
      </c>
      <c r="G45" t="s">
        <v>27</v>
      </c>
      <c r="H45">
        <v>697</v>
      </c>
      <c r="I45">
        <v>697</v>
      </c>
      <c r="J45">
        <v>88.064562410329899</v>
      </c>
      <c r="K45">
        <v>112.60295006149001</v>
      </c>
      <c r="L45">
        <v>5.7545685637030299</v>
      </c>
      <c r="M45">
        <v>190.683456436688</v>
      </c>
      <c r="N45">
        <v>0</v>
      </c>
      <c r="O45">
        <v>0</v>
      </c>
      <c r="P45">
        <v>1298.74189999999</v>
      </c>
      <c r="Q45">
        <v>1109.1920653939901</v>
      </c>
      <c r="S45">
        <v>43</v>
      </c>
      <c r="T45">
        <v>4</v>
      </c>
      <c r="U45">
        <v>25</v>
      </c>
      <c r="V45">
        <v>3</v>
      </c>
      <c r="W45">
        <v>0.2</v>
      </c>
    </row>
    <row r="46" spans="1:23" x14ac:dyDescent="0.3">
      <c r="A46">
        <v>4</v>
      </c>
      <c r="B46" t="s">
        <v>13</v>
      </c>
      <c r="C46">
        <v>353.70314243502997</v>
      </c>
      <c r="D46">
        <v>1.33877233877233</v>
      </c>
      <c r="F46">
        <v>8</v>
      </c>
      <c r="G46" t="s">
        <v>28</v>
      </c>
      <c r="H46">
        <v>692</v>
      </c>
      <c r="I46">
        <v>692</v>
      </c>
      <c r="J46">
        <v>87.430635838150295</v>
      </c>
      <c r="K46">
        <v>112.106589011276</v>
      </c>
      <c r="L46">
        <v>5.7545685637030299</v>
      </c>
      <c r="M46">
        <v>189.391623430154</v>
      </c>
      <c r="N46">
        <v>0</v>
      </c>
      <c r="O46">
        <v>0</v>
      </c>
      <c r="P46">
        <v>1301.02422999999</v>
      </c>
      <c r="Q46">
        <v>1112.938402042</v>
      </c>
      <c r="S46">
        <v>44</v>
      </c>
      <c r="T46">
        <v>4</v>
      </c>
      <c r="U46">
        <v>25</v>
      </c>
      <c r="V46">
        <v>3</v>
      </c>
      <c r="W46">
        <v>0.35</v>
      </c>
    </row>
    <row r="47" spans="1:23" x14ac:dyDescent="0.3">
      <c r="A47">
        <v>5</v>
      </c>
      <c r="B47" t="s">
        <v>3</v>
      </c>
      <c r="C47">
        <v>15.1558976555373</v>
      </c>
      <c r="D47">
        <v>4</v>
      </c>
      <c r="F47">
        <v>9</v>
      </c>
      <c r="G47" t="s">
        <v>25</v>
      </c>
      <c r="H47">
        <v>1300</v>
      </c>
      <c r="I47">
        <v>1217</v>
      </c>
      <c r="J47">
        <v>78.390769230769195</v>
      </c>
      <c r="K47">
        <v>204.55129695718401</v>
      </c>
      <c r="L47">
        <v>5.7863380231603401</v>
      </c>
      <c r="M47">
        <v>419.87064188854401</v>
      </c>
      <c r="N47">
        <v>0</v>
      </c>
      <c r="O47">
        <v>0</v>
      </c>
      <c r="P47">
        <v>2877.009192</v>
      </c>
      <c r="Q47">
        <v>2499.6022367379901</v>
      </c>
      <c r="S47">
        <v>45</v>
      </c>
      <c r="T47">
        <v>4</v>
      </c>
      <c r="U47">
        <v>25</v>
      </c>
      <c r="V47">
        <v>3</v>
      </c>
      <c r="W47">
        <v>0.5</v>
      </c>
    </row>
    <row r="48" spans="1:23" x14ac:dyDescent="0.3">
      <c r="A48">
        <v>5</v>
      </c>
      <c r="B48" t="s">
        <v>4</v>
      </c>
      <c r="C48">
        <v>15.1599404384256</v>
      </c>
      <c r="D48">
        <v>3.5</v>
      </c>
      <c r="F48">
        <v>9</v>
      </c>
      <c r="G48" t="s">
        <v>26</v>
      </c>
      <c r="H48">
        <v>1135</v>
      </c>
      <c r="I48">
        <v>1132</v>
      </c>
      <c r="J48">
        <v>71.283700440528605</v>
      </c>
      <c r="K48">
        <v>200.33740934777001</v>
      </c>
      <c r="L48">
        <v>5.7863380231603401</v>
      </c>
      <c r="M48">
        <v>385.78509128401902</v>
      </c>
      <c r="N48">
        <v>0</v>
      </c>
      <c r="O48">
        <v>0</v>
      </c>
      <c r="P48">
        <v>2810.1180690000001</v>
      </c>
      <c r="Q48">
        <v>2432.49023290899</v>
      </c>
      <c r="S48">
        <v>46</v>
      </c>
      <c r="T48">
        <v>4</v>
      </c>
      <c r="U48">
        <v>25</v>
      </c>
      <c r="V48">
        <v>4</v>
      </c>
      <c r="W48">
        <v>0.2</v>
      </c>
    </row>
    <row r="49" spans="1:24" x14ac:dyDescent="0.3">
      <c r="A49">
        <v>5</v>
      </c>
      <c r="B49" t="s">
        <v>5</v>
      </c>
      <c r="C49">
        <v>19.611362015357901</v>
      </c>
      <c r="D49">
        <v>5</v>
      </c>
      <c r="F49">
        <v>9</v>
      </c>
      <c r="G49" t="s">
        <v>27</v>
      </c>
      <c r="H49">
        <v>696</v>
      </c>
      <c r="I49">
        <v>696</v>
      </c>
      <c r="J49">
        <v>87.913793103448199</v>
      </c>
      <c r="K49">
        <v>112.372812159001</v>
      </c>
      <c r="L49">
        <v>5.7863380231603401</v>
      </c>
      <c r="M49">
        <v>188.71376865467599</v>
      </c>
      <c r="N49">
        <v>0</v>
      </c>
      <c r="O49">
        <v>0</v>
      </c>
      <c r="P49">
        <v>1302.4389879999901</v>
      </c>
      <c r="Q49">
        <v>1111.4514482529901</v>
      </c>
      <c r="S49">
        <v>47</v>
      </c>
      <c r="T49">
        <v>4</v>
      </c>
      <c r="U49">
        <v>25</v>
      </c>
      <c r="V49">
        <v>4</v>
      </c>
      <c r="W49">
        <v>0.35</v>
      </c>
    </row>
    <row r="50" spans="1:24" x14ac:dyDescent="0.3">
      <c r="A50">
        <v>5</v>
      </c>
      <c r="B50" t="s">
        <v>6</v>
      </c>
      <c r="C50">
        <v>64.292363943616806</v>
      </c>
      <c r="D50">
        <v>3.3898305084745699</v>
      </c>
      <c r="F50">
        <v>9</v>
      </c>
      <c r="G50" t="s">
        <v>28</v>
      </c>
      <c r="H50">
        <v>691</v>
      </c>
      <c r="I50">
        <v>691</v>
      </c>
      <c r="J50">
        <v>87.276410998552805</v>
      </c>
      <c r="K50">
        <v>112.42409936373301</v>
      </c>
      <c r="L50">
        <v>5.7863380231603401</v>
      </c>
      <c r="M50">
        <v>191.82979292063001</v>
      </c>
      <c r="N50">
        <v>0</v>
      </c>
      <c r="O50">
        <v>0</v>
      </c>
      <c r="P50">
        <v>1308.6266519999899</v>
      </c>
      <c r="Q50">
        <v>1119.815119931</v>
      </c>
      <c r="S50">
        <v>48</v>
      </c>
      <c r="T50">
        <v>4</v>
      </c>
      <c r="U50">
        <v>25</v>
      </c>
      <c r="V50">
        <v>4</v>
      </c>
      <c r="W50">
        <v>0.5</v>
      </c>
    </row>
    <row r="51" spans="1:24" x14ac:dyDescent="0.3">
      <c r="A51">
        <v>5</v>
      </c>
      <c r="B51" t="s">
        <v>7</v>
      </c>
      <c r="C51">
        <v>65.911905882907703</v>
      </c>
      <c r="D51">
        <v>3.68333333333333</v>
      </c>
      <c r="F51">
        <v>10</v>
      </c>
      <c r="G51" t="s">
        <v>25</v>
      </c>
      <c r="H51">
        <v>1078</v>
      </c>
      <c r="I51">
        <v>1077</v>
      </c>
      <c r="J51">
        <v>37.6669758812615</v>
      </c>
      <c r="K51">
        <v>144.90656180873501</v>
      </c>
      <c r="L51">
        <v>11.155320600271899</v>
      </c>
      <c r="M51">
        <v>367.81178525862498</v>
      </c>
      <c r="N51">
        <v>0</v>
      </c>
      <c r="O51">
        <v>0</v>
      </c>
      <c r="P51">
        <v>1991.7048709999899</v>
      </c>
      <c r="Q51">
        <v>1774.785072205</v>
      </c>
      <c r="S51">
        <v>49</v>
      </c>
      <c r="T51">
        <v>8</v>
      </c>
      <c r="U51">
        <v>25</v>
      </c>
      <c r="V51">
        <v>2</v>
      </c>
      <c r="W51">
        <v>0.2</v>
      </c>
    </row>
    <row r="52" spans="1:24" x14ac:dyDescent="0.3">
      <c r="A52">
        <v>5</v>
      </c>
      <c r="B52" t="s">
        <v>8</v>
      </c>
      <c r="C52">
        <v>79.326167081954793</v>
      </c>
      <c r="D52">
        <v>4</v>
      </c>
      <c r="F52">
        <v>10</v>
      </c>
      <c r="G52" t="s">
        <v>26</v>
      </c>
      <c r="H52">
        <v>1067</v>
      </c>
      <c r="I52">
        <v>1067</v>
      </c>
      <c r="J52">
        <v>37.233364573570697</v>
      </c>
      <c r="K52">
        <v>143.69325681227801</v>
      </c>
      <c r="L52">
        <v>11.155320600271899</v>
      </c>
      <c r="M52">
        <v>361.42993757652499</v>
      </c>
      <c r="N52">
        <v>0</v>
      </c>
      <c r="O52">
        <v>0</v>
      </c>
      <c r="P52">
        <v>1993.09131399999</v>
      </c>
      <c r="Q52">
        <v>1768.27469657399</v>
      </c>
      <c r="S52">
        <v>50</v>
      </c>
      <c r="T52">
        <v>8</v>
      </c>
      <c r="U52">
        <v>25</v>
      </c>
      <c r="V52">
        <v>2</v>
      </c>
      <c r="W52">
        <v>0.35</v>
      </c>
    </row>
    <row r="53" spans="1:24" x14ac:dyDescent="0.3">
      <c r="A53">
        <v>5</v>
      </c>
      <c r="B53" t="s">
        <v>9</v>
      </c>
      <c r="C53">
        <v>81.268376538017506</v>
      </c>
      <c r="D53">
        <v>3.5</v>
      </c>
      <c r="F53">
        <v>10</v>
      </c>
      <c r="G53" t="s">
        <v>27</v>
      </c>
      <c r="H53">
        <v>714</v>
      </c>
      <c r="I53">
        <v>714</v>
      </c>
      <c r="J53">
        <v>35.275910364145602</v>
      </c>
      <c r="K53">
        <v>96.374390670639301</v>
      </c>
      <c r="L53">
        <v>11.155320600271899</v>
      </c>
      <c r="M53">
        <v>242.17511917227401</v>
      </c>
      <c r="N53">
        <v>0</v>
      </c>
      <c r="O53">
        <v>0</v>
      </c>
      <c r="P53">
        <v>1335.52020699999</v>
      </c>
      <c r="Q53">
        <v>1188.3465145780001</v>
      </c>
      <c r="S53">
        <v>51</v>
      </c>
      <c r="T53">
        <v>8</v>
      </c>
      <c r="U53">
        <v>25</v>
      </c>
      <c r="V53">
        <v>2</v>
      </c>
      <c r="W53">
        <v>0.5</v>
      </c>
    </row>
    <row r="54" spans="1:24" x14ac:dyDescent="0.3">
      <c r="A54">
        <v>5</v>
      </c>
      <c r="B54" t="s">
        <v>10</v>
      </c>
      <c r="C54">
        <v>117.67682378889999</v>
      </c>
      <c r="D54">
        <v>1.7736185383244201</v>
      </c>
      <c r="F54">
        <v>10</v>
      </c>
      <c r="G54" t="s">
        <v>28</v>
      </c>
      <c r="H54">
        <v>714</v>
      </c>
      <c r="I54">
        <v>714</v>
      </c>
      <c r="J54">
        <v>35.275910364145602</v>
      </c>
      <c r="K54">
        <v>95.545291528118796</v>
      </c>
      <c r="L54">
        <v>11.155320600271899</v>
      </c>
      <c r="M54">
        <v>244.51310342221899</v>
      </c>
      <c r="N54">
        <v>0</v>
      </c>
      <c r="O54">
        <v>0</v>
      </c>
      <c r="P54">
        <v>1244.9374439999899</v>
      </c>
      <c r="Q54">
        <v>1106.959758961</v>
      </c>
      <c r="S54">
        <v>52</v>
      </c>
      <c r="T54">
        <v>8</v>
      </c>
      <c r="U54">
        <v>25</v>
      </c>
      <c r="V54">
        <v>3</v>
      </c>
      <c r="W54">
        <v>0.2</v>
      </c>
    </row>
    <row r="55" spans="1:24" x14ac:dyDescent="0.3">
      <c r="A55">
        <v>5</v>
      </c>
      <c r="B55" t="s">
        <v>11</v>
      </c>
      <c r="C55">
        <v>274.90423005090798</v>
      </c>
      <c r="D55">
        <v>3.9610655737704898</v>
      </c>
      <c r="F55">
        <v>10</v>
      </c>
      <c r="G55" t="s">
        <v>29</v>
      </c>
      <c r="H55">
        <v>0</v>
      </c>
      <c r="I55">
        <v>0</v>
      </c>
      <c r="J55">
        <v>0</v>
      </c>
      <c r="K55">
        <v>0</v>
      </c>
      <c r="L55">
        <v>11.155320600271899</v>
      </c>
      <c r="M55">
        <v>0</v>
      </c>
      <c r="N55">
        <v>0</v>
      </c>
      <c r="O55">
        <v>0</v>
      </c>
      <c r="P55">
        <v>0</v>
      </c>
      <c r="Q55">
        <v>0</v>
      </c>
      <c r="S55">
        <v>53</v>
      </c>
      <c r="T55">
        <v>8</v>
      </c>
      <c r="U55">
        <v>25</v>
      </c>
      <c r="V55">
        <v>3</v>
      </c>
      <c r="W55">
        <v>0.35</v>
      </c>
    </row>
    <row r="56" spans="1:24" x14ac:dyDescent="0.3">
      <c r="A56">
        <v>5</v>
      </c>
      <c r="B56" t="s">
        <v>12</v>
      </c>
      <c r="C56">
        <v>351.63925045252199</v>
      </c>
      <c r="D56">
        <v>4.5524475524475498</v>
      </c>
      <c r="F56">
        <v>10</v>
      </c>
      <c r="G56" t="s">
        <v>30</v>
      </c>
      <c r="H56">
        <v>0</v>
      </c>
      <c r="I56">
        <v>0</v>
      </c>
      <c r="J56">
        <v>0</v>
      </c>
      <c r="K56">
        <v>0</v>
      </c>
      <c r="L56">
        <v>11.155320600271899</v>
      </c>
      <c r="M56">
        <v>0</v>
      </c>
      <c r="N56">
        <v>0</v>
      </c>
      <c r="O56">
        <v>0</v>
      </c>
      <c r="P56">
        <v>0</v>
      </c>
      <c r="Q56">
        <v>0</v>
      </c>
      <c r="S56">
        <v>54</v>
      </c>
      <c r="T56">
        <v>8</v>
      </c>
      <c r="U56">
        <v>25</v>
      </c>
      <c r="V56">
        <v>3</v>
      </c>
      <c r="W56">
        <v>0.5</v>
      </c>
    </row>
    <row r="57" spans="1:24" x14ac:dyDescent="0.3">
      <c r="A57">
        <v>5</v>
      </c>
      <c r="B57" t="s">
        <v>13</v>
      </c>
      <c r="C57">
        <v>353.41098790783099</v>
      </c>
      <c r="D57">
        <v>1.33877233877233</v>
      </c>
      <c r="F57">
        <v>10</v>
      </c>
      <c r="G57" t="s">
        <v>31</v>
      </c>
      <c r="H57">
        <v>0</v>
      </c>
      <c r="I57">
        <v>0</v>
      </c>
      <c r="J57">
        <v>0</v>
      </c>
      <c r="K57">
        <v>0</v>
      </c>
      <c r="L57">
        <v>11.155320600271899</v>
      </c>
      <c r="M57">
        <v>0</v>
      </c>
      <c r="N57">
        <v>0</v>
      </c>
      <c r="O57">
        <v>0</v>
      </c>
      <c r="P57">
        <v>0</v>
      </c>
      <c r="Q57">
        <v>0</v>
      </c>
      <c r="S57">
        <v>55</v>
      </c>
      <c r="T57">
        <v>8</v>
      </c>
      <c r="U57">
        <v>25</v>
      </c>
      <c r="V57">
        <v>4</v>
      </c>
      <c r="W57">
        <v>0.2</v>
      </c>
    </row>
    <row r="58" spans="1:24" x14ac:dyDescent="0.3">
      <c r="A58">
        <v>6</v>
      </c>
      <c r="B58" t="s">
        <v>3</v>
      </c>
      <c r="C58">
        <v>15.419253782199499</v>
      </c>
      <c r="D58">
        <v>4</v>
      </c>
      <c r="F58">
        <v>10</v>
      </c>
      <c r="G58" t="s">
        <v>32</v>
      </c>
      <c r="H58">
        <v>0</v>
      </c>
      <c r="I58">
        <v>0</v>
      </c>
      <c r="J58">
        <v>0</v>
      </c>
      <c r="K58">
        <v>0</v>
      </c>
      <c r="L58">
        <v>11.155320600271899</v>
      </c>
      <c r="M58">
        <v>0</v>
      </c>
      <c r="N58">
        <v>0</v>
      </c>
      <c r="O58">
        <v>0</v>
      </c>
      <c r="P58">
        <v>0</v>
      </c>
      <c r="Q58">
        <v>0</v>
      </c>
      <c r="S58">
        <v>56</v>
      </c>
      <c r="T58">
        <v>8</v>
      </c>
      <c r="U58">
        <v>25</v>
      </c>
      <c r="V58">
        <v>4</v>
      </c>
      <c r="W58">
        <v>0.35</v>
      </c>
    </row>
    <row r="59" spans="1:24" x14ac:dyDescent="0.3">
      <c r="A59">
        <v>6</v>
      </c>
      <c r="B59" t="s">
        <v>4</v>
      </c>
      <c r="C59">
        <v>15.231311355715899</v>
      </c>
      <c r="D59">
        <v>3.5</v>
      </c>
      <c r="F59">
        <v>11</v>
      </c>
      <c r="G59" t="s">
        <v>25</v>
      </c>
      <c r="H59">
        <v>1078</v>
      </c>
      <c r="I59">
        <v>1078</v>
      </c>
      <c r="J59">
        <v>37.6669758812615</v>
      </c>
      <c r="K59">
        <v>145.24207718088101</v>
      </c>
      <c r="L59">
        <v>11.256823585639999</v>
      </c>
      <c r="M59">
        <v>369.06393840130397</v>
      </c>
      <c r="N59">
        <v>0</v>
      </c>
      <c r="O59">
        <v>0</v>
      </c>
      <c r="P59">
        <v>1992.6476599999901</v>
      </c>
      <c r="Q59">
        <v>1778.361324257</v>
      </c>
      <c r="S59">
        <v>57</v>
      </c>
      <c r="T59">
        <v>8</v>
      </c>
      <c r="U59">
        <v>25</v>
      </c>
      <c r="V59">
        <v>4</v>
      </c>
      <c r="W59">
        <v>0.5</v>
      </c>
    </row>
    <row r="60" spans="1:24" x14ac:dyDescent="0.3">
      <c r="A60">
        <v>6</v>
      </c>
      <c r="B60" t="s">
        <v>5</v>
      </c>
      <c r="C60">
        <v>19.738685368703599</v>
      </c>
      <c r="D60">
        <v>5</v>
      </c>
      <c r="F60">
        <v>11</v>
      </c>
      <c r="G60" t="s">
        <v>26</v>
      </c>
      <c r="H60">
        <v>1067</v>
      </c>
      <c r="I60">
        <v>1067</v>
      </c>
      <c r="J60">
        <v>37.233364573570697</v>
      </c>
      <c r="K60">
        <v>142.50208708513699</v>
      </c>
      <c r="L60">
        <v>11.256823585639999</v>
      </c>
      <c r="M60">
        <v>360.94147295207603</v>
      </c>
      <c r="N60">
        <v>0</v>
      </c>
      <c r="O60">
        <v>0</v>
      </c>
      <c r="P60">
        <v>1981.9385089999901</v>
      </c>
      <c r="Q60">
        <v>1762.20329293499</v>
      </c>
      <c r="S60">
        <v>58</v>
      </c>
      <c r="T60">
        <v>12</v>
      </c>
      <c r="U60">
        <v>25</v>
      </c>
      <c r="V60">
        <v>2</v>
      </c>
      <c r="W60">
        <v>0.2</v>
      </c>
    </row>
    <row r="61" spans="1:24" x14ac:dyDescent="0.3">
      <c r="A61">
        <v>6</v>
      </c>
      <c r="B61" t="s">
        <v>6</v>
      </c>
      <c r="C61">
        <v>65.214372964879402</v>
      </c>
      <c r="D61">
        <v>3.3728813559322002</v>
      </c>
      <c r="F61">
        <v>11</v>
      </c>
      <c r="G61" t="s">
        <v>27</v>
      </c>
      <c r="H61">
        <v>714</v>
      </c>
      <c r="I61">
        <v>714</v>
      </c>
      <c r="J61">
        <v>35.275910364145602</v>
      </c>
      <c r="K61">
        <v>96.813678688603403</v>
      </c>
      <c r="L61">
        <v>11.256823585639999</v>
      </c>
      <c r="M61">
        <v>242.96439057155399</v>
      </c>
      <c r="N61">
        <v>0</v>
      </c>
      <c r="O61">
        <v>0</v>
      </c>
      <c r="P61">
        <v>1334.90538699999</v>
      </c>
      <c r="Q61">
        <v>1187.723007087</v>
      </c>
      <c r="S61">
        <v>59</v>
      </c>
      <c r="T61">
        <v>12</v>
      </c>
      <c r="U61">
        <v>25</v>
      </c>
      <c r="V61">
        <v>2</v>
      </c>
      <c r="W61">
        <v>0.35</v>
      </c>
    </row>
    <row r="62" spans="1:24" x14ac:dyDescent="0.3">
      <c r="A62">
        <v>6</v>
      </c>
      <c r="B62" t="s">
        <v>7</v>
      </c>
      <c r="C62">
        <v>66.214897856369205</v>
      </c>
      <c r="D62">
        <v>3.68333333333333</v>
      </c>
      <c r="F62">
        <v>11</v>
      </c>
      <c r="G62" t="s">
        <v>28</v>
      </c>
      <c r="H62">
        <v>714</v>
      </c>
      <c r="I62">
        <v>714</v>
      </c>
      <c r="J62">
        <v>35.275910364145602</v>
      </c>
      <c r="K62">
        <v>95.219618621554304</v>
      </c>
      <c r="L62">
        <v>11.256823585639999</v>
      </c>
      <c r="M62">
        <v>242.76714532419001</v>
      </c>
      <c r="N62">
        <v>0</v>
      </c>
      <c r="O62">
        <v>0</v>
      </c>
      <c r="P62">
        <v>1248.3145479999901</v>
      </c>
      <c r="Q62">
        <v>1107.5804667980001</v>
      </c>
      <c r="S62">
        <v>60</v>
      </c>
      <c r="T62">
        <v>12</v>
      </c>
      <c r="U62">
        <v>25</v>
      </c>
      <c r="V62">
        <v>2</v>
      </c>
      <c r="W62">
        <v>0.5</v>
      </c>
    </row>
    <row r="63" spans="1:24" x14ac:dyDescent="0.3">
      <c r="A63">
        <v>6</v>
      </c>
      <c r="B63" t="s">
        <v>8</v>
      </c>
      <c r="C63">
        <v>78.288603946378799</v>
      </c>
      <c r="D63">
        <v>4</v>
      </c>
      <c r="F63">
        <v>11</v>
      </c>
      <c r="G63" t="s">
        <v>29</v>
      </c>
      <c r="H63">
        <v>0</v>
      </c>
      <c r="I63">
        <v>0</v>
      </c>
      <c r="J63">
        <v>0</v>
      </c>
      <c r="K63">
        <v>0</v>
      </c>
      <c r="L63">
        <v>11.256823585639999</v>
      </c>
      <c r="M63">
        <v>0</v>
      </c>
      <c r="N63">
        <v>0</v>
      </c>
      <c r="O63">
        <v>0</v>
      </c>
      <c r="P63">
        <v>0</v>
      </c>
      <c r="Q63">
        <v>0</v>
      </c>
      <c r="S63">
        <v>61</v>
      </c>
      <c r="T63">
        <v>12</v>
      </c>
      <c r="U63">
        <v>25</v>
      </c>
      <c r="V63">
        <v>3</v>
      </c>
      <c r="W63">
        <v>0.2</v>
      </c>
    </row>
    <row r="64" spans="1:24" x14ac:dyDescent="0.3">
      <c r="A64">
        <v>6</v>
      </c>
      <c r="B64" t="s">
        <v>9</v>
      </c>
      <c r="C64">
        <v>81.894423256607595</v>
      </c>
      <c r="D64">
        <v>3.5</v>
      </c>
      <c r="F64">
        <v>11</v>
      </c>
      <c r="G64" t="s">
        <v>30</v>
      </c>
      <c r="H64">
        <v>0</v>
      </c>
      <c r="I64">
        <v>0</v>
      </c>
      <c r="J64">
        <v>0</v>
      </c>
      <c r="K64">
        <v>0</v>
      </c>
      <c r="L64">
        <v>11.256823585639999</v>
      </c>
      <c r="M64">
        <v>0</v>
      </c>
      <c r="N64">
        <v>0</v>
      </c>
      <c r="O64">
        <v>0</v>
      </c>
      <c r="P64">
        <v>0</v>
      </c>
      <c r="Q64">
        <v>0</v>
      </c>
      <c r="S64">
        <v>62</v>
      </c>
      <c r="T64">
        <v>12</v>
      </c>
      <c r="U64">
        <v>25</v>
      </c>
      <c r="V64">
        <v>3</v>
      </c>
      <c r="W64">
        <v>0.35</v>
      </c>
      <c r="X64" s="3"/>
    </row>
    <row r="65" spans="1:24" x14ac:dyDescent="0.3">
      <c r="A65">
        <v>6</v>
      </c>
      <c r="B65" t="s">
        <v>10</v>
      </c>
      <c r="C65">
        <v>117.85864992777</v>
      </c>
      <c r="D65">
        <v>1.7548500881834199</v>
      </c>
      <c r="F65">
        <v>11</v>
      </c>
      <c r="G65" t="s">
        <v>31</v>
      </c>
      <c r="H65">
        <v>0</v>
      </c>
      <c r="I65">
        <v>0</v>
      </c>
      <c r="J65">
        <v>0</v>
      </c>
      <c r="K65">
        <v>0</v>
      </c>
      <c r="L65">
        <v>11.256823585639999</v>
      </c>
      <c r="M65">
        <v>0</v>
      </c>
      <c r="N65">
        <v>0</v>
      </c>
      <c r="O65">
        <v>0</v>
      </c>
      <c r="P65">
        <v>0</v>
      </c>
      <c r="Q65">
        <v>0</v>
      </c>
      <c r="S65">
        <v>63</v>
      </c>
      <c r="T65">
        <v>12</v>
      </c>
      <c r="U65">
        <v>25</v>
      </c>
      <c r="V65">
        <v>3</v>
      </c>
      <c r="W65">
        <v>0.5</v>
      </c>
    </row>
    <row r="66" spans="1:24" x14ac:dyDescent="0.3">
      <c r="A66">
        <v>6</v>
      </c>
      <c r="B66" t="s">
        <v>11</v>
      </c>
      <c r="C66">
        <v>273.38762058503102</v>
      </c>
      <c r="D66">
        <v>3.9610655737704898</v>
      </c>
      <c r="F66">
        <v>11</v>
      </c>
      <c r="G66" t="s">
        <v>32</v>
      </c>
      <c r="H66">
        <v>0</v>
      </c>
      <c r="I66">
        <v>0</v>
      </c>
      <c r="J66">
        <v>0</v>
      </c>
      <c r="K66">
        <v>0</v>
      </c>
      <c r="L66">
        <v>11.256823585639999</v>
      </c>
      <c r="M66">
        <v>0</v>
      </c>
      <c r="N66">
        <v>0</v>
      </c>
      <c r="O66">
        <v>0</v>
      </c>
      <c r="P66">
        <v>0</v>
      </c>
      <c r="Q66">
        <v>0</v>
      </c>
      <c r="S66" s="26">
        <v>64</v>
      </c>
      <c r="T66" s="26">
        <v>12</v>
      </c>
      <c r="U66" s="26">
        <v>25</v>
      </c>
      <c r="V66" s="26">
        <v>4</v>
      </c>
      <c r="W66" s="26">
        <v>0.2</v>
      </c>
      <c r="X66" s="3" t="s">
        <v>93</v>
      </c>
    </row>
    <row r="67" spans="1:24" x14ac:dyDescent="0.3">
      <c r="A67">
        <v>6</v>
      </c>
      <c r="B67" t="s">
        <v>12</v>
      </c>
      <c r="C67">
        <v>353.334196443439</v>
      </c>
      <c r="D67">
        <v>4.5454545454545396</v>
      </c>
      <c r="F67">
        <v>12</v>
      </c>
      <c r="G67" t="s">
        <v>25</v>
      </c>
      <c r="H67">
        <v>1078</v>
      </c>
      <c r="I67">
        <v>1078</v>
      </c>
      <c r="J67">
        <v>37.6669758812615</v>
      </c>
      <c r="K67">
        <v>144.61267132768299</v>
      </c>
      <c r="L67">
        <v>11.252643196527201</v>
      </c>
      <c r="M67">
        <v>370.49352986692401</v>
      </c>
      <c r="N67">
        <v>0</v>
      </c>
      <c r="O67">
        <v>0</v>
      </c>
      <c r="P67">
        <v>1993.23647599999</v>
      </c>
      <c r="Q67">
        <v>1775.431721062</v>
      </c>
      <c r="S67">
        <v>65</v>
      </c>
      <c r="T67">
        <v>12</v>
      </c>
      <c r="U67">
        <v>25</v>
      </c>
      <c r="V67">
        <v>4</v>
      </c>
      <c r="W67">
        <v>0.35</v>
      </c>
    </row>
    <row r="68" spans="1:24" x14ac:dyDescent="0.3">
      <c r="A68">
        <v>6</v>
      </c>
      <c r="B68" t="s">
        <v>13</v>
      </c>
      <c r="C68">
        <v>351.88256625583</v>
      </c>
      <c r="D68">
        <v>1.33877233877233</v>
      </c>
      <c r="F68">
        <v>12</v>
      </c>
      <c r="G68" t="s">
        <v>26</v>
      </c>
      <c r="H68">
        <v>1067</v>
      </c>
      <c r="I68">
        <v>1067</v>
      </c>
      <c r="J68">
        <v>37.233364573570697</v>
      </c>
      <c r="K68">
        <v>141.932173226315</v>
      </c>
      <c r="L68">
        <v>11.252643196527201</v>
      </c>
      <c r="M68">
        <v>359.719545046603</v>
      </c>
      <c r="N68">
        <v>0</v>
      </c>
      <c r="O68">
        <v>0</v>
      </c>
      <c r="P68">
        <v>1981.8291509999899</v>
      </c>
      <c r="Q68">
        <v>1762.1437240809901</v>
      </c>
      <c r="S68">
        <v>66</v>
      </c>
      <c r="T68">
        <v>12</v>
      </c>
      <c r="U68">
        <v>25</v>
      </c>
      <c r="V68">
        <v>4</v>
      </c>
      <c r="W68">
        <v>0.5</v>
      </c>
    </row>
    <row r="69" spans="1:24" x14ac:dyDescent="0.3">
      <c r="A69">
        <v>7</v>
      </c>
      <c r="B69" t="s">
        <v>3</v>
      </c>
      <c r="C69">
        <v>15.152340398766601</v>
      </c>
      <c r="D69">
        <v>4</v>
      </c>
      <c r="F69">
        <v>12</v>
      </c>
      <c r="G69" t="s">
        <v>27</v>
      </c>
      <c r="H69">
        <v>714</v>
      </c>
      <c r="I69">
        <v>714</v>
      </c>
      <c r="J69">
        <v>35.275910364145602</v>
      </c>
      <c r="K69">
        <v>97.037751192417602</v>
      </c>
      <c r="L69">
        <v>11.252643196527201</v>
      </c>
      <c r="M69">
        <v>241.15245550969399</v>
      </c>
      <c r="N69">
        <v>0</v>
      </c>
      <c r="O69">
        <v>0</v>
      </c>
      <c r="P69">
        <v>1336.9023989999901</v>
      </c>
      <c r="Q69">
        <v>1187.1653968799999</v>
      </c>
      <c r="S69">
        <v>67</v>
      </c>
      <c r="T69">
        <v>12</v>
      </c>
      <c r="U69">
        <v>25</v>
      </c>
      <c r="V69">
        <v>4</v>
      </c>
      <c r="W69">
        <v>0.5</v>
      </c>
    </row>
    <row r="70" spans="1:24" x14ac:dyDescent="0.3">
      <c r="A70">
        <v>7</v>
      </c>
      <c r="B70" t="s">
        <v>4</v>
      </c>
      <c r="C70">
        <v>15.3288148919241</v>
      </c>
      <c r="D70">
        <v>3.5</v>
      </c>
      <c r="F70">
        <v>12</v>
      </c>
      <c r="G70" t="s">
        <v>28</v>
      </c>
      <c r="H70">
        <v>714</v>
      </c>
      <c r="I70">
        <v>714</v>
      </c>
      <c r="J70">
        <v>35.275910364145602</v>
      </c>
      <c r="K70">
        <v>95.851261148918397</v>
      </c>
      <c r="L70">
        <v>11.252643196527201</v>
      </c>
      <c r="M70">
        <v>243.91993480172101</v>
      </c>
      <c r="N70">
        <v>0</v>
      </c>
      <c r="O70">
        <v>0</v>
      </c>
      <c r="P70">
        <v>1248.38934499999</v>
      </c>
      <c r="Q70">
        <v>1109.412317622</v>
      </c>
      <c r="S70">
        <v>68</v>
      </c>
      <c r="T70">
        <v>12</v>
      </c>
      <c r="U70">
        <v>25</v>
      </c>
      <c r="V70">
        <v>4</v>
      </c>
      <c r="W70">
        <v>0.5</v>
      </c>
    </row>
    <row r="71" spans="1:24" x14ac:dyDescent="0.3">
      <c r="A71">
        <v>7</v>
      </c>
      <c r="B71" t="s">
        <v>5</v>
      </c>
      <c r="C71">
        <v>19.9433084617501</v>
      </c>
      <c r="D71">
        <v>5</v>
      </c>
      <c r="F71">
        <v>12</v>
      </c>
      <c r="G71" t="s">
        <v>29</v>
      </c>
      <c r="H71">
        <v>0</v>
      </c>
      <c r="I71">
        <v>0</v>
      </c>
      <c r="J71">
        <v>0</v>
      </c>
      <c r="K71">
        <v>0</v>
      </c>
      <c r="L71">
        <v>11.252643196527201</v>
      </c>
      <c r="M71">
        <v>0</v>
      </c>
      <c r="N71">
        <v>0</v>
      </c>
      <c r="O71">
        <v>0</v>
      </c>
      <c r="P71">
        <v>0</v>
      </c>
      <c r="Q71">
        <v>0</v>
      </c>
      <c r="S71">
        <v>69</v>
      </c>
      <c r="T71">
        <v>12</v>
      </c>
      <c r="U71">
        <v>25</v>
      </c>
      <c r="V71">
        <v>4</v>
      </c>
      <c r="W71">
        <v>0.5</v>
      </c>
    </row>
    <row r="72" spans="1:24" x14ac:dyDescent="0.3">
      <c r="A72">
        <v>7</v>
      </c>
      <c r="B72" t="s">
        <v>6</v>
      </c>
      <c r="C72">
        <v>64.484229863388194</v>
      </c>
      <c r="D72">
        <v>3.3644067796610102</v>
      </c>
      <c r="F72">
        <v>12</v>
      </c>
      <c r="G72" t="s">
        <v>30</v>
      </c>
      <c r="H72">
        <v>0</v>
      </c>
      <c r="I72">
        <v>0</v>
      </c>
      <c r="J72">
        <v>0</v>
      </c>
      <c r="K72">
        <v>0</v>
      </c>
      <c r="L72">
        <v>11.252643196527201</v>
      </c>
      <c r="M72">
        <v>0</v>
      </c>
      <c r="N72">
        <v>0</v>
      </c>
      <c r="O72">
        <v>0</v>
      </c>
      <c r="P72">
        <v>0</v>
      </c>
      <c r="Q72">
        <v>0</v>
      </c>
      <c r="S72">
        <v>70</v>
      </c>
      <c r="T72">
        <v>12</v>
      </c>
      <c r="U72">
        <v>25</v>
      </c>
      <c r="V72">
        <v>4</v>
      </c>
      <c r="W72">
        <v>0.5</v>
      </c>
    </row>
    <row r="73" spans="1:24" x14ac:dyDescent="0.3">
      <c r="A73">
        <v>7</v>
      </c>
      <c r="B73" t="s">
        <v>7</v>
      </c>
      <c r="C73">
        <v>65.503955940206794</v>
      </c>
      <c r="D73">
        <v>3.6583333333333301</v>
      </c>
      <c r="F73">
        <v>12</v>
      </c>
      <c r="G73" t="s">
        <v>31</v>
      </c>
      <c r="H73">
        <v>0</v>
      </c>
      <c r="I73">
        <v>0</v>
      </c>
      <c r="J73">
        <v>0</v>
      </c>
      <c r="K73">
        <v>0</v>
      </c>
      <c r="L73">
        <v>11.252643196527201</v>
      </c>
      <c r="M73">
        <v>0</v>
      </c>
      <c r="N73">
        <v>0</v>
      </c>
      <c r="O73">
        <v>0</v>
      </c>
      <c r="P73">
        <v>0</v>
      </c>
      <c r="Q73">
        <v>0</v>
      </c>
      <c r="S73">
        <v>71</v>
      </c>
      <c r="T73">
        <v>12</v>
      </c>
      <c r="U73">
        <v>25</v>
      </c>
      <c r="V73">
        <v>4</v>
      </c>
      <c r="W73">
        <v>0.5</v>
      </c>
    </row>
    <row r="74" spans="1:24" x14ac:dyDescent="0.3">
      <c r="A74">
        <v>7</v>
      </c>
      <c r="B74" t="s">
        <v>8</v>
      </c>
      <c r="C74">
        <v>78.802149401254198</v>
      </c>
      <c r="D74">
        <v>4</v>
      </c>
      <c r="F74">
        <v>12</v>
      </c>
      <c r="G74" t="s">
        <v>32</v>
      </c>
      <c r="H74">
        <v>0</v>
      </c>
      <c r="I74">
        <v>0</v>
      </c>
      <c r="J74">
        <v>0</v>
      </c>
      <c r="K74">
        <v>0</v>
      </c>
      <c r="L74">
        <v>11.252643196527201</v>
      </c>
      <c r="M74">
        <v>0</v>
      </c>
      <c r="N74">
        <v>0</v>
      </c>
      <c r="O74">
        <v>0</v>
      </c>
      <c r="P74">
        <v>0</v>
      </c>
      <c r="Q74">
        <v>0</v>
      </c>
      <c r="S74">
        <v>72</v>
      </c>
      <c r="T74">
        <v>12</v>
      </c>
      <c r="U74">
        <v>25</v>
      </c>
      <c r="V74">
        <v>4</v>
      </c>
      <c r="W74">
        <v>0.5</v>
      </c>
    </row>
    <row r="75" spans="1:24" x14ac:dyDescent="0.3">
      <c r="A75">
        <v>7</v>
      </c>
      <c r="B75" t="s">
        <v>9</v>
      </c>
      <c r="C75">
        <v>81.245518829227606</v>
      </c>
      <c r="D75">
        <v>3.5</v>
      </c>
      <c r="F75">
        <v>13</v>
      </c>
      <c r="G75" t="s">
        <v>25</v>
      </c>
      <c r="H75">
        <v>1078</v>
      </c>
      <c r="I75">
        <v>1078</v>
      </c>
      <c r="J75">
        <v>37.6669758812615</v>
      </c>
      <c r="K75">
        <v>144.47490821841399</v>
      </c>
      <c r="L75">
        <v>11.235240031692401</v>
      </c>
      <c r="M75">
        <v>368.622019357135</v>
      </c>
      <c r="N75">
        <v>0</v>
      </c>
      <c r="O75">
        <v>0</v>
      </c>
      <c r="P75">
        <v>1985.9410209999901</v>
      </c>
      <c r="Q75">
        <v>1772.8138769550001</v>
      </c>
      <c r="S75">
        <v>73</v>
      </c>
      <c r="T75">
        <v>12</v>
      </c>
      <c r="U75">
        <v>25</v>
      </c>
      <c r="V75">
        <v>4</v>
      </c>
      <c r="W75">
        <v>0.5</v>
      </c>
    </row>
    <row r="76" spans="1:24" x14ac:dyDescent="0.3">
      <c r="A76">
        <v>7</v>
      </c>
      <c r="B76" t="s">
        <v>10</v>
      </c>
      <c r="C76">
        <v>118.446961223795</v>
      </c>
      <c r="D76">
        <v>1.73380035026269</v>
      </c>
      <c r="F76">
        <v>13</v>
      </c>
      <c r="G76" t="s">
        <v>26</v>
      </c>
      <c r="H76">
        <v>1067</v>
      </c>
      <c r="I76">
        <v>1067</v>
      </c>
      <c r="J76">
        <v>37.233364573570697</v>
      </c>
      <c r="K76">
        <v>142.25698607401901</v>
      </c>
      <c r="L76">
        <v>11.235240031692401</v>
      </c>
      <c r="M76">
        <v>361.32616955386101</v>
      </c>
      <c r="N76">
        <v>0</v>
      </c>
      <c r="O76">
        <v>0</v>
      </c>
      <c r="P76">
        <v>1977.7044189999899</v>
      </c>
      <c r="Q76">
        <v>1759.4078267119901</v>
      </c>
      <c r="S76">
        <v>74</v>
      </c>
      <c r="T76">
        <v>12</v>
      </c>
      <c r="U76">
        <v>25</v>
      </c>
      <c r="V76">
        <v>4</v>
      </c>
      <c r="W76">
        <v>0.5</v>
      </c>
    </row>
    <row r="77" spans="1:24" x14ac:dyDescent="0.3">
      <c r="A77">
        <v>7</v>
      </c>
      <c r="B77" t="s">
        <v>11</v>
      </c>
      <c r="C77">
        <v>275.16636450205198</v>
      </c>
      <c r="D77">
        <v>3.9610655737704898</v>
      </c>
      <c r="F77">
        <v>13</v>
      </c>
      <c r="G77" t="s">
        <v>27</v>
      </c>
      <c r="H77">
        <v>714</v>
      </c>
      <c r="I77">
        <v>714</v>
      </c>
      <c r="J77">
        <v>35.275910364145602</v>
      </c>
      <c r="K77">
        <v>96.678699053279402</v>
      </c>
      <c r="L77">
        <v>11.235240031692401</v>
      </c>
      <c r="M77">
        <v>240.69181189372699</v>
      </c>
      <c r="N77">
        <v>0</v>
      </c>
      <c r="O77">
        <v>0</v>
      </c>
      <c r="P77">
        <v>1336.1953449999901</v>
      </c>
      <c r="Q77">
        <v>1186.4922232020001</v>
      </c>
      <c r="S77">
        <v>75</v>
      </c>
      <c r="T77">
        <v>12</v>
      </c>
      <c r="U77">
        <v>25</v>
      </c>
      <c r="V77">
        <v>4</v>
      </c>
      <c r="W77">
        <v>0.5</v>
      </c>
    </row>
    <row r="78" spans="1:24" x14ac:dyDescent="0.3">
      <c r="A78">
        <v>7</v>
      </c>
      <c r="B78" t="s">
        <v>12</v>
      </c>
      <c r="C78">
        <v>353.051320410492</v>
      </c>
      <c r="D78">
        <v>4.52913752913752</v>
      </c>
      <c r="F78">
        <v>13</v>
      </c>
      <c r="G78" t="s">
        <v>28</v>
      </c>
      <c r="H78">
        <v>714</v>
      </c>
      <c r="I78">
        <v>714</v>
      </c>
      <c r="J78">
        <v>35.275910364145602</v>
      </c>
      <c r="K78">
        <v>95.246100568923296</v>
      </c>
      <c r="L78">
        <v>11.235240031692401</v>
      </c>
      <c r="M78">
        <v>242.765922618057</v>
      </c>
      <c r="N78">
        <v>0</v>
      </c>
      <c r="O78">
        <v>0</v>
      </c>
      <c r="P78">
        <v>1248.9786219999901</v>
      </c>
      <c r="Q78">
        <v>1109.893820797</v>
      </c>
      <c r="S78">
        <v>76</v>
      </c>
      <c r="T78">
        <v>12</v>
      </c>
      <c r="U78">
        <v>25</v>
      </c>
      <c r="V78">
        <v>4</v>
      </c>
      <c r="W78">
        <v>0.5</v>
      </c>
    </row>
    <row r="79" spans="1:24" x14ac:dyDescent="0.3">
      <c r="A79">
        <v>7</v>
      </c>
      <c r="B79" t="s">
        <v>13</v>
      </c>
      <c r="C79">
        <v>351.80604127701503</v>
      </c>
      <c r="D79">
        <v>1.33877233877233</v>
      </c>
      <c r="F79">
        <v>13</v>
      </c>
      <c r="G79" t="s">
        <v>29</v>
      </c>
      <c r="H79">
        <v>0</v>
      </c>
      <c r="I79">
        <v>0</v>
      </c>
      <c r="J79">
        <v>0</v>
      </c>
      <c r="K79">
        <v>0</v>
      </c>
      <c r="L79">
        <v>11.235240031692401</v>
      </c>
      <c r="M79">
        <v>0</v>
      </c>
      <c r="N79">
        <v>0</v>
      </c>
      <c r="O79">
        <v>0</v>
      </c>
      <c r="P79">
        <v>0</v>
      </c>
      <c r="Q79">
        <v>0</v>
      </c>
      <c r="S79">
        <v>77</v>
      </c>
      <c r="T79">
        <v>12</v>
      </c>
      <c r="U79">
        <v>25</v>
      </c>
      <c r="V79">
        <v>4</v>
      </c>
      <c r="W79">
        <v>0.5</v>
      </c>
    </row>
    <row r="80" spans="1:24" x14ac:dyDescent="0.3">
      <c r="A80">
        <v>8</v>
      </c>
      <c r="B80" t="s">
        <v>3</v>
      </c>
      <c r="C80">
        <v>15.4615087373537</v>
      </c>
      <c r="D80">
        <v>4</v>
      </c>
      <c r="F80">
        <v>13</v>
      </c>
      <c r="G80" t="s">
        <v>30</v>
      </c>
      <c r="H80">
        <v>0</v>
      </c>
      <c r="I80">
        <v>0</v>
      </c>
      <c r="J80">
        <v>0</v>
      </c>
      <c r="K80">
        <v>0</v>
      </c>
      <c r="L80">
        <v>11.235240031692401</v>
      </c>
      <c r="M80">
        <v>0</v>
      </c>
      <c r="N80">
        <v>0</v>
      </c>
      <c r="O80">
        <v>0</v>
      </c>
      <c r="P80">
        <v>0</v>
      </c>
      <c r="Q80">
        <v>0</v>
      </c>
      <c r="S80">
        <v>78</v>
      </c>
      <c r="T80">
        <v>12</v>
      </c>
      <c r="U80">
        <v>25</v>
      </c>
      <c r="V80">
        <v>4</v>
      </c>
      <c r="W80">
        <v>0.5</v>
      </c>
    </row>
    <row r="81" spans="1:23" x14ac:dyDescent="0.3">
      <c r="A81">
        <v>8</v>
      </c>
      <c r="B81" t="s">
        <v>4</v>
      </c>
      <c r="C81">
        <v>15.468475453129599</v>
      </c>
      <c r="D81">
        <v>3.5</v>
      </c>
      <c r="F81">
        <v>13</v>
      </c>
      <c r="G81" t="s">
        <v>31</v>
      </c>
      <c r="H81">
        <v>0</v>
      </c>
      <c r="I81">
        <v>0</v>
      </c>
      <c r="J81">
        <v>0</v>
      </c>
      <c r="K81">
        <v>0</v>
      </c>
      <c r="L81">
        <v>11.235240031692401</v>
      </c>
      <c r="M81">
        <v>0</v>
      </c>
      <c r="N81">
        <v>0</v>
      </c>
      <c r="O81">
        <v>0</v>
      </c>
      <c r="P81">
        <v>0</v>
      </c>
      <c r="Q81">
        <v>0</v>
      </c>
      <c r="S81">
        <v>79</v>
      </c>
      <c r="T81">
        <v>12</v>
      </c>
      <c r="U81">
        <v>25</v>
      </c>
      <c r="V81">
        <v>4</v>
      </c>
      <c r="W81">
        <v>0.5</v>
      </c>
    </row>
    <row r="82" spans="1:23" x14ac:dyDescent="0.3">
      <c r="A82">
        <v>8</v>
      </c>
      <c r="B82" t="s">
        <v>5</v>
      </c>
      <c r="C82">
        <v>19.543374461828499</v>
      </c>
      <c r="D82">
        <v>5</v>
      </c>
      <c r="F82">
        <v>13</v>
      </c>
      <c r="G82" t="s">
        <v>32</v>
      </c>
      <c r="H82">
        <v>0</v>
      </c>
      <c r="I82">
        <v>0</v>
      </c>
      <c r="J82">
        <v>0</v>
      </c>
      <c r="K82">
        <v>0</v>
      </c>
      <c r="L82">
        <v>11.235240031692401</v>
      </c>
      <c r="M82">
        <v>0</v>
      </c>
      <c r="N82">
        <v>0</v>
      </c>
      <c r="O82">
        <v>0</v>
      </c>
      <c r="P82">
        <v>0</v>
      </c>
      <c r="Q82">
        <v>0</v>
      </c>
      <c r="S82">
        <v>80</v>
      </c>
      <c r="T82">
        <v>12</v>
      </c>
      <c r="U82">
        <v>25</v>
      </c>
      <c r="V82">
        <v>4</v>
      </c>
      <c r="W82">
        <v>0.5</v>
      </c>
    </row>
    <row r="83" spans="1:23" x14ac:dyDescent="0.3">
      <c r="A83">
        <v>8</v>
      </c>
      <c r="B83" t="s">
        <v>6</v>
      </c>
      <c r="C83">
        <v>64.615649388402005</v>
      </c>
      <c r="D83">
        <v>3.35593220338983</v>
      </c>
      <c r="F83">
        <v>14</v>
      </c>
      <c r="G83" t="s">
        <v>25</v>
      </c>
      <c r="H83">
        <v>1300</v>
      </c>
      <c r="I83">
        <v>1219</v>
      </c>
      <c r="J83">
        <v>78.386153846153803</v>
      </c>
      <c r="K83">
        <v>203.39797777182</v>
      </c>
      <c r="L83">
        <v>5.7937599489934497</v>
      </c>
      <c r="M83">
        <v>419.185981918842</v>
      </c>
      <c r="N83">
        <v>0</v>
      </c>
      <c r="O83">
        <v>0</v>
      </c>
      <c r="P83">
        <v>2902.5676440000002</v>
      </c>
      <c r="Q83">
        <v>2520.21754843699</v>
      </c>
      <c r="S83">
        <v>81</v>
      </c>
      <c r="T83">
        <v>12</v>
      </c>
      <c r="U83">
        <v>25</v>
      </c>
      <c r="V83">
        <v>4</v>
      </c>
      <c r="W83">
        <v>0.5</v>
      </c>
    </row>
    <row r="84" spans="1:23" x14ac:dyDescent="0.3">
      <c r="A84">
        <v>8</v>
      </c>
      <c r="B84" t="s">
        <v>7</v>
      </c>
      <c r="C84">
        <v>66.177598522524804</v>
      </c>
      <c r="D84">
        <v>3.68333333333333</v>
      </c>
      <c r="F84">
        <v>14</v>
      </c>
      <c r="G84" t="s">
        <v>26</v>
      </c>
      <c r="H84">
        <v>1137</v>
      </c>
      <c r="I84">
        <v>1134</v>
      </c>
      <c r="J84">
        <v>71.505716798592701</v>
      </c>
      <c r="K84">
        <v>201.876179298756</v>
      </c>
      <c r="L84">
        <v>5.7937599489934497</v>
      </c>
      <c r="M84">
        <v>386.79681350514102</v>
      </c>
      <c r="N84">
        <v>0</v>
      </c>
      <c r="O84">
        <v>0</v>
      </c>
      <c r="P84">
        <v>2801.6463799999901</v>
      </c>
      <c r="Q84">
        <v>2423.4374322929898</v>
      </c>
    </row>
    <row r="85" spans="1:23" x14ac:dyDescent="0.3">
      <c r="A85">
        <v>8</v>
      </c>
      <c r="B85" t="s">
        <v>8</v>
      </c>
      <c r="C85">
        <v>78.578595978397004</v>
      </c>
      <c r="D85">
        <v>4</v>
      </c>
      <c r="F85">
        <v>14</v>
      </c>
      <c r="G85" t="s">
        <v>27</v>
      </c>
      <c r="H85">
        <v>698</v>
      </c>
      <c r="I85">
        <v>698</v>
      </c>
      <c r="J85">
        <v>88.203438395415404</v>
      </c>
      <c r="K85">
        <v>112.729758402507</v>
      </c>
      <c r="L85">
        <v>5.7937599489934497</v>
      </c>
      <c r="M85">
        <v>191.60657249466701</v>
      </c>
      <c r="N85">
        <v>0</v>
      </c>
      <c r="O85">
        <v>0</v>
      </c>
      <c r="P85">
        <v>1308.29580099999</v>
      </c>
      <c r="Q85">
        <v>1118.1520529969901</v>
      </c>
    </row>
    <row r="86" spans="1:23" x14ac:dyDescent="0.3">
      <c r="A86">
        <v>8</v>
      </c>
      <c r="B86" t="s">
        <v>9</v>
      </c>
      <c r="C86">
        <v>81.164880740937804</v>
      </c>
      <c r="D86">
        <v>3.5</v>
      </c>
      <c r="F86">
        <v>14</v>
      </c>
      <c r="G86" t="s">
        <v>28</v>
      </c>
      <c r="H86">
        <v>693</v>
      </c>
      <c r="I86">
        <v>693</v>
      </c>
      <c r="J86">
        <v>87.568542568542497</v>
      </c>
      <c r="K86">
        <v>112.426043206389</v>
      </c>
      <c r="L86">
        <v>5.7937599489934497</v>
      </c>
      <c r="M86">
        <v>189.45938548240699</v>
      </c>
      <c r="N86">
        <v>0</v>
      </c>
      <c r="O86">
        <v>0</v>
      </c>
      <c r="P86">
        <v>1305.0563479999901</v>
      </c>
      <c r="Q86">
        <v>1116.5711268759901</v>
      </c>
    </row>
    <row r="87" spans="1:23" x14ac:dyDescent="0.3">
      <c r="A87">
        <v>8</v>
      </c>
      <c r="B87" t="s">
        <v>10</v>
      </c>
      <c r="C87">
        <v>116.928724452282</v>
      </c>
      <c r="D87">
        <v>1.7242582897033101</v>
      </c>
      <c r="F87">
        <v>15</v>
      </c>
      <c r="G87" t="s">
        <v>25</v>
      </c>
      <c r="H87">
        <v>1300</v>
      </c>
      <c r="I87">
        <v>1218</v>
      </c>
      <c r="J87">
        <v>78.386153846153803</v>
      </c>
      <c r="K87">
        <v>204.717997738706</v>
      </c>
      <c r="L87">
        <v>5.7725288746473504</v>
      </c>
      <c r="M87">
        <v>420.46148183680498</v>
      </c>
      <c r="N87">
        <v>0</v>
      </c>
      <c r="O87">
        <v>0</v>
      </c>
      <c r="P87">
        <v>2905.7972180000002</v>
      </c>
      <c r="Q87">
        <v>2527.6407475739902</v>
      </c>
    </row>
    <row r="88" spans="1:23" x14ac:dyDescent="0.3">
      <c r="A88">
        <v>8</v>
      </c>
      <c r="B88" t="s">
        <v>11</v>
      </c>
      <c r="C88">
        <v>275.117442590292</v>
      </c>
      <c r="D88">
        <v>3.96523517382413</v>
      </c>
      <c r="F88">
        <v>15</v>
      </c>
      <c r="G88" t="s">
        <v>26</v>
      </c>
      <c r="H88">
        <v>1001</v>
      </c>
      <c r="I88">
        <v>998</v>
      </c>
      <c r="J88">
        <v>71.7822177822177</v>
      </c>
      <c r="K88">
        <v>176.505138904641</v>
      </c>
      <c r="L88">
        <v>5.7725288746473504</v>
      </c>
      <c r="M88">
        <v>314.390671421913</v>
      </c>
      <c r="N88">
        <v>0</v>
      </c>
      <c r="O88">
        <v>0</v>
      </c>
      <c r="P88">
        <v>2464.1468059999902</v>
      </c>
      <c r="Q88">
        <v>2127.0344303659999</v>
      </c>
    </row>
    <row r="89" spans="1:23" x14ac:dyDescent="0.3">
      <c r="A89">
        <v>8</v>
      </c>
      <c r="B89" t="s">
        <v>12</v>
      </c>
      <c r="C89">
        <v>353.85001261601099</v>
      </c>
      <c r="D89">
        <v>4.5501165501165497</v>
      </c>
      <c r="F89">
        <v>15</v>
      </c>
      <c r="G89" t="s">
        <v>27</v>
      </c>
      <c r="H89">
        <v>828</v>
      </c>
      <c r="I89">
        <v>828</v>
      </c>
      <c r="J89">
        <v>84.373188405797094</v>
      </c>
      <c r="K89">
        <v>137.310656708332</v>
      </c>
      <c r="L89">
        <v>5.7725288746473504</v>
      </c>
      <c r="M89">
        <v>260.21645491536998</v>
      </c>
      <c r="N89">
        <v>0</v>
      </c>
      <c r="O89">
        <v>0</v>
      </c>
      <c r="P89">
        <v>1650.1527859999901</v>
      </c>
      <c r="Q89">
        <v>1414.340954731</v>
      </c>
    </row>
    <row r="90" spans="1:23" x14ac:dyDescent="0.3">
      <c r="A90">
        <v>8</v>
      </c>
      <c r="B90" t="s">
        <v>13</v>
      </c>
      <c r="C90">
        <v>353.644232593156</v>
      </c>
      <c r="D90">
        <v>1.33877233877233</v>
      </c>
      <c r="F90">
        <v>15</v>
      </c>
      <c r="G90" t="s">
        <v>28</v>
      </c>
      <c r="H90">
        <v>690</v>
      </c>
      <c r="I90">
        <v>690</v>
      </c>
      <c r="J90">
        <v>87.136231884057906</v>
      </c>
      <c r="K90">
        <v>112.292106176888</v>
      </c>
      <c r="L90">
        <v>5.7725288746473504</v>
      </c>
      <c r="M90">
        <v>188.29981112861799</v>
      </c>
      <c r="N90">
        <v>0</v>
      </c>
      <c r="O90">
        <v>0</v>
      </c>
      <c r="P90">
        <v>1303.9684769999899</v>
      </c>
      <c r="Q90">
        <v>1115.328130587</v>
      </c>
    </row>
    <row r="91" spans="1:23" x14ac:dyDescent="0.3">
      <c r="A91">
        <v>9</v>
      </c>
      <c r="B91" t="s">
        <v>3</v>
      </c>
      <c r="C91">
        <v>15.2832012516768</v>
      </c>
      <c r="D91">
        <v>4</v>
      </c>
      <c r="F91">
        <v>16</v>
      </c>
      <c r="G91" t="s">
        <v>25</v>
      </c>
      <c r="H91">
        <v>1300</v>
      </c>
      <c r="I91">
        <v>1219</v>
      </c>
      <c r="J91">
        <v>78.386153846153803</v>
      </c>
      <c r="K91">
        <v>204.32977007862101</v>
      </c>
      <c r="L91">
        <v>5.8205375941210296</v>
      </c>
      <c r="M91">
        <v>421.85684485580799</v>
      </c>
      <c r="N91">
        <v>0</v>
      </c>
      <c r="O91">
        <v>0</v>
      </c>
      <c r="P91">
        <v>2888.4287850000001</v>
      </c>
      <c r="Q91">
        <v>2513.8526291499902</v>
      </c>
    </row>
    <row r="92" spans="1:23" x14ac:dyDescent="0.3">
      <c r="A92">
        <v>9</v>
      </c>
      <c r="B92" t="s">
        <v>4</v>
      </c>
      <c r="C92">
        <v>14.8608834145394</v>
      </c>
      <c r="D92">
        <v>3.5</v>
      </c>
      <c r="F92">
        <v>16</v>
      </c>
      <c r="G92" t="s">
        <v>26</v>
      </c>
      <c r="H92">
        <v>1003</v>
      </c>
      <c r="I92">
        <v>1000</v>
      </c>
      <c r="J92">
        <v>72.041874376869302</v>
      </c>
      <c r="K92">
        <v>176.85898885888199</v>
      </c>
      <c r="L92">
        <v>5.8205375941210296</v>
      </c>
      <c r="M92">
        <v>317.22619696834897</v>
      </c>
      <c r="N92">
        <v>0</v>
      </c>
      <c r="O92">
        <v>0</v>
      </c>
      <c r="P92">
        <v>2454.6093809999902</v>
      </c>
      <c r="Q92">
        <v>2121.9922035750001</v>
      </c>
    </row>
    <row r="93" spans="1:23" x14ac:dyDescent="0.3">
      <c r="A93">
        <v>9</v>
      </c>
      <c r="B93" t="s">
        <v>5</v>
      </c>
      <c r="C93">
        <v>19.894635488232002</v>
      </c>
      <c r="D93">
        <v>5</v>
      </c>
      <c r="F93">
        <v>16</v>
      </c>
      <c r="G93" t="s">
        <v>27</v>
      </c>
      <c r="H93">
        <v>832</v>
      </c>
      <c r="I93">
        <v>832</v>
      </c>
      <c r="J93">
        <v>84.868990384615302</v>
      </c>
      <c r="K93">
        <v>137.96335963697101</v>
      </c>
      <c r="L93">
        <v>5.8205375941210296</v>
      </c>
      <c r="M93">
        <v>258.92416488768799</v>
      </c>
      <c r="N93">
        <v>0</v>
      </c>
      <c r="O93">
        <v>0</v>
      </c>
      <c r="P93">
        <v>1672.73092399999</v>
      </c>
      <c r="Q93">
        <v>1433.867754396</v>
      </c>
    </row>
    <row r="94" spans="1:23" x14ac:dyDescent="0.3">
      <c r="A94">
        <v>9</v>
      </c>
      <c r="B94" t="s">
        <v>6</v>
      </c>
      <c r="C94">
        <v>64.611791876533502</v>
      </c>
      <c r="D94">
        <v>3.3813559322033799</v>
      </c>
      <c r="F94">
        <v>16</v>
      </c>
      <c r="G94" t="s">
        <v>28</v>
      </c>
      <c r="H94">
        <v>694</v>
      </c>
      <c r="I94">
        <v>694</v>
      </c>
      <c r="J94">
        <v>87.740634005763695</v>
      </c>
      <c r="K94">
        <v>112.20698128135101</v>
      </c>
      <c r="L94">
        <v>5.8205375941210296</v>
      </c>
      <c r="M94">
        <v>189.382462488843</v>
      </c>
      <c r="N94">
        <v>0</v>
      </c>
      <c r="O94">
        <v>0</v>
      </c>
      <c r="P94">
        <v>1311.6780699999899</v>
      </c>
      <c r="Q94">
        <v>1122.2102624689901</v>
      </c>
    </row>
    <row r="95" spans="1:23" x14ac:dyDescent="0.3">
      <c r="A95">
        <v>9</v>
      </c>
      <c r="B95" t="s">
        <v>7</v>
      </c>
      <c r="C95">
        <v>65.826735426936295</v>
      </c>
      <c r="D95">
        <v>3.6749999999999998</v>
      </c>
      <c r="F95">
        <v>17</v>
      </c>
      <c r="G95" t="s">
        <v>25</v>
      </c>
      <c r="H95">
        <v>730</v>
      </c>
      <c r="I95">
        <v>730</v>
      </c>
      <c r="J95">
        <v>25.658904109588999</v>
      </c>
      <c r="K95">
        <v>103.584754487834</v>
      </c>
      <c r="L95">
        <v>10.013468353123701</v>
      </c>
      <c r="M95">
        <v>245.488538385189</v>
      </c>
      <c r="N95">
        <v>0</v>
      </c>
      <c r="O95">
        <v>0</v>
      </c>
      <c r="P95">
        <v>1429.9200920000001</v>
      </c>
      <c r="Q95">
        <v>1261.640161301</v>
      </c>
    </row>
    <row r="96" spans="1:23" x14ac:dyDescent="0.3">
      <c r="A96">
        <v>9</v>
      </c>
      <c r="B96" t="s">
        <v>8</v>
      </c>
      <c r="C96">
        <v>79.647556369440693</v>
      </c>
      <c r="D96">
        <v>4</v>
      </c>
      <c r="F96">
        <v>17</v>
      </c>
      <c r="G96" t="s">
        <v>26</v>
      </c>
      <c r="H96">
        <v>718</v>
      </c>
      <c r="I96">
        <v>718</v>
      </c>
      <c r="J96">
        <v>25.268802228412198</v>
      </c>
      <c r="K96">
        <v>103.253137156596</v>
      </c>
      <c r="L96">
        <v>10.013468353123701</v>
      </c>
      <c r="M96">
        <v>241.56475863674299</v>
      </c>
      <c r="N96">
        <v>0</v>
      </c>
      <c r="O96">
        <v>0</v>
      </c>
      <c r="P96">
        <v>1416.91498199999</v>
      </c>
      <c r="Q96">
        <v>1242.525881967</v>
      </c>
    </row>
    <row r="97" spans="1:17" x14ac:dyDescent="0.3">
      <c r="A97">
        <v>9</v>
      </c>
      <c r="B97" t="s">
        <v>9</v>
      </c>
      <c r="C97">
        <v>80.939128583496398</v>
      </c>
      <c r="D97">
        <v>3.5</v>
      </c>
      <c r="F97">
        <v>17</v>
      </c>
      <c r="G97" t="s">
        <v>27</v>
      </c>
      <c r="H97">
        <v>711</v>
      </c>
      <c r="I97">
        <v>711</v>
      </c>
      <c r="J97">
        <v>24.992967651195499</v>
      </c>
      <c r="K97">
        <v>101.558740619948</v>
      </c>
      <c r="L97">
        <v>10.013468353123701</v>
      </c>
      <c r="M97">
        <v>241.540965195517</v>
      </c>
      <c r="N97">
        <v>0</v>
      </c>
      <c r="O97">
        <v>0</v>
      </c>
      <c r="P97">
        <v>1401.8886689999899</v>
      </c>
      <c r="Q97">
        <v>1230.97697330699</v>
      </c>
    </row>
    <row r="98" spans="1:17" x14ac:dyDescent="0.3">
      <c r="A98">
        <v>9</v>
      </c>
      <c r="B98" t="s">
        <v>10</v>
      </c>
      <c r="C98">
        <v>115.946270403391</v>
      </c>
      <c r="D98">
        <v>1.7889087656529501</v>
      </c>
      <c r="F98">
        <v>17</v>
      </c>
      <c r="G98" t="s">
        <v>28</v>
      </c>
      <c r="H98">
        <v>476</v>
      </c>
      <c r="I98">
        <v>476</v>
      </c>
      <c r="J98">
        <v>23.716386554621799</v>
      </c>
      <c r="K98">
        <v>69.578554023070296</v>
      </c>
      <c r="L98">
        <v>10.013468353123701</v>
      </c>
      <c r="M98">
        <v>159.76521415626101</v>
      </c>
      <c r="N98">
        <v>0</v>
      </c>
      <c r="O98">
        <v>0</v>
      </c>
      <c r="P98">
        <v>943.45328599999903</v>
      </c>
      <c r="Q98">
        <v>824.13460067599897</v>
      </c>
    </row>
    <row r="99" spans="1:17" x14ac:dyDescent="0.3">
      <c r="A99">
        <v>9</v>
      </c>
      <c r="B99" t="s">
        <v>11</v>
      </c>
      <c r="C99">
        <v>275.95629021862402</v>
      </c>
      <c r="D99">
        <v>3.9568788501026599</v>
      </c>
      <c r="F99">
        <v>17</v>
      </c>
      <c r="G99" t="s">
        <v>29</v>
      </c>
      <c r="H99">
        <v>476</v>
      </c>
      <c r="I99">
        <v>476</v>
      </c>
      <c r="J99">
        <v>23.716386554621799</v>
      </c>
      <c r="K99">
        <v>68.304637868316405</v>
      </c>
      <c r="L99">
        <v>10.013468353123701</v>
      </c>
      <c r="M99">
        <v>162.246962401535</v>
      </c>
      <c r="N99">
        <v>0</v>
      </c>
      <c r="O99">
        <v>0</v>
      </c>
      <c r="P99">
        <v>900.85730799999999</v>
      </c>
      <c r="Q99">
        <v>792.94003966000002</v>
      </c>
    </row>
    <row r="100" spans="1:17" x14ac:dyDescent="0.3">
      <c r="A100">
        <v>9</v>
      </c>
      <c r="B100" t="s">
        <v>12</v>
      </c>
      <c r="C100">
        <v>352.64286845524902</v>
      </c>
      <c r="D100">
        <v>4.5384615384615303</v>
      </c>
      <c r="F100">
        <v>17</v>
      </c>
      <c r="G100" t="s">
        <v>30</v>
      </c>
      <c r="H100">
        <v>476</v>
      </c>
      <c r="I100">
        <v>476</v>
      </c>
      <c r="J100">
        <v>23.716386554621799</v>
      </c>
      <c r="K100">
        <v>68.029817522117895</v>
      </c>
      <c r="L100">
        <v>10.013468353123701</v>
      </c>
      <c r="M100">
        <v>161.02323195273101</v>
      </c>
      <c r="N100">
        <v>0</v>
      </c>
      <c r="O100">
        <v>0</v>
      </c>
      <c r="P100">
        <v>881.88074900000004</v>
      </c>
      <c r="Q100">
        <v>774.23474633800004</v>
      </c>
    </row>
    <row r="101" spans="1:17" x14ac:dyDescent="0.3">
      <c r="A101">
        <v>9</v>
      </c>
      <c r="B101" t="s">
        <v>13</v>
      </c>
      <c r="C101">
        <v>354.84386652453401</v>
      </c>
      <c r="D101">
        <v>1.33877233877233</v>
      </c>
      <c r="F101">
        <v>17</v>
      </c>
      <c r="G101" t="s">
        <v>31</v>
      </c>
      <c r="H101">
        <v>0</v>
      </c>
      <c r="I101">
        <v>0</v>
      </c>
      <c r="J101">
        <v>0</v>
      </c>
      <c r="K101">
        <v>0</v>
      </c>
      <c r="L101">
        <v>10.013468353123701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">
      <c r="A102">
        <v>10</v>
      </c>
      <c r="B102" t="s">
        <v>3</v>
      </c>
      <c r="C102">
        <v>15.1384110295614</v>
      </c>
      <c r="D102">
        <v>4</v>
      </c>
      <c r="F102">
        <v>17</v>
      </c>
      <c r="G102" t="s">
        <v>32</v>
      </c>
      <c r="H102">
        <v>0</v>
      </c>
      <c r="I102">
        <v>0</v>
      </c>
      <c r="J102">
        <v>0</v>
      </c>
      <c r="K102">
        <v>0</v>
      </c>
      <c r="L102">
        <v>10.013468353123701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">
      <c r="A103">
        <v>10</v>
      </c>
      <c r="B103" t="s">
        <v>4</v>
      </c>
      <c r="C103">
        <v>15.333220693562501</v>
      </c>
      <c r="D103">
        <v>3.9512195121951201</v>
      </c>
      <c r="F103">
        <v>17</v>
      </c>
      <c r="G103" t="s">
        <v>33</v>
      </c>
      <c r="H103">
        <v>0</v>
      </c>
      <c r="I103">
        <v>0</v>
      </c>
      <c r="J103">
        <v>0</v>
      </c>
      <c r="K103">
        <v>0</v>
      </c>
      <c r="L103">
        <v>10.013468353123701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">
      <c r="A104">
        <v>10</v>
      </c>
      <c r="B104" t="s">
        <v>5</v>
      </c>
      <c r="C104">
        <v>19.5755551313522</v>
      </c>
      <c r="D104">
        <v>4.5</v>
      </c>
      <c r="F104">
        <v>17</v>
      </c>
      <c r="G104" t="s">
        <v>34</v>
      </c>
      <c r="H104">
        <v>0</v>
      </c>
      <c r="I104">
        <v>0</v>
      </c>
      <c r="J104">
        <v>0</v>
      </c>
      <c r="K104">
        <v>0</v>
      </c>
      <c r="L104">
        <v>10.013468353123701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">
      <c r="A105">
        <v>10</v>
      </c>
      <c r="B105" t="s">
        <v>6</v>
      </c>
      <c r="C105">
        <v>64.253720094987102</v>
      </c>
      <c r="D105">
        <v>4.0171428571428498</v>
      </c>
      <c r="F105">
        <v>17</v>
      </c>
      <c r="G105" t="s">
        <v>35</v>
      </c>
      <c r="H105">
        <v>0</v>
      </c>
      <c r="I105">
        <v>0</v>
      </c>
      <c r="J105">
        <v>0</v>
      </c>
      <c r="K105">
        <v>0</v>
      </c>
      <c r="L105">
        <v>10.013468353123701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">
      <c r="A106">
        <v>10</v>
      </c>
      <c r="B106" t="s">
        <v>7</v>
      </c>
      <c r="C106">
        <v>65.280990157142298</v>
      </c>
      <c r="D106">
        <v>3.5</v>
      </c>
      <c r="F106">
        <v>17</v>
      </c>
      <c r="G106" t="s">
        <v>36</v>
      </c>
      <c r="H106">
        <v>0</v>
      </c>
      <c r="I106">
        <v>0</v>
      </c>
      <c r="J106">
        <v>0</v>
      </c>
      <c r="K106">
        <v>0</v>
      </c>
      <c r="L106">
        <v>10.013468353123701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3">
      <c r="A107">
        <v>10</v>
      </c>
      <c r="B107" t="s">
        <v>8</v>
      </c>
      <c r="C107">
        <v>79.055220949024999</v>
      </c>
      <c r="D107">
        <v>4</v>
      </c>
      <c r="F107">
        <v>18</v>
      </c>
      <c r="G107" t="s">
        <v>25</v>
      </c>
      <c r="H107">
        <v>730</v>
      </c>
      <c r="I107">
        <v>730</v>
      </c>
      <c r="J107">
        <v>25.658904109588999</v>
      </c>
      <c r="K107">
        <v>103.953079977977</v>
      </c>
      <c r="L107">
        <v>10.0053492866999</v>
      </c>
      <c r="M107">
        <v>246.00731475870001</v>
      </c>
      <c r="N107">
        <v>0</v>
      </c>
      <c r="O107">
        <v>0</v>
      </c>
      <c r="P107">
        <v>1433.4588489999901</v>
      </c>
      <c r="Q107">
        <v>1264.889460913</v>
      </c>
    </row>
    <row r="108" spans="1:17" x14ac:dyDescent="0.3">
      <c r="A108">
        <v>10</v>
      </c>
      <c r="B108" t="s">
        <v>9</v>
      </c>
      <c r="C108">
        <v>80.231780383260798</v>
      </c>
      <c r="D108">
        <v>3.5</v>
      </c>
      <c r="F108">
        <v>18</v>
      </c>
      <c r="G108" t="s">
        <v>26</v>
      </c>
      <c r="H108">
        <v>718</v>
      </c>
      <c r="I108">
        <v>718</v>
      </c>
      <c r="J108">
        <v>25.268802228412198</v>
      </c>
      <c r="K108">
        <v>102.260319150383</v>
      </c>
      <c r="L108">
        <v>10.0053492866999</v>
      </c>
      <c r="M108">
        <v>240.532850610069</v>
      </c>
      <c r="N108">
        <v>0</v>
      </c>
      <c r="O108">
        <v>0</v>
      </c>
      <c r="P108">
        <v>1406.3979979999899</v>
      </c>
      <c r="Q108">
        <v>1232.333997186</v>
      </c>
    </row>
    <row r="109" spans="1:17" x14ac:dyDescent="0.3">
      <c r="A109">
        <v>10</v>
      </c>
      <c r="B109" t="s">
        <v>10</v>
      </c>
      <c r="C109">
        <v>117.213150152422</v>
      </c>
      <c r="D109">
        <v>1.37083993660855</v>
      </c>
      <c r="F109">
        <v>18</v>
      </c>
      <c r="G109" t="s">
        <v>27</v>
      </c>
      <c r="H109">
        <v>711</v>
      </c>
      <c r="I109">
        <v>711</v>
      </c>
      <c r="J109">
        <v>24.992967651195499</v>
      </c>
      <c r="K109">
        <v>101.71211430375</v>
      </c>
      <c r="L109">
        <v>10.0053492866999</v>
      </c>
      <c r="M109">
        <v>241.11108603913601</v>
      </c>
      <c r="N109">
        <v>0</v>
      </c>
      <c r="O109">
        <v>0</v>
      </c>
      <c r="P109">
        <v>1408.32036299999</v>
      </c>
      <c r="Q109">
        <v>1235.92976670399</v>
      </c>
    </row>
    <row r="110" spans="1:17" x14ac:dyDescent="0.3">
      <c r="A110">
        <v>10</v>
      </c>
      <c r="B110" t="s">
        <v>11</v>
      </c>
      <c r="C110">
        <v>275.174755249908</v>
      </c>
      <c r="D110">
        <v>4.0464646464646403</v>
      </c>
      <c r="F110">
        <v>18</v>
      </c>
      <c r="G110" t="s">
        <v>28</v>
      </c>
      <c r="H110">
        <v>476</v>
      </c>
      <c r="I110">
        <v>476</v>
      </c>
      <c r="J110">
        <v>23.716386554621799</v>
      </c>
      <c r="K110">
        <v>69.027350312258804</v>
      </c>
      <c r="L110">
        <v>10.0053492866999</v>
      </c>
      <c r="M110">
        <v>160.718005028101</v>
      </c>
      <c r="N110">
        <v>0</v>
      </c>
      <c r="O110">
        <v>0</v>
      </c>
      <c r="P110">
        <v>929.769982999999</v>
      </c>
      <c r="Q110">
        <v>815.07972400599897</v>
      </c>
    </row>
    <row r="111" spans="1:17" x14ac:dyDescent="0.3">
      <c r="A111">
        <v>10</v>
      </c>
      <c r="B111" t="s">
        <v>12</v>
      </c>
      <c r="C111">
        <v>354.13995032640901</v>
      </c>
      <c r="D111">
        <v>4.5317647058823498</v>
      </c>
      <c r="F111">
        <v>18</v>
      </c>
      <c r="G111" t="s">
        <v>29</v>
      </c>
      <c r="H111">
        <v>476</v>
      </c>
      <c r="I111">
        <v>476</v>
      </c>
      <c r="J111">
        <v>23.716386554621799</v>
      </c>
      <c r="K111">
        <v>69.200556681196801</v>
      </c>
      <c r="L111">
        <v>10.0053492866999</v>
      </c>
      <c r="M111">
        <v>160.824827248985</v>
      </c>
      <c r="N111">
        <v>0</v>
      </c>
      <c r="O111">
        <v>0</v>
      </c>
      <c r="P111">
        <v>915.16337599999997</v>
      </c>
      <c r="Q111">
        <v>803.60327858000005</v>
      </c>
    </row>
    <row r="112" spans="1:17" x14ac:dyDescent="0.3">
      <c r="A112">
        <v>10</v>
      </c>
      <c r="B112" t="s">
        <v>13</v>
      </c>
      <c r="C112">
        <v>354.081599669414</v>
      </c>
      <c r="D112">
        <v>1.3518373729476101</v>
      </c>
      <c r="F112">
        <v>18</v>
      </c>
      <c r="G112" t="s">
        <v>30</v>
      </c>
      <c r="H112">
        <v>476</v>
      </c>
      <c r="I112">
        <v>476</v>
      </c>
      <c r="J112">
        <v>23.716386554621799</v>
      </c>
      <c r="K112">
        <v>68.366431767513404</v>
      </c>
      <c r="L112">
        <v>10.0053492866999</v>
      </c>
      <c r="M112">
        <v>161.45318000570501</v>
      </c>
      <c r="N112">
        <v>0</v>
      </c>
      <c r="O112">
        <v>0</v>
      </c>
      <c r="P112">
        <v>881.88074900000004</v>
      </c>
      <c r="Q112">
        <v>774.43977756499999</v>
      </c>
    </row>
    <row r="113" spans="1:17" x14ac:dyDescent="0.3">
      <c r="A113">
        <v>11</v>
      </c>
      <c r="B113" t="s">
        <v>3</v>
      </c>
      <c r="C113">
        <v>15.343689738967701</v>
      </c>
      <c r="D113">
        <v>4</v>
      </c>
      <c r="F113">
        <v>18</v>
      </c>
      <c r="G113" t="s">
        <v>31</v>
      </c>
      <c r="H113">
        <v>0</v>
      </c>
      <c r="I113">
        <v>0</v>
      </c>
      <c r="J113">
        <v>0</v>
      </c>
      <c r="K113">
        <v>0</v>
      </c>
      <c r="L113">
        <v>10.0053492866999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">
      <c r="A114">
        <v>11</v>
      </c>
      <c r="B114" t="s">
        <v>4</v>
      </c>
      <c r="C114">
        <v>15.6155069806537</v>
      </c>
      <c r="D114">
        <v>4</v>
      </c>
      <c r="F114">
        <v>18</v>
      </c>
      <c r="G114" t="s">
        <v>32</v>
      </c>
      <c r="H114">
        <v>0</v>
      </c>
      <c r="I114">
        <v>0</v>
      </c>
      <c r="J114">
        <v>0</v>
      </c>
      <c r="K114">
        <v>0</v>
      </c>
      <c r="L114">
        <v>10.0053492866999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3">
      <c r="A115">
        <v>11</v>
      </c>
      <c r="B115" t="s">
        <v>5</v>
      </c>
      <c r="C115">
        <v>20.194457530050499</v>
      </c>
      <c r="D115">
        <v>4.5</v>
      </c>
      <c r="F115">
        <v>18</v>
      </c>
      <c r="G115" t="s">
        <v>33</v>
      </c>
      <c r="H115">
        <v>0</v>
      </c>
      <c r="I115">
        <v>0</v>
      </c>
      <c r="J115">
        <v>0</v>
      </c>
      <c r="K115">
        <v>0</v>
      </c>
      <c r="L115">
        <v>10.0053492866999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3">
      <c r="A116">
        <v>11</v>
      </c>
      <c r="B116" t="s">
        <v>6</v>
      </c>
      <c r="C116">
        <v>63.877925826124198</v>
      </c>
      <c r="D116">
        <v>4.0171428571428498</v>
      </c>
      <c r="F116">
        <v>18</v>
      </c>
      <c r="G116" t="s">
        <v>34</v>
      </c>
      <c r="H116">
        <v>0</v>
      </c>
      <c r="I116">
        <v>0</v>
      </c>
      <c r="J116">
        <v>0</v>
      </c>
      <c r="K116">
        <v>0</v>
      </c>
      <c r="L116">
        <v>10.0053492866999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3">
      <c r="A117">
        <v>11</v>
      </c>
      <c r="B117" t="s">
        <v>7</v>
      </c>
      <c r="C117">
        <v>65.570046975188703</v>
      </c>
      <c r="D117">
        <v>3.5</v>
      </c>
      <c r="F117">
        <v>18</v>
      </c>
      <c r="G117" t="s">
        <v>35</v>
      </c>
      <c r="H117">
        <v>0</v>
      </c>
      <c r="I117">
        <v>0</v>
      </c>
      <c r="J117">
        <v>0</v>
      </c>
      <c r="K117">
        <v>0</v>
      </c>
      <c r="L117">
        <v>10.0053492866999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3">
      <c r="A118">
        <v>11</v>
      </c>
      <c r="B118" t="s">
        <v>8</v>
      </c>
      <c r="C118">
        <v>78.926544446031997</v>
      </c>
      <c r="D118">
        <v>4</v>
      </c>
      <c r="F118">
        <v>18</v>
      </c>
      <c r="G118" t="s">
        <v>36</v>
      </c>
      <c r="H118">
        <v>0</v>
      </c>
      <c r="I118">
        <v>0</v>
      </c>
      <c r="J118">
        <v>0</v>
      </c>
      <c r="K118">
        <v>0</v>
      </c>
      <c r="L118">
        <v>10.0053492866999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3">
      <c r="A119">
        <v>11</v>
      </c>
      <c r="B119" t="s">
        <v>9</v>
      </c>
      <c r="C119">
        <v>80.313417874799697</v>
      </c>
      <c r="D119">
        <v>3.5</v>
      </c>
      <c r="F119">
        <v>19</v>
      </c>
      <c r="G119" t="s">
        <v>25</v>
      </c>
      <c r="H119">
        <v>730</v>
      </c>
      <c r="I119">
        <v>730</v>
      </c>
      <c r="J119">
        <v>25.658904109588999</v>
      </c>
      <c r="K119">
        <v>103.835866603909</v>
      </c>
      <c r="L119">
        <v>10.0766773468472</v>
      </c>
      <c r="M119">
        <v>246.60846616025299</v>
      </c>
      <c r="N119">
        <v>0</v>
      </c>
      <c r="O119">
        <v>0</v>
      </c>
      <c r="P119">
        <v>1436.39925899999</v>
      </c>
      <c r="Q119">
        <v>1267.6854889599999</v>
      </c>
    </row>
    <row r="120" spans="1:17" x14ac:dyDescent="0.3">
      <c r="A120">
        <v>11</v>
      </c>
      <c r="B120" t="s">
        <v>10</v>
      </c>
      <c r="C120">
        <v>116.89283850338499</v>
      </c>
      <c r="D120">
        <v>1.37083993660855</v>
      </c>
      <c r="F120">
        <v>19</v>
      </c>
      <c r="G120" t="s">
        <v>26</v>
      </c>
      <c r="H120">
        <v>718</v>
      </c>
      <c r="I120">
        <v>718</v>
      </c>
      <c r="J120">
        <v>25.268802228412198</v>
      </c>
      <c r="K120">
        <v>102.431012646187</v>
      </c>
      <c r="L120">
        <v>10.0766773468472</v>
      </c>
      <c r="M120">
        <v>239.17368604577899</v>
      </c>
      <c r="N120">
        <v>0</v>
      </c>
      <c r="O120">
        <v>0</v>
      </c>
      <c r="P120">
        <v>1404.77377399999</v>
      </c>
      <c r="Q120">
        <v>1231.478990671</v>
      </c>
    </row>
    <row r="121" spans="1:17" x14ac:dyDescent="0.3">
      <c r="A121">
        <v>11</v>
      </c>
      <c r="B121" t="s">
        <v>11</v>
      </c>
      <c r="C121">
        <v>274.57688411932003</v>
      </c>
      <c r="D121">
        <v>4.0464646464646403</v>
      </c>
      <c r="F121">
        <v>19</v>
      </c>
      <c r="G121" t="s">
        <v>27</v>
      </c>
      <c r="H121">
        <v>711</v>
      </c>
      <c r="I121">
        <v>711</v>
      </c>
      <c r="J121">
        <v>24.992967651195499</v>
      </c>
      <c r="K121">
        <v>102.043834625572</v>
      </c>
      <c r="L121">
        <v>10.0766773468472</v>
      </c>
      <c r="M121">
        <v>240.51751469057399</v>
      </c>
      <c r="N121">
        <v>0</v>
      </c>
      <c r="O121">
        <v>0</v>
      </c>
      <c r="P121">
        <v>1411.62381399999</v>
      </c>
      <c r="Q121">
        <v>1237.6821954879899</v>
      </c>
    </row>
    <row r="122" spans="1:17" x14ac:dyDescent="0.3">
      <c r="A122">
        <v>11</v>
      </c>
      <c r="B122" t="s">
        <v>12</v>
      </c>
      <c r="C122">
        <v>354.135999595866</v>
      </c>
      <c r="D122">
        <v>4.5317647058823498</v>
      </c>
      <c r="F122">
        <v>19</v>
      </c>
      <c r="G122" t="s">
        <v>28</v>
      </c>
      <c r="H122">
        <v>476</v>
      </c>
      <c r="I122">
        <v>476</v>
      </c>
      <c r="J122">
        <v>23.716386554621799</v>
      </c>
      <c r="K122">
        <v>68.871755462130395</v>
      </c>
      <c r="L122">
        <v>10.0766773468472</v>
      </c>
      <c r="M122">
        <v>159.79911183070701</v>
      </c>
      <c r="N122">
        <v>0</v>
      </c>
      <c r="O122">
        <v>0</v>
      </c>
      <c r="P122">
        <v>927.43730299999902</v>
      </c>
      <c r="Q122">
        <v>812.11433711099903</v>
      </c>
    </row>
    <row r="123" spans="1:17" x14ac:dyDescent="0.3">
      <c r="A123">
        <v>11</v>
      </c>
      <c r="B123" t="s">
        <v>13</v>
      </c>
      <c r="C123">
        <v>354.63284482248099</v>
      </c>
      <c r="D123">
        <v>1.3518373729476101</v>
      </c>
      <c r="F123">
        <v>19</v>
      </c>
      <c r="G123" t="s">
        <v>29</v>
      </c>
      <c r="H123">
        <v>476</v>
      </c>
      <c r="I123">
        <v>476</v>
      </c>
      <c r="J123">
        <v>23.716386554621799</v>
      </c>
      <c r="K123">
        <v>68.287859754417696</v>
      </c>
      <c r="L123">
        <v>10.0766773468472</v>
      </c>
      <c r="M123">
        <v>161.93154586453801</v>
      </c>
      <c r="N123">
        <v>0</v>
      </c>
      <c r="O123">
        <v>0</v>
      </c>
      <c r="P123">
        <v>900.31576399999994</v>
      </c>
      <c r="Q123">
        <v>793.19571940000003</v>
      </c>
    </row>
    <row r="124" spans="1:17" x14ac:dyDescent="0.3">
      <c r="A124">
        <v>12</v>
      </c>
      <c r="B124" t="s">
        <v>3</v>
      </c>
      <c r="C124">
        <v>15.341970919480501</v>
      </c>
      <c r="D124">
        <v>4</v>
      </c>
      <c r="F124">
        <v>19</v>
      </c>
      <c r="G124" t="s">
        <v>30</v>
      </c>
      <c r="H124">
        <v>476</v>
      </c>
      <c r="I124">
        <v>476</v>
      </c>
      <c r="J124">
        <v>23.716386554621799</v>
      </c>
      <c r="K124">
        <v>68.129732539627497</v>
      </c>
      <c r="L124">
        <v>10.0766773468472</v>
      </c>
      <c r="M124">
        <v>161.170957029813</v>
      </c>
      <c r="N124">
        <v>0</v>
      </c>
      <c r="O124">
        <v>0</v>
      </c>
      <c r="P124">
        <v>881.88074900000004</v>
      </c>
      <c r="Q124">
        <v>774.42150744599996</v>
      </c>
    </row>
    <row r="125" spans="1:17" x14ac:dyDescent="0.3">
      <c r="A125">
        <v>12</v>
      </c>
      <c r="B125" t="s">
        <v>4</v>
      </c>
      <c r="C125">
        <v>15.270387173471599</v>
      </c>
      <c r="D125">
        <v>4</v>
      </c>
      <c r="F125">
        <v>19</v>
      </c>
      <c r="G125" t="s">
        <v>31</v>
      </c>
      <c r="H125">
        <v>0</v>
      </c>
      <c r="I125">
        <v>0</v>
      </c>
      <c r="J125">
        <v>0</v>
      </c>
      <c r="K125">
        <v>0</v>
      </c>
      <c r="L125">
        <v>10.0766773468472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">
      <c r="A126">
        <v>12</v>
      </c>
      <c r="B126" t="s">
        <v>5</v>
      </c>
      <c r="C126">
        <v>19.897811259769199</v>
      </c>
      <c r="D126">
        <v>4.5</v>
      </c>
      <c r="F126">
        <v>19</v>
      </c>
      <c r="G126" t="s">
        <v>32</v>
      </c>
      <c r="H126">
        <v>0</v>
      </c>
      <c r="I126">
        <v>0</v>
      </c>
      <c r="J126">
        <v>0</v>
      </c>
      <c r="K126">
        <v>0</v>
      </c>
      <c r="L126">
        <v>10.0766773468472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3">
      <c r="A127">
        <v>12</v>
      </c>
      <c r="B127" t="s">
        <v>6</v>
      </c>
      <c r="C127">
        <v>65.326861661620001</v>
      </c>
      <c r="D127">
        <v>4.0171428571428498</v>
      </c>
      <c r="F127">
        <v>19</v>
      </c>
      <c r="G127" t="s">
        <v>33</v>
      </c>
      <c r="H127">
        <v>0</v>
      </c>
      <c r="I127">
        <v>0</v>
      </c>
      <c r="J127">
        <v>0</v>
      </c>
      <c r="K127">
        <v>0</v>
      </c>
      <c r="L127">
        <v>10.0766773468472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3">
      <c r="A128">
        <v>12</v>
      </c>
      <c r="B128" t="s">
        <v>7</v>
      </c>
      <c r="C128">
        <v>65.674835189669906</v>
      </c>
      <c r="D128">
        <v>3.5</v>
      </c>
      <c r="F128">
        <v>19</v>
      </c>
      <c r="G128" t="s">
        <v>34</v>
      </c>
      <c r="H128">
        <v>0</v>
      </c>
      <c r="I128">
        <v>0</v>
      </c>
      <c r="J128">
        <v>0</v>
      </c>
      <c r="K128">
        <v>0</v>
      </c>
      <c r="L128">
        <v>10.0766773468472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3">
      <c r="A129">
        <v>12</v>
      </c>
      <c r="B129" t="s">
        <v>8</v>
      </c>
      <c r="C129">
        <v>79.219497024543699</v>
      </c>
      <c r="D129">
        <v>4</v>
      </c>
      <c r="F129">
        <v>19</v>
      </c>
      <c r="G129" t="s">
        <v>35</v>
      </c>
      <c r="H129">
        <v>0</v>
      </c>
      <c r="I129">
        <v>0</v>
      </c>
      <c r="J129">
        <v>0</v>
      </c>
      <c r="K129">
        <v>0</v>
      </c>
      <c r="L129">
        <v>10.0766773468472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">
      <c r="A130">
        <v>12</v>
      </c>
      <c r="B130" t="s">
        <v>9</v>
      </c>
      <c r="C130">
        <v>81.014412286559306</v>
      </c>
      <c r="D130">
        <v>3.5</v>
      </c>
      <c r="F130">
        <v>19</v>
      </c>
      <c r="G130" t="s">
        <v>36</v>
      </c>
      <c r="H130">
        <v>0</v>
      </c>
      <c r="I130">
        <v>0</v>
      </c>
      <c r="J130">
        <v>0</v>
      </c>
      <c r="K130">
        <v>0</v>
      </c>
      <c r="L130">
        <v>10.0766773468472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3">
      <c r="A131">
        <v>12</v>
      </c>
      <c r="B131" t="s">
        <v>10</v>
      </c>
      <c r="C131">
        <v>117.58896114644</v>
      </c>
      <c r="D131">
        <v>1.37083993660855</v>
      </c>
      <c r="F131">
        <v>20</v>
      </c>
      <c r="G131" t="s">
        <v>25</v>
      </c>
      <c r="H131">
        <v>730</v>
      </c>
      <c r="I131">
        <v>730</v>
      </c>
      <c r="J131">
        <v>25.658904109588999</v>
      </c>
      <c r="K131">
        <v>103.593527031618</v>
      </c>
      <c r="L131">
        <v>10.042239535270401</v>
      </c>
      <c r="M131">
        <v>246.95680792331601</v>
      </c>
      <c r="N131">
        <v>0</v>
      </c>
      <c r="O131">
        <v>0</v>
      </c>
      <c r="P131">
        <v>1436.4884809999901</v>
      </c>
      <c r="Q131">
        <v>1268.7891716520001</v>
      </c>
    </row>
    <row r="132" spans="1:17" x14ac:dyDescent="0.3">
      <c r="A132">
        <v>12</v>
      </c>
      <c r="B132" t="s">
        <v>11</v>
      </c>
      <c r="C132">
        <v>275.481696810953</v>
      </c>
      <c r="D132">
        <v>4.0464646464646403</v>
      </c>
      <c r="F132">
        <v>20</v>
      </c>
      <c r="G132" t="s">
        <v>26</v>
      </c>
      <c r="H132">
        <v>718</v>
      </c>
      <c r="I132">
        <v>718</v>
      </c>
      <c r="J132">
        <v>25.268802228412198</v>
      </c>
      <c r="K132">
        <v>103.563880163387</v>
      </c>
      <c r="L132">
        <v>10.042239535270401</v>
      </c>
      <c r="M132">
        <v>241.30188661254701</v>
      </c>
      <c r="N132">
        <v>0</v>
      </c>
      <c r="O132">
        <v>0</v>
      </c>
      <c r="P132">
        <v>1416.92174799999</v>
      </c>
      <c r="Q132">
        <v>1241.2322023270001</v>
      </c>
    </row>
    <row r="133" spans="1:17" x14ac:dyDescent="0.3">
      <c r="A133">
        <v>12</v>
      </c>
      <c r="B133" t="s">
        <v>12</v>
      </c>
      <c r="C133">
        <v>352.56735580285999</v>
      </c>
      <c r="D133">
        <v>4.5317647058823498</v>
      </c>
      <c r="F133">
        <v>20</v>
      </c>
      <c r="G133" t="s">
        <v>27</v>
      </c>
      <c r="H133">
        <v>711</v>
      </c>
      <c r="I133">
        <v>711</v>
      </c>
      <c r="J133">
        <v>24.992967651195499</v>
      </c>
      <c r="K133">
        <v>102.35630761055</v>
      </c>
      <c r="L133">
        <v>10.042239535270401</v>
      </c>
      <c r="M133">
        <v>241.57759225093301</v>
      </c>
      <c r="N133">
        <v>0</v>
      </c>
      <c r="O133">
        <v>0</v>
      </c>
      <c r="P133">
        <v>1408.04788299999</v>
      </c>
      <c r="Q133">
        <v>1235.7482374419901</v>
      </c>
    </row>
    <row r="134" spans="1:17" x14ac:dyDescent="0.3">
      <c r="A134">
        <v>12</v>
      </c>
      <c r="B134" t="s">
        <v>13</v>
      </c>
      <c r="C134">
        <v>353.092407470968</v>
      </c>
      <c r="D134">
        <v>1.3518373729476101</v>
      </c>
      <c r="F134">
        <v>20</v>
      </c>
      <c r="G134" t="s">
        <v>28</v>
      </c>
      <c r="H134">
        <v>476</v>
      </c>
      <c r="I134">
        <v>476</v>
      </c>
      <c r="J134">
        <v>23.716386554621799</v>
      </c>
      <c r="K134">
        <v>68.847033428574903</v>
      </c>
      <c r="L134">
        <v>10.042239535270401</v>
      </c>
      <c r="M134">
        <v>160.54625832428101</v>
      </c>
      <c r="N134">
        <v>0</v>
      </c>
      <c r="O134">
        <v>0</v>
      </c>
      <c r="P134">
        <v>929.94342299999903</v>
      </c>
      <c r="Q134">
        <v>815.36859832399796</v>
      </c>
    </row>
    <row r="135" spans="1:17" x14ac:dyDescent="0.3">
      <c r="A135">
        <v>13</v>
      </c>
      <c r="B135" t="s">
        <v>3</v>
      </c>
      <c r="C135">
        <v>15.155075136979301</v>
      </c>
      <c r="D135">
        <v>4</v>
      </c>
      <c r="F135">
        <v>20</v>
      </c>
      <c r="G135" t="s">
        <v>29</v>
      </c>
      <c r="H135">
        <v>476</v>
      </c>
      <c r="I135">
        <v>476</v>
      </c>
      <c r="J135">
        <v>23.716386554621799</v>
      </c>
      <c r="K135">
        <v>68.141593004922996</v>
      </c>
      <c r="L135">
        <v>10.042239535270401</v>
      </c>
      <c r="M135">
        <v>162.67342440679499</v>
      </c>
      <c r="N135">
        <v>0</v>
      </c>
      <c r="O135">
        <v>0</v>
      </c>
      <c r="P135">
        <v>900.31576500000006</v>
      </c>
      <c r="Q135">
        <v>793.42931222300001</v>
      </c>
    </row>
    <row r="136" spans="1:17" x14ac:dyDescent="0.3">
      <c r="A136">
        <v>13</v>
      </c>
      <c r="B136" t="s">
        <v>4</v>
      </c>
      <c r="C136">
        <v>14.8342657164175</v>
      </c>
      <c r="D136">
        <v>4</v>
      </c>
      <c r="F136">
        <v>20</v>
      </c>
      <c r="G136" t="s">
        <v>30</v>
      </c>
      <c r="H136">
        <v>476</v>
      </c>
      <c r="I136">
        <v>476</v>
      </c>
      <c r="J136">
        <v>23.716386554621799</v>
      </c>
      <c r="K136">
        <v>67.937184861912499</v>
      </c>
      <c r="L136">
        <v>10.042239535270401</v>
      </c>
      <c r="M136">
        <v>162.05501424985201</v>
      </c>
      <c r="N136">
        <v>0</v>
      </c>
      <c r="O136">
        <v>0</v>
      </c>
      <c r="P136">
        <v>881.88074900000004</v>
      </c>
      <c r="Q136">
        <v>774.47483491399998</v>
      </c>
    </row>
    <row r="137" spans="1:17" x14ac:dyDescent="0.3">
      <c r="A137">
        <v>13</v>
      </c>
      <c r="B137" t="s">
        <v>5</v>
      </c>
      <c r="C137">
        <v>19.381247601972301</v>
      </c>
      <c r="D137">
        <v>4.5</v>
      </c>
      <c r="F137">
        <v>20</v>
      </c>
      <c r="G137" t="s">
        <v>31</v>
      </c>
      <c r="H137">
        <v>0</v>
      </c>
      <c r="I137">
        <v>0</v>
      </c>
      <c r="J137">
        <v>0</v>
      </c>
      <c r="K137">
        <v>0</v>
      </c>
      <c r="L137">
        <v>10.042239535270401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3">
      <c r="A138">
        <v>13</v>
      </c>
      <c r="B138" t="s">
        <v>6</v>
      </c>
      <c r="C138">
        <v>64.311544718274305</v>
      </c>
      <c r="D138">
        <v>4.0171428571428498</v>
      </c>
      <c r="F138">
        <v>20</v>
      </c>
      <c r="G138" t="s">
        <v>32</v>
      </c>
      <c r="H138">
        <v>0</v>
      </c>
      <c r="I138">
        <v>0</v>
      </c>
      <c r="J138">
        <v>0</v>
      </c>
      <c r="K138">
        <v>0</v>
      </c>
      <c r="L138">
        <v>10.042239535270401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3">
      <c r="A139">
        <v>13</v>
      </c>
      <c r="B139" t="s">
        <v>7</v>
      </c>
      <c r="C139">
        <v>66.427835448102897</v>
      </c>
      <c r="D139">
        <v>3.5</v>
      </c>
      <c r="F139">
        <v>20</v>
      </c>
      <c r="G139" t="s">
        <v>33</v>
      </c>
      <c r="H139">
        <v>0</v>
      </c>
      <c r="I139">
        <v>0</v>
      </c>
      <c r="J139">
        <v>0</v>
      </c>
      <c r="K139">
        <v>0</v>
      </c>
      <c r="L139">
        <v>10.042239535270401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3">
      <c r="A140">
        <v>13</v>
      </c>
      <c r="B140" t="s">
        <v>8</v>
      </c>
      <c r="C140">
        <v>79.007659883402994</v>
      </c>
      <c r="D140">
        <v>4</v>
      </c>
      <c r="F140">
        <v>20</v>
      </c>
      <c r="G140" t="s">
        <v>34</v>
      </c>
      <c r="H140">
        <v>0</v>
      </c>
      <c r="I140">
        <v>0</v>
      </c>
      <c r="J140">
        <v>0</v>
      </c>
      <c r="K140">
        <v>0</v>
      </c>
      <c r="L140">
        <v>10.042239535270401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3">
      <c r="A141">
        <v>13</v>
      </c>
      <c r="B141" t="s">
        <v>9</v>
      </c>
      <c r="C141">
        <v>81.531156474797399</v>
      </c>
      <c r="D141">
        <v>3.5</v>
      </c>
      <c r="F141">
        <v>20</v>
      </c>
      <c r="G141" t="s">
        <v>35</v>
      </c>
      <c r="H141">
        <v>0</v>
      </c>
      <c r="I141">
        <v>0</v>
      </c>
      <c r="J141">
        <v>0</v>
      </c>
      <c r="K141">
        <v>0</v>
      </c>
      <c r="L141">
        <v>10.042239535270401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3">
      <c r="A142">
        <v>13</v>
      </c>
      <c r="B142" t="s">
        <v>10</v>
      </c>
      <c r="C142">
        <v>117.765077098433</v>
      </c>
      <c r="D142">
        <v>1.37083993660855</v>
      </c>
      <c r="F142">
        <v>20</v>
      </c>
      <c r="G142" t="s">
        <v>36</v>
      </c>
      <c r="H142">
        <v>0</v>
      </c>
      <c r="I142">
        <v>0</v>
      </c>
      <c r="J142">
        <v>0</v>
      </c>
      <c r="K142">
        <v>0</v>
      </c>
      <c r="L142">
        <v>10.042239535270401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3">
      <c r="A143">
        <v>13</v>
      </c>
      <c r="B143" t="s">
        <v>11</v>
      </c>
      <c r="C143">
        <v>274.45491311655502</v>
      </c>
      <c r="D143">
        <v>4.0464646464646403</v>
      </c>
      <c r="F143">
        <v>21</v>
      </c>
      <c r="G143" t="s">
        <v>25</v>
      </c>
      <c r="H143">
        <v>1078</v>
      </c>
      <c r="I143">
        <v>1077</v>
      </c>
      <c r="J143">
        <v>37.6669758812615</v>
      </c>
      <c r="K143">
        <v>144.594423640538</v>
      </c>
      <c r="L143">
        <v>11.2168285722035</v>
      </c>
      <c r="M143">
        <v>367.18291336628403</v>
      </c>
      <c r="N143">
        <v>0</v>
      </c>
      <c r="O143">
        <v>0</v>
      </c>
      <c r="P143">
        <v>1995.16171099999</v>
      </c>
      <c r="Q143">
        <v>1777.515604964</v>
      </c>
    </row>
    <row r="144" spans="1:17" x14ac:dyDescent="0.3">
      <c r="A144">
        <v>13</v>
      </c>
      <c r="B144" t="s">
        <v>12</v>
      </c>
      <c r="C144">
        <v>352.27136684342503</v>
      </c>
      <c r="D144">
        <v>4.5317647058823498</v>
      </c>
      <c r="F144">
        <v>21</v>
      </c>
      <c r="G144" t="s">
        <v>26</v>
      </c>
      <c r="H144">
        <v>1067</v>
      </c>
      <c r="I144">
        <v>1067</v>
      </c>
      <c r="J144">
        <v>37.233364573570697</v>
      </c>
      <c r="K144">
        <v>141.964078827886</v>
      </c>
      <c r="L144">
        <v>11.2168285722035</v>
      </c>
      <c r="M144">
        <v>359.37357174129198</v>
      </c>
      <c r="N144">
        <v>0</v>
      </c>
      <c r="O144">
        <v>0</v>
      </c>
      <c r="P144">
        <v>1979.56247099999</v>
      </c>
      <c r="Q144">
        <v>1759.9000179519901</v>
      </c>
    </row>
    <row r="145" spans="1:17" x14ac:dyDescent="0.3">
      <c r="A145">
        <v>13</v>
      </c>
      <c r="B145" t="s">
        <v>13</v>
      </c>
      <c r="C145">
        <v>350.88556168122602</v>
      </c>
      <c r="D145">
        <v>1.3518373729476101</v>
      </c>
      <c r="F145">
        <v>21</v>
      </c>
      <c r="G145" t="s">
        <v>27</v>
      </c>
      <c r="H145">
        <v>714</v>
      </c>
      <c r="I145">
        <v>714</v>
      </c>
      <c r="J145">
        <v>35.275910364145602</v>
      </c>
      <c r="K145">
        <v>96.591194792797793</v>
      </c>
      <c r="L145">
        <v>11.2168285722035</v>
      </c>
      <c r="M145">
        <v>241.76866967960001</v>
      </c>
      <c r="N145">
        <v>0</v>
      </c>
      <c r="O145">
        <v>0</v>
      </c>
      <c r="P145">
        <v>1334.26971399999</v>
      </c>
      <c r="Q145">
        <v>1185.131318663</v>
      </c>
    </row>
    <row r="146" spans="1:17" x14ac:dyDescent="0.3">
      <c r="A146">
        <v>14</v>
      </c>
      <c r="B146" t="s">
        <v>3</v>
      </c>
      <c r="C146">
        <v>15.3255323909748</v>
      </c>
      <c r="D146">
        <v>4</v>
      </c>
      <c r="F146">
        <v>21</v>
      </c>
      <c r="G146" t="s">
        <v>28</v>
      </c>
      <c r="H146">
        <v>714</v>
      </c>
      <c r="I146">
        <v>714</v>
      </c>
      <c r="J146">
        <v>35.275910364145602</v>
      </c>
      <c r="K146">
        <v>95.260044778003405</v>
      </c>
      <c r="L146">
        <v>11.2168285722035</v>
      </c>
      <c r="M146">
        <v>243.092331010804</v>
      </c>
      <c r="N146">
        <v>0</v>
      </c>
      <c r="O146">
        <v>0</v>
      </c>
      <c r="P146">
        <v>1248.09289899999</v>
      </c>
      <c r="Q146">
        <v>1109.3543907599999</v>
      </c>
    </row>
    <row r="147" spans="1:17" x14ac:dyDescent="0.3">
      <c r="A147">
        <v>14</v>
      </c>
      <c r="B147" t="s">
        <v>4</v>
      </c>
      <c r="C147">
        <v>15.1829571256759</v>
      </c>
      <c r="D147">
        <v>3.5</v>
      </c>
      <c r="F147">
        <v>21</v>
      </c>
      <c r="G147" t="s">
        <v>29</v>
      </c>
      <c r="H147">
        <v>0</v>
      </c>
      <c r="I147">
        <v>0</v>
      </c>
      <c r="J147">
        <v>0</v>
      </c>
      <c r="K147">
        <v>0</v>
      </c>
      <c r="L147">
        <v>11.2168285722035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3">
      <c r="A148">
        <v>14</v>
      </c>
      <c r="B148" t="s">
        <v>5</v>
      </c>
      <c r="C148">
        <v>20.0230818544443</v>
      </c>
      <c r="D148">
        <v>5</v>
      </c>
      <c r="F148">
        <v>21</v>
      </c>
      <c r="G148" t="s">
        <v>30</v>
      </c>
      <c r="H148">
        <v>0</v>
      </c>
      <c r="I148">
        <v>0</v>
      </c>
      <c r="J148">
        <v>0</v>
      </c>
      <c r="K148">
        <v>0</v>
      </c>
      <c r="L148">
        <v>11.2168285722035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3">
      <c r="A149">
        <v>14</v>
      </c>
      <c r="B149" t="s">
        <v>6</v>
      </c>
      <c r="C149">
        <v>64.373580984190099</v>
      </c>
      <c r="D149">
        <v>3.3644067796610102</v>
      </c>
      <c r="F149">
        <v>21</v>
      </c>
      <c r="G149" t="s">
        <v>31</v>
      </c>
      <c r="H149">
        <v>0</v>
      </c>
      <c r="I149">
        <v>0</v>
      </c>
      <c r="J149">
        <v>0</v>
      </c>
      <c r="K149">
        <v>0</v>
      </c>
      <c r="L149">
        <v>11.2168285722035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3">
      <c r="A150">
        <v>14</v>
      </c>
      <c r="B150" t="s">
        <v>7</v>
      </c>
      <c r="C150">
        <v>65.752881426573893</v>
      </c>
      <c r="D150">
        <v>3.7</v>
      </c>
      <c r="F150">
        <v>21</v>
      </c>
      <c r="G150" t="s">
        <v>32</v>
      </c>
      <c r="H150">
        <v>0</v>
      </c>
      <c r="I150">
        <v>0</v>
      </c>
      <c r="J150">
        <v>0</v>
      </c>
      <c r="K150">
        <v>0</v>
      </c>
      <c r="L150">
        <v>11.2168285722035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3">
      <c r="A151">
        <v>14</v>
      </c>
      <c r="B151" t="s">
        <v>8</v>
      </c>
      <c r="C151">
        <v>78.557790561887899</v>
      </c>
      <c r="D151">
        <v>4</v>
      </c>
      <c r="F151">
        <v>22</v>
      </c>
      <c r="G151" t="s">
        <v>25</v>
      </c>
      <c r="H151">
        <v>730</v>
      </c>
      <c r="I151">
        <v>730</v>
      </c>
      <c r="J151">
        <v>25.658904109588999</v>
      </c>
      <c r="K151">
        <v>103.690573867247</v>
      </c>
      <c r="L151">
        <v>9.9975615266113298</v>
      </c>
      <c r="M151">
        <v>246.14897272270599</v>
      </c>
      <c r="N151">
        <v>0</v>
      </c>
      <c r="O151">
        <v>0</v>
      </c>
      <c r="P151">
        <v>1439.6967609999999</v>
      </c>
      <c r="Q151">
        <v>1269.863157211</v>
      </c>
    </row>
    <row r="152" spans="1:17" x14ac:dyDescent="0.3">
      <c r="A152">
        <v>14</v>
      </c>
      <c r="B152" t="s">
        <v>9</v>
      </c>
      <c r="C152">
        <v>81.857254178710605</v>
      </c>
      <c r="D152">
        <v>3.5</v>
      </c>
      <c r="F152">
        <v>22</v>
      </c>
      <c r="G152" t="s">
        <v>26</v>
      </c>
      <c r="H152">
        <v>718</v>
      </c>
      <c r="I152">
        <v>718</v>
      </c>
      <c r="J152">
        <v>25.268802228412198</v>
      </c>
      <c r="K152">
        <v>102.607848830796</v>
      </c>
      <c r="L152">
        <v>9.9975615266113298</v>
      </c>
      <c r="M152">
        <v>241.50240754647299</v>
      </c>
      <c r="N152">
        <v>0</v>
      </c>
      <c r="O152">
        <v>0</v>
      </c>
      <c r="P152">
        <v>1406.1370279999901</v>
      </c>
      <c r="Q152">
        <v>1233.409666019</v>
      </c>
    </row>
    <row r="153" spans="1:17" x14ac:dyDescent="0.3">
      <c r="A153">
        <v>14</v>
      </c>
      <c r="B153" t="s">
        <v>10</v>
      </c>
      <c r="C153">
        <v>117.324359192104</v>
      </c>
      <c r="D153">
        <v>1.7307692307692299</v>
      </c>
      <c r="F153">
        <v>22</v>
      </c>
      <c r="G153" t="s">
        <v>27</v>
      </c>
      <c r="H153">
        <v>711</v>
      </c>
      <c r="I153">
        <v>711</v>
      </c>
      <c r="J153">
        <v>24.992967651195499</v>
      </c>
      <c r="K153">
        <v>101.77730507842899</v>
      </c>
      <c r="L153">
        <v>9.9975615266113298</v>
      </c>
      <c r="M153">
        <v>241.02198134657201</v>
      </c>
      <c r="N153">
        <v>0</v>
      </c>
      <c r="O153">
        <v>0</v>
      </c>
      <c r="P153">
        <v>1405.85581999999</v>
      </c>
      <c r="Q153">
        <v>1233.1218014029901</v>
      </c>
    </row>
    <row r="154" spans="1:17" x14ac:dyDescent="0.3">
      <c r="A154">
        <v>14</v>
      </c>
      <c r="B154" t="s">
        <v>11</v>
      </c>
      <c r="C154">
        <v>275.14628054013701</v>
      </c>
      <c r="D154">
        <v>3.96523517382413</v>
      </c>
      <c r="F154">
        <v>22</v>
      </c>
      <c r="G154" t="s">
        <v>28</v>
      </c>
      <c r="H154">
        <v>476</v>
      </c>
      <c r="I154">
        <v>476</v>
      </c>
      <c r="J154">
        <v>23.716386554621799</v>
      </c>
      <c r="K154">
        <v>69.309930650790506</v>
      </c>
      <c r="L154">
        <v>9.9975615266113298</v>
      </c>
      <c r="M154">
        <v>159.90378443914599</v>
      </c>
      <c r="N154">
        <v>0</v>
      </c>
      <c r="O154">
        <v>0</v>
      </c>
      <c r="P154">
        <v>943.45328599999903</v>
      </c>
      <c r="Q154">
        <v>824.63132346399902</v>
      </c>
    </row>
    <row r="155" spans="1:17" x14ac:dyDescent="0.3">
      <c r="A155">
        <v>14</v>
      </c>
      <c r="B155" t="s">
        <v>12</v>
      </c>
      <c r="C155">
        <v>353.685226213889</v>
      </c>
      <c r="D155">
        <v>4.5384615384615303</v>
      </c>
      <c r="F155">
        <v>22</v>
      </c>
      <c r="G155" t="s">
        <v>29</v>
      </c>
      <c r="H155">
        <v>476</v>
      </c>
      <c r="I155">
        <v>476</v>
      </c>
      <c r="J155">
        <v>23.716386554621799</v>
      </c>
      <c r="K155">
        <v>68.212857731576506</v>
      </c>
      <c r="L155">
        <v>9.9975615266113298</v>
      </c>
      <c r="M155">
        <v>160.67782113393301</v>
      </c>
      <c r="N155">
        <v>0</v>
      </c>
      <c r="O155">
        <v>0</v>
      </c>
      <c r="P155">
        <v>900.31576399999994</v>
      </c>
      <c r="Q155">
        <v>792.28537776600001</v>
      </c>
    </row>
    <row r="156" spans="1:17" x14ac:dyDescent="0.3">
      <c r="A156">
        <v>14</v>
      </c>
      <c r="B156" t="s">
        <v>13</v>
      </c>
      <c r="C156">
        <v>354.76885429830901</v>
      </c>
      <c r="D156">
        <v>1.33877233877233</v>
      </c>
      <c r="F156">
        <v>22</v>
      </c>
      <c r="G156" t="s">
        <v>30</v>
      </c>
      <c r="H156">
        <v>476</v>
      </c>
      <c r="I156">
        <v>476</v>
      </c>
      <c r="J156">
        <v>23.716386554621799</v>
      </c>
      <c r="K156">
        <v>68.238857920353595</v>
      </c>
      <c r="L156">
        <v>9.9975615266113298</v>
      </c>
      <c r="M156">
        <v>160.44997753113799</v>
      </c>
      <c r="N156">
        <v>0</v>
      </c>
      <c r="O156">
        <v>0</v>
      </c>
      <c r="P156">
        <v>881.88074900000004</v>
      </c>
      <c r="Q156">
        <v>774.46655932500005</v>
      </c>
    </row>
    <row r="157" spans="1:17" x14ac:dyDescent="0.3">
      <c r="A157">
        <v>15</v>
      </c>
      <c r="B157" t="s">
        <v>3</v>
      </c>
      <c r="C157">
        <v>15.234435841500201</v>
      </c>
      <c r="D157">
        <v>4</v>
      </c>
      <c r="F157">
        <v>22</v>
      </c>
      <c r="G157" t="s">
        <v>31</v>
      </c>
      <c r="H157">
        <v>0</v>
      </c>
      <c r="I157">
        <v>0</v>
      </c>
      <c r="J157">
        <v>0</v>
      </c>
      <c r="K157">
        <v>0</v>
      </c>
      <c r="L157">
        <v>9.9975615266113298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3">
      <c r="A158">
        <v>15</v>
      </c>
      <c r="B158" t="s">
        <v>4</v>
      </c>
      <c r="C158">
        <v>15.332763710576399</v>
      </c>
      <c r="D158">
        <v>3.5</v>
      </c>
      <c r="F158">
        <v>22</v>
      </c>
      <c r="G158" t="s">
        <v>32</v>
      </c>
      <c r="H158">
        <v>0</v>
      </c>
      <c r="I158">
        <v>0</v>
      </c>
      <c r="J158">
        <v>0</v>
      </c>
      <c r="K158">
        <v>0</v>
      </c>
      <c r="L158">
        <v>9.9975615266113298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3">
      <c r="A159">
        <v>15</v>
      </c>
      <c r="B159" t="s">
        <v>5</v>
      </c>
      <c r="C159">
        <v>20.043423646326399</v>
      </c>
      <c r="D159">
        <v>5</v>
      </c>
      <c r="F159">
        <v>22</v>
      </c>
      <c r="G159" t="s">
        <v>33</v>
      </c>
      <c r="H159">
        <v>0</v>
      </c>
      <c r="I159">
        <v>0</v>
      </c>
      <c r="J159">
        <v>0</v>
      </c>
      <c r="K159">
        <v>0</v>
      </c>
      <c r="L159">
        <v>9.9975615266113298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3">
      <c r="A160">
        <v>15</v>
      </c>
      <c r="B160" t="s">
        <v>6</v>
      </c>
      <c r="C160">
        <v>64.632847024109097</v>
      </c>
      <c r="D160">
        <v>3.3813559322033799</v>
      </c>
      <c r="F160">
        <v>22</v>
      </c>
      <c r="G160" t="s">
        <v>34</v>
      </c>
      <c r="H160">
        <v>0</v>
      </c>
      <c r="I160">
        <v>0</v>
      </c>
      <c r="J160">
        <v>0</v>
      </c>
      <c r="K160">
        <v>0</v>
      </c>
      <c r="L160">
        <v>9.9975615266113298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3">
      <c r="A161">
        <v>15</v>
      </c>
      <c r="B161" t="s">
        <v>7</v>
      </c>
      <c r="C161">
        <v>66.367200507912401</v>
      </c>
      <c r="D161">
        <v>3.68333333333333</v>
      </c>
      <c r="F161">
        <v>22</v>
      </c>
      <c r="G161" t="s">
        <v>35</v>
      </c>
      <c r="H161">
        <v>0</v>
      </c>
      <c r="I161">
        <v>0</v>
      </c>
      <c r="J161">
        <v>0</v>
      </c>
      <c r="K161">
        <v>0</v>
      </c>
      <c r="L161">
        <v>9.9975615266113298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3">
      <c r="A162">
        <v>15</v>
      </c>
      <c r="B162" t="s">
        <v>8</v>
      </c>
      <c r="C162">
        <v>79.545360301356396</v>
      </c>
      <c r="D162">
        <v>4</v>
      </c>
      <c r="F162">
        <v>22</v>
      </c>
      <c r="G162" t="s">
        <v>36</v>
      </c>
      <c r="H162">
        <v>0</v>
      </c>
      <c r="I162">
        <v>0</v>
      </c>
      <c r="J162">
        <v>0</v>
      </c>
      <c r="K162">
        <v>0</v>
      </c>
      <c r="L162">
        <v>9.9975615266113298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3">
      <c r="A163">
        <v>15</v>
      </c>
      <c r="B163" t="s">
        <v>9</v>
      </c>
      <c r="C163">
        <v>81.592056881870207</v>
      </c>
      <c r="D163">
        <v>3.5</v>
      </c>
      <c r="F163">
        <v>23</v>
      </c>
      <c r="G163" t="s">
        <v>25</v>
      </c>
      <c r="H163">
        <v>730</v>
      </c>
      <c r="I163">
        <v>730</v>
      </c>
      <c r="J163">
        <v>25.658904109588999</v>
      </c>
      <c r="K163">
        <v>103.818535765612</v>
      </c>
      <c r="L163">
        <v>9.9291351271179895</v>
      </c>
      <c r="M163">
        <v>247.605271643566</v>
      </c>
      <c r="N163">
        <v>0</v>
      </c>
      <c r="O163">
        <v>0</v>
      </c>
      <c r="P163">
        <v>1436.4884809999901</v>
      </c>
      <c r="Q163">
        <v>1268.842550089</v>
      </c>
    </row>
    <row r="164" spans="1:17" x14ac:dyDescent="0.3">
      <c r="A164">
        <v>15</v>
      </c>
      <c r="B164" t="s">
        <v>10</v>
      </c>
      <c r="C164">
        <v>117.590819340018</v>
      </c>
      <c r="D164">
        <v>1.74867256637168</v>
      </c>
      <c r="F164">
        <v>23</v>
      </c>
      <c r="G164" t="s">
        <v>26</v>
      </c>
      <c r="H164">
        <v>718</v>
      </c>
      <c r="I164">
        <v>718</v>
      </c>
      <c r="J164">
        <v>25.268802228412198</v>
      </c>
      <c r="K164">
        <v>102.97091217253499</v>
      </c>
      <c r="L164">
        <v>9.9291351271179895</v>
      </c>
      <c r="M164">
        <v>239.844681987435</v>
      </c>
      <c r="N164">
        <v>0</v>
      </c>
      <c r="O164">
        <v>0</v>
      </c>
      <c r="P164">
        <v>1410.1781839999901</v>
      </c>
      <c r="Q164">
        <v>1239.0404092230001</v>
      </c>
    </row>
    <row r="165" spans="1:17" x14ac:dyDescent="0.3">
      <c r="A165">
        <v>15</v>
      </c>
      <c r="B165" t="s">
        <v>11</v>
      </c>
      <c r="C165">
        <v>273.61510417848098</v>
      </c>
      <c r="D165">
        <v>3.9610655737704898</v>
      </c>
      <c r="F165">
        <v>23</v>
      </c>
      <c r="G165" t="s">
        <v>27</v>
      </c>
      <c r="H165">
        <v>711</v>
      </c>
      <c r="I165">
        <v>711</v>
      </c>
      <c r="J165">
        <v>24.992967651195499</v>
      </c>
      <c r="K165">
        <v>101.502372198232</v>
      </c>
      <c r="L165">
        <v>9.9291351271179895</v>
      </c>
      <c r="M165">
        <v>241.539423927239</v>
      </c>
      <c r="N165">
        <v>0</v>
      </c>
      <c r="O165">
        <v>0</v>
      </c>
      <c r="P165">
        <v>1412.40597799999</v>
      </c>
      <c r="Q165">
        <v>1239.10190742899</v>
      </c>
    </row>
    <row r="166" spans="1:17" x14ac:dyDescent="0.3">
      <c r="A166">
        <v>15</v>
      </c>
      <c r="B166" t="s">
        <v>12</v>
      </c>
      <c r="C166">
        <v>352.41214824628099</v>
      </c>
      <c r="D166">
        <v>4.5395348837209299</v>
      </c>
      <c r="F166">
        <v>23</v>
      </c>
      <c r="G166" t="s">
        <v>28</v>
      </c>
      <c r="H166">
        <v>476</v>
      </c>
      <c r="I166">
        <v>476</v>
      </c>
      <c r="J166">
        <v>23.716386554621799</v>
      </c>
      <c r="K166">
        <v>69.611023688892701</v>
      </c>
      <c r="L166">
        <v>9.9291351271179895</v>
      </c>
      <c r="M166">
        <v>159.65286593367199</v>
      </c>
      <c r="N166">
        <v>0</v>
      </c>
      <c r="O166">
        <v>0</v>
      </c>
      <c r="P166">
        <v>943.45328599999903</v>
      </c>
      <c r="Q166">
        <v>825.08352421299901</v>
      </c>
    </row>
    <row r="167" spans="1:17" x14ac:dyDescent="0.3">
      <c r="A167">
        <v>15</v>
      </c>
      <c r="B167" t="s">
        <v>13</v>
      </c>
      <c r="C167">
        <v>352.01733107077899</v>
      </c>
      <c r="D167">
        <v>1.33877233877233</v>
      </c>
      <c r="F167">
        <v>23</v>
      </c>
      <c r="G167" t="s">
        <v>29</v>
      </c>
      <c r="H167">
        <v>476</v>
      </c>
      <c r="I167">
        <v>476</v>
      </c>
      <c r="J167">
        <v>23.716386554621799</v>
      </c>
      <c r="K167">
        <v>68.132946363258199</v>
      </c>
      <c r="L167">
        <v>9.9291351271179895</v>
      </c>
      <c r="M167">
        <v>160.73165739818</v>
      </c>
      <c r="N167">
        <v>0</v>
      </c>
      <c r="O167">
        <v>0</v>
      </c>
      <c r="P167">
        <v>900.15608799999995</v>
      </c>
      <c r="Q167">
        <v>791.84068160300001</v>
      </c>
    </row>
    <row r="168" spans="1:17" x14ac:dyDescent="0.3">
      <c r="A168">
        <v>16</v>
      </c>
      <c r="B168" t="s">
        <v>3</v>
      </c>
      <c r="C168">
        <v>15.497973540003899</v>
      </c>
      <c r="D168">
        <v>4</v>
      </c>
      <c r="F168">
        <v>23</v>
      </c>
      <c r="G168" t="s">
        <v>30</v>
      </c>
      <c r="H168">
        <v>476</v>
      </c>
      <c r="I168">
        <v>476</v>
      </c>
      <c r="J168">
        <v>23.716386554621799</v>
      </c>
      <c r="K168">
        <v>68.544534126753007</v>
      </c>
      <c r="L168">
        <v>9.9291351271179895</v>
      </c>
      <c r="M168">
        <v>161.98058461830001</v>
      </c>
      <c r="N168">
        <v>0</v>
      </c>
      <c r="O168">
        <v>0</v>
      </c>
      <c r="P168">
        <v>895.56841199999997</v>
      </c>
      <c r="Q168">
        <v>784.21838716599996</v>
      </c>
    </row>
    <row r="169" spans="1:17" x14ac:dyDescent="0.3">
      <c r="A169">
        <v>16</v>
      </c>
      <c r="B169" t="s">
        <v>4</v>
      </c>
      <c r="C169">
        <v>15.332525549981799</v>
      </c>
      <c r="D169">
        <v>3.5</v>
      </c>
      <c r="F169">
        <v>23</v>
      </c>
      <c r="G169" t="s">
        <v>31</v>
      </c>
      <c r="H169">
        <v>0</v>
      </c>
      <c r="I169">
        <v>0</v>
      </c>
      <c r="J169">
        <v>0</v>
      </c>
      <c r="K169">
        <v>0</v>
      </c>
      <c r="L169">
        <v>9.9291351271179895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3">
      <c r="A170">
        <v>16</v>
      </c>
      <c r="B170" t="s">
        <v>5</v>
      </c>
      <c r="C170">
        <v>19.736426958160301</v>
      </c>
      <c r="D170">
        <v>5</v>
      </c>
      <c r="F170">
        <v>23</v>
      </c>
      <c r="G170" t="s">
        <v>32</v>
      </c>
      <c r="H170">
        <v>0</v>
      </c>
      <c r="I170">
        <v>0</v>
      </c>
      <c r="J170">
        <v>0</v>
      </c>
      <c r="K170">
        <v>0</v>
      </c>
      <c r="L170">
        <v>9.9291351271179895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3">
      <c r="A171">
        <v>16</v>
      </c>
      <c r="B171" t="s">
        <v>6</v>
      </c>
      <c r="C171">
        <v>65.151211597175902</v>
      </c>
      <c r="D171">
        <v>3.3644067796610102</v>
      </c>
      <c r="F171">
        <v>23</v>
      </c>
      <c r="G171" t="s">
        <v>33</v>
      </c>
      <c r="H171">
        <v>0</v>
      </c>
      <c r="I171">
        <v>0</v>
      </c>
      <c r="J171">
        <v>0</v>
      </c>
      <c r="K171">
        <v>0</v>
      </c>
      <c r="L171">
        <v>9.9291351271179895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3">
      <c r="A172">
        <v>16</v>
      </c>
      <c r="B172" t="s">
        <v>7</v>
      </c>
      <c r="C172">
        <v>65.669534055895198</v>
      </c>
      <c r="D172">
        <v>3.6916666666666602</v>
      </c>
      <c r="F172">
        <v>23</v>
      </c>
      <c r="G172" t="s">
        <v>34</v>
      </c>
      <c r="H172">
        <v>0</v>
      </c>
      <c r="I172">
        <v>0</v>
      </c>
      <c r="J172">
        <v>0</v>
      </c>
      <c r="K172">
        <v>0</v>
      </c>
      <c r="L172">
        <v>9.9291351271179895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3">
      <c r="A173">
        <v>16</v>
      </c>
      <c r="B173" t="s">
        <v>8</v>
      </c>
      <c r="C173">
        <v>79.080077135036703</v>
      </c>
      <c r="D173">
        <v>4</v>
      </c>
      <c r="F173">
        <v>23</v>
      </c>
      <c r="G173" t="s">
        <v>35</v>
      </c>
      <c r="H173">
        <v>0</v>
      </c>
      <c r="I173">
        <v>0</v>
      </c>
      <c r="J173">
        <v>0</v>
      </c>
      <c r="K173">
        <v>0</v>
      </c>
      <c r="L173">
        <v>9.9291351271179895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3">
      <c r="A174">
        <v>16</v>
      </c>
      <c r="B174" t="s">
        <v>9</v>
      </c>
      <c r="C174">
        <v>80.762379648164</v>
      </c>
      <c r="D174">
        <v>3.5</v>
      </c>
      <c r="F174">
        <v>23</v>
      </c>
      <c r="G174" t="s">
        <v>36</v>
      </c>
      <c r="H174">
        <v>0</v>
      </c>
      <c r="I174">
        <v>0</v>
      </c>
      <c r="J174">
        <v>0</v>
      </c>
      <c r="K174">
        <v>0</v>
      </c>
      <c r="L174">
        <v>9.9291351271179895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">
      <c r="A175">
        <v>16</v>
      </c>
      <c r="B175" t="s">
        <v>10</v>
      </c>
      <c r="C175">
        <v>117.21693400538901</v>
      </c>
      <c r="D175">
        <v>1.74911660777385</v>
      </c>
      <c r="F175">
        <v>24</v>
      </c>
      <c r="G175" t="s">
        <v>25</v>
      </c>
      <c r="H175">
        <v>1078</v>
      </c>
      <c r="I175">
        <v>1077</v>
      </c>
      <c r="J175">
        <v>37.6669758812615</v>
      </c>
      <c r="K175">
        <v>144.59225904352601</v>
      </c>
      <c r="L175">
        <v>11.2593095391896</v>
      </c>
      <c r="M175">
        <v>366.93564629010802</v>
      </c>
      <c r="N175">
        <v>0</v>
      </c>
      <c r="O175">
        <v>0</v>
      </c>
      <c r="P175">
        <v>1986.15408999999</v>
      </c>
      <c r="Q175">
        <v>1768.1431690909999</v>
      </c>
    </row>
    <row r="176" spans="1:17" x14ac:dyDescent="0.3">
      <c r="A176">
        <v>16</v>
      </c>
      <c r="B176" t="s">
        <v>11</v>
      </c>
      <c r="C176">
        <v>275.47482318179902</v>
      </c>
      <c r="D176">
        <v>3.96523517382413</v>
      </c>
      <c r="F176">
        <v>24</v>
      </c>
      <c r="G176" t="s">
        <v>26</v>
      </c>
      <c r="H176">
        <v>1067</v>
      </c>
      <c r="I176">
        <v>1067</v>
      </c>
      <c r="J176">
        <v>37.233364573570697</v>
      </c>
      <c r="K176">
        <v>142.41039842217899</v>
      </c>
      <c r="L176">
        <v>11.2593095391896</v>
      </c>
      <c r="M176">
        <v>363.107850350999</v>
      </c>
      <c r="N176">
        <v>0</v>
      </c>
      <c r="O176">
        <v>0</v>
      </c>
      <c r="P176">
        <v>1979.6180829999901</v>
      </c>
      <c r="Q176">
        <v>1761.5099441909899</v>
      </c>
    </row>
    <row r="177" spans="1:17" x14ac:dyDescent="0.3">
      <c r="A177">
        <v>16</v>
      </c>
      <c r="B177" t="s">
        <v>12</v>
      </c>
      <c r="C177">
        <v>354.73070659156701</v>
      </c>
      <c r="D177">
        <v>4.5372093023255804</v>
      </c>
      <c r="F177">
        <v>24</v>
      </c>
      <c r="G177" t="s">
        <v>27</v>
      </c>
      <c r="H177">
        <v>714</v>
      </c>
      <c r="I177">
        <v>714</v>
      </c>
      <c r="J177">
        <v>35.275910364145602</v>
      </c>
      <c r="K177">
        <v>96.765335769068898</v>
      </c>
      <c r="L177">
        <v>11.2593095391896</v>
      </c>
      <c r="M177">
        <v>242.19301570356899</v>
      </c>
      <c r="N177">
        <v>0</v>
      </c>
      <c r="O177">
        <v>0</v>
      </c>
      <c r="P177">
        <v>1334.90538699999</v>
      </c>
      <c r="Q177">
        <v>1186.234048133</v>
      </c>
    </row>
    <row r="178" spans="1:17" x14ac:dyDescent="0.3">
      <c r="A178">
        <v>16</v>
      </c>
      <c r="B178" t="s">
        <v>13</v>
      </c>
      <c r="C178">
        <v>353.12547993913</v>
      </c>
      <c r="D178">
        <v>1.33877233877233</v>
      </c>
      <c r="F178">
        <v>24</v>
      </c>
      <c r="G178" t="s">
        <v>28</v>
      </c>
      <c r="H178">
        <v>714</v>
      </c>
      <c r="I178">
        <v>714</v>
      </c>
      <c r="J178">
        <v>35.275910364145602</v>
      </c>
      <c r="K178">
        <v>95.441579809045805</v>
      </c>
      <c r="L178">
        <v>11.2593095391896</v>
      </c>
      <c r="M178">
        <v>243.76891788780901</v>
      </c>
      <c r="N178">
        <v>0</v>
      </c>
      <c r="O178">
        <v>0</v>
      </c>
      <c r="P178">
        <v>1248.4020829999899</v>
      </c>
      <c r="Q178">
        <v>1111.1399500560001</v>
      </c>
    </row>
    <row r="179" spans="1:17" x14ac:dyDescent="0.3">
      <c r="A179">
        <v>17</v>
      </c>
      <c r="B179" t="s">
        <v>3</v>
      </c>
      <c r="C179">
        <v>15.605369654844299</v>
      </c>
      <c r="D179">
        <v>4.32</v>
      </c>
      <c r="F179">
        <v>24</v>
      </c>
      <c r="G179" t="s">
        <v>29</v>
      </c>
      <c r="H179">
        <v>0</v>
      </c>
      <c r="I179">
        <v>0</v>
      </c>
      <c r="J179">
        <v>0</v>
      </c>
      <c r="K179">
        <v>0</v>
      </c>
      <c r="L179">
        <v>11.2593095391896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3">
      <c r="A180">
        <v>17</v>
      </c>
      <c r="B180" t="s">
        <v>4</v>
      </c>
      <c r="C180">
        <v>15.1516269881232</v>
      </c>
      <c r="D180">
        <v>4.3846153846153797</v>
      </c>
      <c r="F180">
        <v>24</v>
      </c>
      <c r="G180" t="s">
        <v>30</v>
      </c>
      <c r="H180">
        <v>0</v>
      </c>
      <c r="I180">
        <v>0</v>
      </c>
      <c r="J180">
        <v>0</v>
      </c>
      <c r="K180">
        <v>0</v>
      </c>
      <c r="L180">
        <v>11.2593095391896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3">
      <c r="A181">
        <v>17</v>
      </c>
      <c r="B181" t="s">
        <v>5</v>
      </c>
      <c r="C181">
        <v>19.767435897994901</v>
      </c>
      <c r="D181">
        <v>4.5</v>
      </c>
      <c r="F181">
        <v>24</v>
      </c>
      <c r="G181" t="s">
        <v>31</v>
      </c>
      <c r="H181">
        <v>0</v>
      </c>
      <c r="I181">
        <v>0</v>
      </c>
      <c r="J181">
        <v>0</v>
      </c>
      <c r="K181">
        <v>0</v>
      </c>
      <c r="L181">
        <v>11.2593095391896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3">
      <c r="A182">
        <v>17</v>
      </c>
      <c r="B182" t="s">
        <v>6</v>
      </c>
      <c r="C182">
        <v>64.283205028043</v>
      </c>
      <c r="D182">
        <v>4.0862068965517198</v>
      </c>
      <c r="F182">
        <v>24</v>
      </c>
      <c r="G182" t="s">
        <v>32</v>
      </c>
      <c r="H182">
        <v>0</v>
      </c>
      <c r="I182">
        <v>0</v>
      </c>
      <c r="J182">
        <v>0</v>
      </c>
      <c r="K182">
        <v>0</v>
      </c>
      <c r="L182">
        <v>11.2593095391896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3">
      <c r="A183">
        <v>17</v>
      </c>
      <c r="B183" t="s">
        <v>7</v>
      </c>
      <c r="C183">
        <v>65.370849489308796</v>
      </c>
      <c r="D183">
        <v>3.5</v>
      </c>
      <c r="F183">
        <v>25</v>
      </c>
      <c r="G183" t="s">
        <v>25</v>
      </c>
      <c r="H183">
        <v>730</v>
      </c>
      <c r="I183">
        <v>730</v>
      </c>
      <c r="J183">
        <v>25.658904109588999</v>
      </c>
      <c r="K183">
        <v>104.135251092513</v>
      </c>
      <c r="L183">
        <v>10.028663662313599</v>
      </c>
      <c r="M183">
        <v>248.02031528266801</v>
      </c>
      <c r="N183">
        <v>0</v>
      </c>
      <c r="O183">
        <v>0</v>
      </c>
      <c r="P183">
        <v>1435.6869469999999</v>
      </c>
      <c r="Q183">
        <v>1268.0104667529999</v>
      </c>
    </row>
    <row r="184" spans="1:17" x14ac:dyDescent="0.3">
      <c r="A184">
        <v>17</v>
      </c>
      <c r="B184" t="s">
        <v>8</v>
      </c>
      <c r="C184">
        <v>78.148847051705502</v>
      </c>
      <c r="D184">
        <v>4</v>
      </c>
      <c r="F184">
        <v>25</v>
      </c>
      <c r="G184" t="s">
        <v>26</v>
      </c>
      <c r="H184">
        <v>718</v>
      </c>
      <c r="I184">
        <v>718</v>
      </c>
      <c r="J184">
        <v>25.268802228412198</v>
      </c>
      <c r="K184">
        <v>102.94014617692601</v>
      </c>
      <c r="L184">
        <v>10.028663662313599</v>
      </c>
      <c r="M184">
        <v>242.54821974906099</v>
      </c>
      <c r="N184">
        <v>0</v>
      </c>
      <c r="O184">
        <v>0</v>
      </c>
      <c r="P184">
        <v>1418.21094099999</v>
      </c>
      <c r="Q184">
        <v>1243.3094368009999</v>
      </c>
    </row>
    <row r="185" spans="1:17" x14ac:dyDescent="0.3">
      <c r="A185">
        <v>17</v>
      </c>
      <c r="B185" t="s">
        <v>9</v>
      </c>
      <c r="C185">
        <v>81.4473322699953</v>
      </c>
      <c r="D185">
        <v>3.5448275862068899</v>
      </c>
      <c r="F185">
        <v>25</v>
      </c>
      <c r="G185" t="s">
        <v>27</v>
      </c>
      <c r="H185">
        <v>711</v>
      </c>
      <c r="I185">
        <v>711</v>
      </c>
      <c r="J185">
        <v>24.992967651195499</v>
      </c>
      <c r="K185">
        <v>101.880038523678</v>
      </c>
      <c r="L185">
        <v>10.028663662313599</v>
      </c>
      <c r="M185">
        <v>239.938161546798</v>
      </c>
      <c r="N185">
        <v>0</v>
      </c>
      <c r="O185">
        <v>0</v>
      </c>
      <c r="P185">
        <v>1407.6022539999899</v>
      </c>
      <c r="Q185">
        <v>1235.52873423799</v>
      </c>
    </row>
    <row r="186" spans="1:17" x14ac:dyDescent="0.3">
      <c r="A186">
        <v>17</v>
      </c>
      <c r="B186" t="s">
        <v>10</v>
      </c>
      <c r="C186">
        <v>117.35943785624499</v>
      </c>
      <c r="D186">
        <v>1.3891547049441699</v>
      </c>
      <c r="F186">
        <v>25</v>
      </c>
      <c r="G186" t="s">
        <v>28</v>
      </c>
      <c r="H186">
        <v>476</v>
      </c>
      <c r="I186">
        <v>476</v>
      </c>
      <c r="J186">
        <v>23.716386554621799</v>
      </c>
      <c r="K186">
        <v>68.7517990583342</v>
      </c>
      <c r="L186">
        <v>10.028663662313599</v>
      </c>
      <c r="M186">
        <v>159.37946608436701</v>
      </c>
      <c r="N186">
        <v>0</v>
      </c>
      <c r="O186">
        <v>0</v>
      </c>
      <c r="P186">
        <v>930.02039899999897</v>
      </c>
      <c r="Q186">
        <v>814.59651540499897</v>
      </c>
    </row>
    <row r="187" spans="1:17" x14ac:dyDescent="0.3">
      <c r="A187">
        <v>17</v>
      </c>
      <c r="B187" t="s">
        <v>11</v>
      </c>
      <c r="C187">
        <v>274.68178205003102</v>
      </c>
      <c r="D187">
        <v>4.0797546012269903</v>
      </c>
      <c r="F187">
        <v>25</v>
      </c>
      <c r="G187" t="s">
        <v>29</v>
      </c>
      <c r="H187">
        <v>476</v>
      </c>
      <c r="I187">
        <v>476</v>
      </c>
      <c r="J187">
        <v>23.716386554621799</v>
      </c>
      <c r="K187">
        <v>68.455903310972204</v>
      </c>
      <c r="L187">
        <v>10.028663662313599</v>
      </c>
      <c r="M187">
        <v>161.85690141615899</v>
      </c>
      <c r="N187">
        <v>0</v>
      </c>
      <c r="O187">
        <v>0</v>
      </c>
      <c r="P187">
        <v>900.31576399999994</v>
      </c>
      <c r="Q187">
        <v>792.96330932900003</v>
      </c>
    </row>
    <row r="188" spans="1:17" x14ac:dyDescent="0.3">
      <c r="A188">
        <v>17</v>
      </c>
      <c r="B188" t="s">
        <v>12</v>
      </c>
      <c r="C188">
        <v>353.95000060062603</v>
      </c>
      <c r="D188">
        <v>4.5510688836104496</v>
      </c>
      <c r="F188">
        <v>25</v>
      </c>
      <c r="G188" t="s">
        <v>30</v>
      </c>
      <c r="H188">
        <v>476</v>
      </c>
      <c r="I188">
        <v>476</v>
      </c>
      <c r="J188">
        <v>23.716386554621799</v>
      </c>
      <c r="K188">
        <v>68.309007071270699</v>
      </c>
      <c r="L188">
        <v>10.028663662313599</v>
      </c>
      <c r="M188">
        <v>161.72523906089</v>
      </c>
      <c r="N188">
        <v>0</v>
      </c>
      <c r="O188">
        <v>0</v>
      </c>
      <c r="P188">
        <v>882.022695</v>
      </c>
      <c r="Q188">
        <v>774.67869654200001</v>
      </c>
    </row>
    <row r="189" spans="1:17" x14ac:dyDescent="0.3">
      <c r="A189">
        <v>17</v>
      </c>
      <c r="B189" t="s">
        <v>13</v>
      </c>
      <c r="C189">
        <v>352.97652656414101</v>
      </c>
      <c r="D189">
        <v>1.36078431372549</v>
      </c>
      <c r="F189">
        <v>25</v>
      </c>
      <c r="G189" t="s">
        <v>31</v>
      </c>
      <c r="H189">
        <v>0</v>
      </c>
      <c r="I189">
        <v>0</v>
      </c>
      <c r="J189">
        <v>0</v>
      </c>
      <c r="K189">
        <v>0</v>
      </c>
      <c r="L189">
        <v>10.028663662313599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3">
      <c r="A190">
        <v>18</v>
      </c>
      <c r="B190" t="s">
        <v>3</v>
      </c>
      <c r="C190">
        <v>15.338222504332601</v>
      </c>
      <c r="D190">
        <v>4.32</v>
      </c>
      <c r="F190">
        <v>25</v>
      </c>
      <c r="G190" t="s">
        <v>32</v>
      </c>
      <c r="H190">
        <v>0</v>
      </c>
      <c r="I190">
        <v>0</v>
      </c>
      <c r="J190">
        <v>0</v>
      </c>
      <c r="K190">
        <v>0</v>
      </c>
      <c r="L190">
        <v>10.028663662313599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3">
      <c r="A191">
        <v>18</v>
      </c>
      <c r="B191" t="s">
        <v>4</v>
      </c>
      <c r="C191">
        <v>15.09895731146</v>
      </c>
      <c r="D191">
        <v>4.3846153846153797</v>
      </c>
      <c r="F191">
        <v>25</v>
      </c>
      <c r="G191" t="s">
        <v>33</v>
      </c>
      <c r="H191">
        <v>0</v>
      </c>
      <c r="I191">
        <v>0</v>
      </c>
      <c r="J191">
        <v>0</v>
      </c>
      <c r="K191">
        <v>0</v>
      </c>
      <c r="L191">
        <v>10.028663662313599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3">
      <c r="A192">
        <v>18</v>
      </c>
      <c r="B192" t="s">
        <v>5</v>
      </c>
      <c r="C192">
        <v>19.511145132254999</v>
      </c>
      <c r="D192">
        <v>4.5</v>
      </c>
      <c r="F192">
        <v>25</v>
      </c>
      <c r="G192" t="s">
        <v>34</v>
      </c>
      <c r="H192">
        <v>0</v>
      </c>
      <c r="I192">
        <v>0</v>
      </c>
      <c r="J192">
        <v>0</v>
      </c>
      <c r="K192">
        <v>0</v>
      </c>
      <c r="L192">
        <v>10.028663662313599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3">
      <c r="A193">
        <v>18</v>
      </c>
      <c r="B193" t="s">
        <v>6</v>
      </c>
      <c r="C193">
        <v>64.935938177200597</v>
      </c>
      <c r="D193">
        <v>4.0862068965517198</v>
      </c>
      <c r="F193">
        <v>25</v>
      </c>
      <c r="G193" t="s">
        <v>35</v>
      </c>
      <c r="H193">
        <v>0</v>
      </c>
      <c r="I193">
        <v>0</v>
      </c>
      <c r="J193">
        <v>0</v>
      </c>
      <c r="K193">
        <v>0</v>
      </c>
      <c r="L193">
        <v>10.028663662313599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3">
      <c r="A194">
        <v>18</v>
      </c>
      <c r="B194" t="s">
        <v>7</v>
      </c>
      <c r="C194">
        <v>65.619530977970399</v>
      </c>
      <c r="D194">
        <v>3.5</v>
      </c>
      <c r="F194">
        <v>25</v>
      </c>
      <c r="G194" t="s">
        <v>36</v>
      </c>
      <c r="H194">
        <v>0</v>
      </c>
      <c r="I194">
        <v>0</v>
      </c>
      <c r="J194">
        <v>0</v>
      </c>
      <c r="K194">
        <v>0</v>
      </c>
      <c r="L194">
        <v>10.028663662313599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3">
      <c r="A195">
        <v>18</v>
      </c>
      <c r="B195" t="s">
        <v>8</v>
      </c>
      <c r="C195">
        <v>78.632562954936205</v>
      </c>
      <c r="D195">
        <v>4</v>
      </c>
      <c r="F195">
        <v>26</v>
      </c>
      <c r="G195" t="s">
        <v>25</v>
      </c>
      <c r="H195">
        <v>730</v>
      </c>
      <c r="I195">
        <v>730</v>
      </c>
      <c r="J195">
        <v>25.658904109588999</v>
      </c>
      <c r="K195">
        <v>103.560117100849</v>
      </c>
      <c r="L195">
        <v>9.8605815042096499</v>
      </c>
      <c r="M195">
        <v>246.240739725418</v>
      </c>
      <c r="N195">
        <v>0</v>
      </c>
      <c r="O195">
        <v>0</v>
      </c>
      <c r="P195">
        <v>1436.486825</v>
      </c>
      <c r="Q195">
        <v>1268.1260370790001</v>
      </c>
    </row>
    <row r="196" spans="1:17" x14ac:dyDescent="0.3">
      <c r="A196">
        <v>18</v>
      </c>
      <c r="B196" t="s">
        <v>9</v>
      </c>
      <c r="C196">
        <v>81.027679517482994</v>
      </c>
      <c r="D196">
        <v>3.5448275862068899</v>
      </c>
      <c r="F196">
        <v>26</v>
      </c>
      <c r="G196" t="s">
        <v>26</v>
      </c>
      <c r="H196">
        <v>718</v>
      </c>
      <c r="I196">
        <v>718</v>
      </c>
      <c r="J196">
        <v>25.268802228412198</v>
      </c>
      <c r="K196">
        <v>103.001002141755</v>
      </c>
      <c r="L196">
        <v>9.8605815042096499</v>
      </c>
      <c r="M196">
        <v>241.38624242707499</v>
      </c>
      <c r="N196">
        <v>0</v>
      </c>
      <c r="O196">
        <v>0</v>
      </c>
      <c r="P196">
        <v>1416.6361119999899</v>
      </c>
      <c r="Q196">
        <v>1242.0022803859999</v>
      </c>
    </row>
    <row r="197" spans="1:17" x14ac:dyDescent="0.3">
      <c r="A197">
        <v>18</v>
      </c>
      <c r="B197" t="s">
        <v>10</v>
      </c>
      <c r="C197">
        <v>117.643296395203</v>
      </c>
      <c r="D197">
        <v>1.3891547049441699</v>
      </c>
      <c r="F197">
        <v>26</v>
      </c>
      <c r="G197" t="s">
        <v>27</v>
      </c>
      <c r="H197">
        <v>711</v>
      </c>
      <c r="I197">
        <v>711</v>
      </c>
      <c r="J197">
        <v>24.992967651195499</v>
      </c>
      <c r="K197">
        <v>101.932468708416</v>
      </c>
      <c r="L197">
        <v>9.8605815042096499</v>
      </c>
      <c r="M197">
        <v>240.492891763286</v>
      </c>
      <c r="N197">
        <v>0</v>
      </c>
      <c r="O197">
        <v>0</v>
      </c>
      <c r="P197">
        <v>1405.86508199999</v>
      </c>
      <c r="Q197">
        <v>1233.1215508729899</v>
      </c>
    </row>
    <row r="198" spans="1:17" x14ac:dyDescent="0.3">
      <c r="A198">
        <v>18</v>
      </c>
      <c r="B198" t="s">
        <v>11</v>
      </c>
      <c r="C198">
        <v>274.27485198905998</v>
      </c>
      <c r="D198">
        <v>4.0797546012269903</v>
      </c>
      <c r="F198">
        <v>26</v>
      </c>
      <c r="G198" t="s">
        <v>28</v>
      </c>
      <c r="H198">
        <v>476</v>
      </c>
      <c r="I198">
        <v>476</v>
      </c>
      <c r="J198">
        <v>23.716386554621799</v>
      </c>
      <c r="K198">
        <v>69.770047834978797</v>
      </c>
      <c r="L198">
        <v>9.8605815042096499</v>
      </c>
      <c r="M198">
        <v>161.21402456489699</v>
      </c>
      <c r="N198">
        <v>0</v>
      </c>
      <c r="O198">
        <v>0</v>
      </c>
      <c r="P198">
        <v>950.21448799999905</v>
      </c>
      <c r="Q198">
        <v>832.44849798099904</v>
      </c>
    </row>
    <row r="199" spans="1:17" x14ac:dyDescent="0.3">
      <c r="A199">
        <v>18</v>
      </c>
      <c r="B199" t="s">
        <v>12</v>
      </c>
      <c r="C199">
        <v>353.22002377713699</v>
      </c>
      <c r="D199">
        <v>4.5510688836104496</v>
      </c>
      <c r="F199">
        <v>26</v>
      </c>
      <c r="G199" t="s">
        <v>29</v>
      </c>
      <c r="H199">
        <v>476</v>
      </c>
      <c r="I199">
        <v>476</v>
      </c>
      <c r="J199">
        <v>23.716386554621799</v>
      </c>
      <c r="K199">
        <v>68.578849397819297</v>
      </c>
      <c r="L199">
        <v>9.8605815042096499</v>
      </c>
      <c r="M199">
        <v>160.84333420194</v>
      </c>
      <c r="N199">
        <v>0</v>
      </c>
      <c r="O199">
        <v>0</v>
      </c>
      <c r="P199">
        <v>900.15608899999995</v>
      </c>
      <c r="Q199">
        <v>790.994772711</v>
      </c>
    </row>
    <row r="200" spans="1:17" x14ac:dyDescent="0.3">
      <c r="A200">
        <v>18</v>
      </c>
      <c r="B200" t="s">
        <v>13</v>
      </c>
      <c r="C200">
        <v>352.183511291797</v>
      </c>
      <c r="D200">
        <v>1.36078431372549</v>
      </c>
      <c r="F200">
        <v>26</v>
      </c>
      <c r="G200" t="s">
        <v>30</v>
      </c>
      <c r="H200">
        <v>476</v>
      </c>
      <c r="I200">
        <v>476</v>
      </c>
      <c r="J200">
        <v>23.716386554621799</v>
      </c>
      <c r="K200">
        <v>68.554092634868695</v>
      </c>
      <c r="L200">
        <v>9.8605815042096499</v>
      </c>
      <c r="M200">
        <v>162.67429233516799</v>
      </c>
      <c r="N200">
        <v>0</v>
      </c>
      <c r="O200">
        <v>0</v>
      </c>
      <c r="P200">
        <v>894.918631</v>
      </c>
      <c r="Q200">
        <v>784.61495011299996</v>
      </c>
    </row>
    <row r="201" spans="1:17" x14ac:dyDescent="0.3">
      <c r="A201">
        <v>19</v>
      </c>
      <c r="B201" t="s">
        <v>3</v>
      </c>
      <c r="C201">
        <v>15.6081531771895</v>
      </c>
      <c r="D201">
        <v>4.32</v>
      </c>
      <c r="F201">
        <v>26</v>
      </c>
      <c r="G201" t="s">
        <v>31</v>
      </c>
      <c r="H201">
        <v>0</v>
      </c>
      <c r="I201">
        <v>0</v>
      </c>
      <c r="J201">
        <v>0</v>
      </c>
      <c r="K201">
        <v>0</v>
      </c>
      <c r="L201">
        <v>9.8605815042096499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3">
      <c r="A202">
        <v>19</v>
      </c>
      <c r="B202" t="s">
        <v>4</v>
      </c>
      <c r="C202">
        <v>15.4668086288716</v>
      </c>
      <c r="D202">
        <v>4.3846153846153797</v>
      </c>
      <c r="F202">
        <v>26</v>
      </c>
      <c r="G202" t="s">
        <v>32</v>
      </c>
      <c r="H202">
        <v>0</v>
      </c>
      <c r="I202">
        <v>0</v>
      </c>
      <c r="J202">
        <v>0</v>
      </c>
      <c r="K202">
        <v>0</v>
      </c>
      <c r="L202">
        <v>9.8605815042096499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">
      <c r="A203">
        <v>19</v>
      </c>
      <c r="B203" t="s">
        <v>5</v>
      </c>
      <c r="C203">
        <v>19.69262077666</v>
      </c>
      <c r="D203">
        <v>4.5</v>
      </c>
      <c r="F203">
        <v>26</v>
      </c>
      <c r="G203" t="s">
        <v>33</v>
      </c>
      <c r="H203">
        <v>0</v>
      </c>
      <c r="I203">
        <v>0</v>
      </c>
      <c r="J203">
        <v>0</v>
      </c>
      <c r="K203">
        <v>0</v>
      </c>
      <c r="L203">
        <v>9.8605815042096499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3">
      <c r="A204">
        <v>19</v>
      </c>
      <c r="B204" t="s">
        <v>6</v>
      </c>
      <c r="C204">
        <v>64.626154524354305</v>
      </c>
      <c r="D204">
        <v>4.0862068965517198</v>
      </c>
      <c r="F204">
        <v>26</v>
      </c>
      <c r="G204" t="s">
        <v>34</v>
      </c>
      <c r="H204">
        <v>0</v>
      </c>
      <c r="I204">
        <v>0</v>
      </c>
      <c r="J204">
        <v>0</v>
      </c>
      <c r="K204">
        <v>0</v>
      </c>
      <c r="L204">
        <v>9.8605815042096499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3">
      <c r="A205">
        <v>19</v>
      </c>
      <c r="B205" t="s">
        <v>7</v>
      </c>
      <c r="C205">
        <v>65.254269042918295</v>
      </c>
      <c r="D205">
        <v>3.5</v>
      </c>
      <c r="F205">
        <v>26</v>
      </c>
      <c r="G205" t="s">
        <v>35</v>
      </c>
      <c r="H205">
        <v>0</v>
      </c>
      <c r="I205">
        <v>0</v>
      </c>
      <c r="J205">
        <v>0</v>
      </c>
      <c r="K205">
        <v>0</v>
      </c>
      <c r="L205">
        <v>9.8605815042096499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3">
      <c r="A206">
        <v>19</v>
      </c>
      <c r="B206" t="s">
        <v>8</v>
      </c>
      <c r="C206">
        <v>78.352334049529006</v>
      </c>
      <c r="D206">
        <v>4</v>
      </c>
      <c r="F206">
        <v>26</v>
      </c>
      <c r="G206" t="s">
        <v>36</v>
      </c>
      <c r="H206">
        <v>0</v>
      </c>
      <c r="I206">
        <v>0</v>
      </c>
      <c r="J206">
        <v>0</v>
      </c>
      <c r="K206">
        <v>0</v>
      </c>
      <c r="L206">
        <v>9.8605815042096499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3">
      <c r="A207">
        <v>19</v>
      </c>
      <c r="B207" t="s">
        <v>9</v>
      </c>
      <c r="C207">
        <v>81.235101303284097</v>
      </c>
      <c r="D207">
        <v>3.5448275862068899</v>
      </c>
      <c r="F207">
        <v>27</v>
      </c>
      <c r="G207" t="s">
        <v>25</v>
      </c>
      <c r="H207">
        <v>730</v>
      </c>
      <c r="I207">
        <v>730</v>
      </c>
      <c r="J207">
        <v>25.658904109588999</v>
      </c>
      <c r="K207">
        <v>104.186261700019</v>
      </c>
      <c r="L207">
        <v>9.9439738342009001</v>
      </c>
      <c r="M207">
        <v>246.92705586886601</v>
      </c>
      <c r="N207">
        <v>0</v>
      </c>
      <c r="O207">
        <v>0</v>
      </c>
      <c r="P207">
        <v>1434.133241</v>
      </c>
      <c r="Q207">
        <v>1266.9400469239999</v>
      </c>
    </row>
    <row r="208" spans="1:17" x14ac:dyDescent="0.3">
      <c r="A208">
        <v>19</v>
      </c>
      <c r="B208" t="s">
        <v>10</v>
      </c>
      <c r="C208">
        <v>116.65530017047701</v>
      </c>
      <c r="D208">
        <v>1.3891547049441699</v>
      </c>
      <c r="F208">
        <v>27</v>
      </c>
      <c r="G208" t="s">
        <v>26</v>
      </c>
      <c r="H208">
        <v>718</v>
      </c>
      <c r="I208">
        <v>718</v>
      </c>
      <c r="J208">
        <v>25.268802228412198</v>
      </c>
      <c r="K208">
        <v>102.512197556774</v>
      </c>
      <c r="L208">
        <v>9.9439738342009001</v>
      </c>
      <c r="M208">
        <v>241.489012804156</v>
      </c>
      <c r="N208">
        <v>0</v>
      </c>
      <c r="O208">
        <v>0</v>
      </c>
      <c r="P208">
        <v>1406.67025499999</v>
      </c>
      <c r="Q208">
        <v>1233.5598502810001</v>
      </c>
    </row>
    <row r="209" spans="1:17" x14ac:dyDescent="0.3">
      <c r="A209">
        <v>19</v>
      </c>
      <c r="B209" t="s">
        <v>11</v>
      </c>
      <c r="C209">
        <v>273.723715498974</v>
      </c>
      <c r="D209">
        <v>4.0797546012269903</v>
      </c>
      <c r="F209">
        <v>27</v>
      </c>
      <c r="G209" t="s">
        <v>27</v>
      </c>
      <c r="H209">
        <v>711</v>
      </c>
      <c r="I209">
        <v>711</v>
      </c>
      <c r="J209">
        <v>24.992967651195499</v>
      </c>
      <c r="K209">
        <v>102.19892246013499</v>
      </c>
      <c r="L209">
        <v>9.9439738342009001</v>
      </c>
      <c r="M209">
        <v>241.112150375711</v>
      </c>
      <c r="N209">
        <v>0</v>
      </c>
      <c r="O209">
        <v>0</v>
      </c>
      <c r="P209">
        <v>1401.8886689999899</v>
      </c>
      <c r="Q209">
        <v>1230.88112038399</v>
      </c>
    </row>
    <row r="210" spans="1:17" x14ac:dyDescent="0.3">
      <c r="A210">
        <v>19</v>
      </c>
      <c r="B210" t="s">
        <v>12</v>
      </c>
      <c r="C210">
        <v>353.06870759999299</v>
      </c>
      <c r="D210">
        <v>4.5510688836104496</v>
      </c>
      <c r="F210">
        <v>27</v>
      </c>
      <c r="G210" t="s">
        <v>28</v>
      </c>
      <c r="H210">
        <v>476</v>
      </c>
      <c r="I210">
        <v>476</v>
      </c>
      <c r="J210">
        <v>23.716386554621799</v>
      </c>
      <c r="K210">
        <v>68.795429271155598</v>
      </c>
      <c r="L210">
        <v>9.9439738342009001</v>
      </c>
      <c r="M210">
        <v>159.36853437034301</v>
      </c>
      <c r="N210">
        <v>0</v>
      </c>
      <c r="O210">
        <v>0</v>
      </c>
      <c r="P210">
        <v>930.02039899999897</v>
      </c>
      <c r="Q210">
        <v>813.97904701399898</v>
      </c>
    </row>
    <row r="211" spans="1:17" x14ac:dyDescent="0.3">
      <c r="A211">
        <v>19</v>
      </c>
      <c r="B211" t="s">
        <v>13</v>
      </c>
      <c r="C211">
        <v>352.04178216240302</v>
      </c>
      <c r="D211">
        <v>1.36078431372549</v>
      </c>
      <c r="F211">
        <v>27</v>
      </c>
      <c r="G211" t="s">
        <v>29</v>
      </c>
      <c r="H211">
        <v>476</v>
      </c>
      <c r="I211">
        <v>476</v>
      </c>
      <c r="J211">
        <v>23.716386554621799</v>
      </c>
      <c r="K211">
        <v>69.186025452489901</v>
      </c>
      <c r="L211">
        <v>9.9439738342009001</v>
      </c>
      <c r="M211">
        <v>160.97008799532799</v>
      </c>
      <c r="N211">
        <v>0</v>
      </c>
      <c r="O211">
        <v>0</v>
      </c>
      <c r="P211">
        <v>917.49265000000003</v>
      </c>
      <c r="Q211">
        <v>805.88791746000004</v>
      </c>
    </row>
    <row r="212" spans="1:17" x14ac:dyDescent="0.3">
      <c r="A212">
        <v>20</v>
      </c>
      <c r="B212" t="s">
        <v>3</v>
      </c>
      <c r="C212">
        <v>15.207830409683901</v>
      </c>
      <c r="D212">
        <v>4.32</v>
      </c>
      <c r="F212">
        <v>27</v>
      </c>
      <c r="G212" t="s">
        <v>30</v>
      </c>
      <c r="H212">
        <v>476</v>
      </c>
      <c r="I212">
        <v>476</v>
      </c>
      <c r="J212">
        <v>23.716386554621799</v>
      </c>
      <c r="K212">
        <v>68.964329315195997</v>
      </c>
      <c r="L212">
        <v>9.9439738342009001</v>
      </c>
      <c r="M212">
        <v>163.29796635810399</v>
      </c>
      <c r="N212">
        <v>0</v>
      </c>
      <c r="O212">
        <v>0</v>
      </c>
      <c r="P212">
        <v>894.918631</v>
      </c>
      <c r="Q212">
        <v>784.62626603299998</v>
      </c>
    </row>
    <row r="213" spans="1:17" x14ac:dyDescent="0.3">
      <c r="A213">
        <v>20</v>
      </c>
      <c r="B213" t="s">
        <v>4</v>
      </c>
      <c r="C213">
        <v>14.938615575224</v>
      </c>
      <c r="D213">
        <v>4.3846153846153797</v>
      </c>
      <c r="F213">
        <v>27</v>
      </c>
      <c r="G213" t="s">
        <v>31</v>
      </c>
      <c r="H213">
        <v>0</v>
      </c>
      <c r="I213">
        <v>0</v>
      </c>
      <c r="J213">
        <v>0</v>
      </c>
      <c r="K213">
        <v>0</v>
      </c>
      <c r="L213">
        <v>9.9439738342009001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">
      <c r="A214">
        <v>20</v>
      </c>
      <c r="B214" t="s">
        <v>5</v>
      </c>
      <c r="C214">
        <v>19.718304219452499</v>
      </c>
      <c r="D214">
        <v>4.5</v>
      </c>
      <c r="F214">
        <v>27</v>
      </c>
      <c r="G214" t="s">
        <v>32</v>
      </c>
      <c r="H214">
        <v>0</v>
      </c>
      <c r="I214">
        <v>0</v>
      </c>
      <c r="J214">
        <v>0</v>
      </c>
      <c r="K214">
        <v>0</v>
      </c>
      <c r="L214">
        <v>9.9439738342009001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3">
      <c r="A215">
        <v>20</v>
      </c>
      <c r="B215" t="s">
        <v>6</v>
      </c>
      <c r="C215">
        <v>64.653075500432095</v>
      </c>
      <c r="D215">
        <v>4.0862068965517198</v>
      </c>
      <c r="F215">
        <v>27</v>
      </c>
      <c r="G215" t="s">
        <v>33</v>
      </c>
      <c r="H215">
        <v>0</v>
      </c>
      <c r="I215">
        <v>0</v>
      </c>
      <c r="J215">
        <v>0</v>
      </c>
      <c r="K215">
        <v>0</v>
      </c>
      <c r="L215">
        <v>9.9439738342009001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3">
      <c r="A216">
        <v>20</v>
      </c>
      <c r="B216" t="s">
        <v>7</v>
      </c>
      <c r="C216">
        <v>66.500126836231601</v>
      </c>
      <c r="D216">
        <v>3.5</v>
      </c>
      <c r="F216">
        <v>27</v>
      </c>
      <c r="G216" t="s">
        <v>34</v>
      </c>
      <c r="H216">
        <v>0</v>
      </c>
      <c r="I216">
        <v>0</v>
      </c>
      <c r="J216">
        <v>0</v>
      </c>
      <c r="K216">
        <v>0</v>
      </c>
      <c r="L216">
        <v>9.9439738342009001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3">
      <c r="A217">
        <v>20</v>
      </c>
      <c r="B217" t="s">
        <v>8</v>
      </c>
      <c r="C217">
        <v>79.325311184641293</v>
      </c>
      <c r="D217">
        <v>4</v>
      </c>
      <c r="F217">
        <v>27</v>
      </c>
      <c r="G217" t="s">
        <v>35</v>
      </c>
      <c r="H217">
        <v>0</v>
      </c>
      <c r="I217">
        <v>0</v>
      </c>
      <c r="J217">
        <v>0</v>
      </c>
      <c r="K217">
        <v>0</v>
      </c>
      <c r="L217">
        <v>9.9439738342009001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3">
      <c r="A218">
        <v>20</v>
      </c>
      <c r="B218" t="s">
        <v>9</v>
      </c>
      <c r="C218">
        <v>80.884226964521901</v>
      </c>
      <c r="D218">
        <v>3.5448275862068899</v>
      </c>
      <c r="F218">
        <v>27</v>
      </c>
      <c r="G218" t="s">
        <v>36</v>
      </c>
      <c r="H218">
        <v>0</v>
      </c>
      <c r="I218">
        <v>0</v>
      </c>
      <c r="J218">
        <v>0</v>
      </c>
      <c r="K218">
        <v>0</v>
      </c>
      <c r="L218">
        <v>9.9439738342009001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3">
      <c r="A219">
        <v>20</v>
      </c>
      <c r="B219" t="s">
        <v>10</v>
      </c>
      <c r="C219">
        <v>118.43686863364501</v>
      </c>
      <c r="D219">
        <v>1.3891547049441699</v>
      </c>
      <c r="F219">
        <v>28</v>
      </c>
      <c r="G219" t="s">
        <v>25</v>
      </c>
      <c r="H219">
        <v>1290</v>
      </c>
      <c r="I219">
        <v>1213</v>
      </c>
      <c r="J219">
        <v>77.439534883720896</v>
      </c>
      <c r="K219">
        <v>201.779427764367</v>
      </c>
      <c r="L219">
        <v>6.2723542623481396</v>
      </c>
      <c r="M219">
        <v>421.59987397588498</v>
      </c>
      <c r="N219">
        <v>0</v>
      </c>
      <c r="O219">
        <v>0</v>
      </c>
      <c r="P219">
        <v>2824.3230800000001</v>
      </c>
      <c r="Q219">
        <v>2450.1293511039898</v>
      </c>
    </row>
    <row r="220" spans="1:17" x14ac:dyDescent="0.3">
      <c r="A220">
        <v>20</v>
      </c>
      <c r="B220" t="s">
        <v>11</v>
      </c>
      <c r="C220">
        <v>275.48769259587999</v>
      </c>
      <c r="D220">
        <v>4.0797546012269903</v>
      </c>
      <c r="F220">
        <v>28</v>
      </c>
      <c r="G220" t="s">
        <v>26</v>
      </c>
      <c r="H220">
        <v>1126</v>
      </c>
      <c r="I220">
        <v>1126</v>
      </c>
      <c r="J220">
        <v>70.253108348134901</v>
      </c>
      <c r="K220">
        <v>197.833394475674</v>
      </c>
      <c r="L220">
        <v>6.2723542623481396</v>
      </c>
      <c r="M220">
        <v>385.19154241938497</v>
      </c>
      <c r="N220">
        <v>0</v>
      </c>
      <c r="O220">
        <v>0</v>
      </c>
      <c r="P220">
        <v>2729.439343</v>
      </c>
      <c r="Q220">
        <v>2338.3321200649898</v>
      </c>
    </row>
    <row r="221" spans="1:17" x14ac:dyDescent="0.3">
      <c r="A221">
        <v>20</v>
      </c>
      <c r="B221" t="s">
        <v>12</v>
      </c>
      <c r="C221">
        <v>353.46227338876099</v>
      </c>
      <c r="D221">
        <v>4.5510688836104496</v>
      </c>
      <c r="F221">
        <v>28</v>
      </c>
      <c r="G221" t="s">
        <v>27</v>
      </c>
      <c r="H221">
        <v>702</v>
      </c>
      <c r="I221">
        <v>702</v>
      </c>
      <c r="J221">
        <v>88.769230769230703</v>
      </c>
      <c r="K221">
        <v>112.0194776945</v>
      </c>
      <c r="L221">
        <v>6.2723542623481396</v>
      </c>
      <c r="M221">
        <v>189.745669952263</v>
      </c>
      <c r="N221">
        <v>0</v>
      </c>
      <c r="O221">
        <v>0</v>
      </c>
      <c r="P221">
        <v>1298.5757129999899</v>
      </c>
      <c r="Q221">
        <v>1101.4539831099901</v>
      </c>
    </row>
    <row r="222" spans="1:17" x14ac:dyDescent="0.3">
      <c r="A222">
        <v>20</v>
      </c>
      <c r="B222" t="s">
        <v>13</v>
      </c>
      <c r="C222">
        <v>354.559142592716</v>
      </c>
      <c r="D222">
        <v>1.36078431372549</v>
      </c>
      <c r="F222">
        <v>28</v>
      </c>
      <c r="G222" t="s">
        <v>28</v>
      </c>
      <c r="H222">
        <v>697</v>
      </c>
      <c r="I222">
        <v>697</v>
      </c>
      <c r="J222">
        <v>88.130559540889493</v>
      </c>
      <c r="K222">
        <v>111.096662560049</v>
      </c>
      <c r="L222">
        <v>6.2723542623481396</v>
      </c>
      <c r="M222">
        <v>188.93786923626399</v>
      </c>
      <c r="N222">
        <v>0</v>
      </c>
      <c r="O222">
        <v>0</v>
      </c>
      <c r="P222">
        <v>1285.1518719999899</v>
      </c>
      <c r="Q222">
        <v>1089.98662384</v>
      </c>
    </row>
    <row r="223" spans="1:17" x14ac:dyDescent="0.3">
      <c r="A223">
        <v>21</v>
      </c>
      <c r="B223" t="s">
        <v>3</v>
      </c>
      <c r="C223">
        <v>15.3695146536883</v>
      </c>
      <c r="D223">
        <v>4</v>
      </c>
      <c r="F223">
        <v>29</v>
      </c>
      <c r="G223" t="s">
        <v>25</v>
      </c>
      <c r="H223">
        <v>1295</v>
      </c>
      <c r="I223">
        <v>1217</v>
      </c>
      <c r="J223">
        <v>77.910424710424707</v>
      </c>
      <c r="K223">
        <v>202.44684780247201</v>
      </c>
      <c r="L223">
        <v>6.2109348381754197</v>
      </c>
      <c r="M223">
        <v>421.52578570278899</v>
      </c>
      <c r="N223">
        <v>0</v>
      </c>
      <c r="O223">
        <v>0</v>
      </c>
      <c r="P223">
        <v>2830.3307089999998</v>
      </c>
      <c r="Q223">
        <v>2452.0718017699901</v>
      </c>
    </row>
    <row r="224" spans="1:17" x14ac:dyDescent="0.3">
      <c r="A224">
        <v>21</v>
      </c>
      <c r="B224" t="s">
        <v>4</v>
      </c>
      <c r="C224">
        <v>15.1320290631979</v>
      </c>
      <c r="D224">
        <v>3.9512195121951201</v>
      </c>
      <c r="F224">
        <v>29</v>
      </c>
      <c r="G224" t="s">
        <v>26</v>
      </c>
      <c r="H224">
        <v>1131</v>
      </c>
      <c r="I224">
        <v>1129</v>
      </c>
      <c r="J224">
        <v>70.818744473916894</v>
      </c>
      <c r="K224">
        <v>198.970266068576</v>
      </c>
      <c r="L224">
        <v>6.2109348381754197</v>
      </c>
      <c r="M224">
        <v>385.23752810843899</v>
      </c>
      <c r="N224">
        <v>0</v>
      </c>
      <c r="O224">
        <v>0</v>
      </c>
      <c r="P224">
        <v>2788.64122</v>
      </c>
      <c r="Q224">
        <v>2384.9155312619901</v>
      </c>
    </row>
    <row r="225" spans="1:17" x14ac:dyDescent="0.3">
      <c r="A225">
        <v>21</v>
      </c>
      <c r="B225" t="s">
        <v>5</v>
      </c>
      <c r="C225">
        <v>19.1749652527614</v>
      </c>
      <c r="D225">
        <v>4.5</v>
      </c>
      <c r="F225">
        <v>29</v>
      </c>
      <c r="G225" t="s">
        <v>27</v>
      </c>
      <c r="H225">
        <v>693</v>
      </c>
      <c r="I225">
        <v>693</v>
      </c>
      <c r="J225">
        <v>87.490620490620401</v>
      </c>
      <c r="K225">
        <v>111.577580140601</v>
      </c>
      <c r="L225">
        <v>6.2109348381754197</v>
      </c>
      <c r="M225">
        <v>190.19911040098501</v>
      </c>
      <c r="N225">
        <v>0</v>
      </c>
      <c r="O225">
        <v>0</v>
      </c>
      <c r="P225">
        <v>1277.80340799999</v>
      </c>
      <c r="Q225">
        <v>1082.3939036269901</v>
      </c>
    </row>
    <row r="226" spans="1:17" x14ac:dyDescent="0.3">
      <c r="A226">
        <v>21</v>
      </c>
      <c r="B226" t="s">
        <v>6</v>
      </c>
      <c r="C226">
        <v>64.683703633433794</v>
      </c>
      <c r="D226">
        <v>4.0171428571428498</v>
      </c>
      <c r="F226">
        <v>29</v>
      </c>
      <c r="G226" t="s">
        <v>28</v>
      </c>
      <c r="H226">
        <v>688</v>
      </c>
      <c r="I226">
        <v>688</v>
      </c>
      <c r="J226">
        <v>86.885174418604606</v>
      </c>
      <c r="K226">
        <v>110.90015819065999</v>
      </c>
      <c r="L226">
        <v>6.2109348381754197</v>
      </c>
      <c r="M226">
        <v>189.32612987929301</v>
      </c>
      <c r="N226">
        <v>0</v>
      </c>
      <c r="O226">
        <v>0</v>
      </c>
      <c r="P226">
        <v>1270.8495909999899</v>
      </c>
      <c r="Q226">
        <v>1079.014434446</v>
      </c>
    </row>
    <row r="227" spans="1:17" x14ac:dyDescent="0.3">
      <c r="A227">
        <v>21</v>
      </c>
      <c r="B227" t="s">
        <v>7</v>
      </c>
      <c r="C227">
        <v>65.461311474621496</v>
      </c>
      <c r="D227">
        <v>3.5</v>
      </c>
      <c r="F227">
        <v>30</v>
      </c>
      <c r="G227" t="s">
        <v>25</v>
      </c>
      <c r="H227">
        <v>1288</v>
      </c>
      <c r="I227">
        <v>1210</v>
      </c>
      <c r="J227">
        <v>77.253105590062106</v>
      </c>
      <c r="K227">
        <v>202.167693513063</v>
      </c>
      <c r="L227">
        <v>6.2822365403698699</v>
      </c>
      <c r="M227">
        <v>422.77382884910799</v>
      </c>
      <c r="N227">
        <v>0</v>
      </c>
      <c r="O227">
        <v>0</v>
      </c>
      <c r="P227">
        <v>2834.94246599999</v>
      </c>
      <c r="Q227">
        <v>2456.4087847119899</v>
      </c>
    </row>
    <row r="228" spans="1:17" x14ac:dyDescent="0.3">
      <c r="A228">
        <v>21</v>
      </c>
      <c r="B228" t="s">
        <v>8</v>
      </c>
      <c r="C228">
        <v>79.406053087324295</v>
      </c>
      <c r="D228">
        <v>4</v>
      </c>
      <c r="F228">
        <v>30</v>
      </c>
      <c r="G228" t="s">
        <v>26</v>
      </c>
      <c r="H228">
        <v>1125</v>
      </c>
      <c r="I228">
        <v>1124</v>
      </c>
      <c r="J228">
        <v>70.141333333333293</v>
      </c>
      <c r="K228">
        <v>197.43776000836601</v>
      </c>
      <c r="L228">
        <v>6.2822365403698699</v>
      </c>
      <c r="M228">
        <v>386.42657475226503</v>
      </c>
      <c r="N228">
        <v>0</v>
      </c>
      <c r="O228">
        <v>0</v>
      </c>
      <c r="P228">
        <v>2745.2421979999999</v>
      </c>
      <c r="Q228">
        <v>2353.4642361389901</v>
      </c>
    </row>
    <row r="229" spans="1:17" x14ac:dyDescent="0.3">
      <c r="A229">
        <v>21</v>
      </c>
      <c r="B229" t="s">
        <v>9</v>
      </c>
      <c r="C229">
        <v>80.454046424539996</v>
      </c>
      <c r="D229">
        <v>3.5</v>
      </c>
      <c r="F229">
        <v>30</v>
      </c>
      <c r="G229" t="s">
        <v>27</v>
      </c>
      <c r="H229">
        <v>695</v>
      </c>
      <c r="I229">
        <v>695</v>
      </c>
      <c r="J229">
        <v>87.772661870503597</v>
      </c>
      <c r="K229">
        <v>111.528162025041</v>
      </c>
      <c r="L229">
        <v>6.2822365403698699</v>
      </c>
      <c r="M229">
        <v>188.80651070255399</v>
      </c>
      <c r="N229">
        <v>0</v>
      </c>
      <c r="O229">
        <v>0</v>
      </c>
      <c r="P229">
        <v>1275.1164469999901</v>
      </c>
      <c r="Q229">
        <v>1081.8147216329901</v>
      </c>
    </row>
    <row r="230" spans="1:17" x14ac:dyDescent="0.3">
      <c r="A230">
        <v>21</v>
      </c>
      <c r="B230" t="s">
        <v>10</v>
      </c>
      <c r="C230">
        <v>116.20197798738199</v>
      </c>
      <c r="D230">
        <v>1.37083993660855</v>
      </c>
      <c r="F230">
        <v>30</v>
      </c>
      <c r="G230" t="s">
        <v>28</v>
      </c>
      <c r="H230">
        <v>691</v>
      </c>
      <c r="I230">
        <v>691</v>
      </c>
      <c r="J230">
        <v>87.276410998552805</v>
      </c>
      <c r="K230">
        <v>110.172441893581</v>
      </c>
      <c r="L230">
        <v>6.2822365403698699</v>
      </c>
      <c r="M230">
        <v>189.335791825977</v>
      </c>
      <c r="N230">
        <v>0</v>
      </c>
      <c r="O230">
        <v>0</v>
      </c>
      <c r="P230">
        <v>1275.47410099999</v>
      </c>
      <c r="Q230">
        <v>1082.157858301</v>
      </c>
    </row>
    <row r="231" spans="1:17" x14ac:dyDescent="0.3">
      <c r="A231">
        <v>21</v>
      </c>
      <c r="B231" t="s">
        <v>11</v>
      </c>
      <c r="C231">
        <v>274.151934040009</v>
      </c>
      <c r="D231">
        <v>4.0464646464646403</v>
      </c>
      <c r="F231">
        <v>31</v>
      </c>
      <c r="G231" t="s">
        <v>25</v>
      </c>
      <c r="H231">
        <v>1289</v>
      </c>
      <c r="I231">
        <v>1212</v>
      </c>
      <c r="J231">
        <v>77.346004654771093</v>
      </c>
      <c r="K231">
        <v>202.138749769958</v>
      </c>
      <c r="L231">
        <v>6.2869789946445103</v>
      </c>
      <c r="M231">
        <v>422.77008248241799</v>
      </c>
      <c r="N231">
        <v>0</v>
      </c>
      <c r="O231">
        <v>0</v>
      </c>
      <c r="P231">
        <v>2847.7118699999901</v>
      </c>
      <c r="Q231">
        <v>2470.49191151999</v>
      </c>
    </row>
    <row r="232" spans="1:17" x14ac:dyDescent="0.3">
      <c r="A232">
        <v>21</v>
      </c>
      <c r="B232" t="s">
        <v>12</v>
      </c>
      <c r="C232">
        <v>352.42038420989502</v>
      </c>
      <c r="D232">
        <v>4.5317647058823498</v>
      </c>
      <c r="F232">
        <v>31</v>
      </c>
      <c r="G232" t="s">
        <v>26</v>
      </c>
      <c r="H232">
        <v>1125</v>
      </c>
      <c r="I232">
        <v>1123</v>
      </c>
      <c r="J232">
        <v>70.141333333333293</v>
      </c>
      <c r="K232">
        <v>197.06119062827699</v>
      </c>
      <c r="L232">
        <v>6.2869789946445103</v>
      </c>
      <c r="M232">
        <v>386.81185557515499</v>
      </c>
      <c r="N232">
        <v>0</v>
      </c>
      <c r="O232">
        <v>0</v>
      </c>
      <c r="P232">
        <v>2732.9777289999902</v>
      </c>
      <c r="Q232">
        <v>2342.75869705899</v>
      </c>
    </row>
    <row r="233" spans="1:17" x14ac:dyDescent="0.3">
      <c r="A233">
        <v>21</v>
      </c>
      <c r="B233" t="s">
        <v>13</v>
      </c>
      <c r="C233">
        <v>352.803612855773</v>
      </c>
      <c r="D233">
        <v>1.3518373729476101</v>
      </c>
      <c r="F233">
        <v>31</v>
      </c>
      <c r="G233" t="s">
        <v>27</v>
      </c>
      <c r="H233">
        <v>697</v>
      </c>
      <c r="I233">
        <v>697</v>
      </c>
      <c r="J233">
        <v>88.055954088952603</v>
      </c>
      <c r="K233">
        <v>111.528131305831</v>
      </c>
      <c r="L233">
        <v>6.2869789946445103</v>
      </c>
      <c r="M233">
        <v>188.56755666498199</v>
      </c>
      <c r="N233">
        <v>0</v>
      </c>
      <c r="O233">
        <v>0</v>
      </c>
      <c r="P233">
        <v>1280.2471310000001</v>
      </c>
      <c r="Q233">
        <v>1085.6436380169901</v>
      </c>
    </row>
    <row r="234" spans="1:17" x14ac:dyDescent="0.3">
      <c r="A234">
        <v>22</v>
      </c>
      <c r="B234" t="s">
        <v>3</v>
      </c>
      <c r="C234">
        <v>15.5840061377247</v>
      </c>
      <c r="D234">
        <v>4.32</v>
      </c>
      <c r="F234">
        <v>31</v>
      </c>
      <c r="G234" t="s">
        <v>28</v>
      </c>
      <c r="H234">
        <v>693</v>
      </c>
      <c r="I234">
        <v>693</v>
      </c>
      <c r="J234">
        <v>87.594516594516506</v>
      </c>
      <c r="K234">
        <v>110.92178053924501</v>
      </c>
      <c r="L234">
        <v>6.2869789946445103</v>
      </c>
      <c r="M234">
        <v>190.08953526525701</v>
      </c>
      <c r="N234">
        <v>0</v>
      </c>
      <c r="O234">
        <v>0</v>
      </c>
      <c r="P234">
        <v>1275.8611969999899</v>
      </c>
      <c r="Q234">
        <v>1081.423091677</v>
      </c>
    </row>
    <row r="235" spans="1:17" x14ac:dyDescent="0.3">
      <c r="A235">
        <v>22</v>
      </c>
      <c r="B235" t="s">
        <v>4</v>
      </c>
      <c r="C235">
        <v>15.5250483258614</v>
      </c>
      <c r="D235">
        <v>4.3846153846153797</v>
      </c>
      <c r="F235">
        <v>32</v>
      </c>
      <c r="G235" t="s">
        <v>25</v>
      </c>
      <c r="H235">
        <v>1293</v>
      </c>
      <c r="I235">
        <v>1215</v>
      </c>
      <c r="J235">
        <v>77.723897911832907</v>
      </c>
      <c r="K235">
        <v>202.96219224129601</v>
      </c>
      <c r="L235">
        <v>6.3332257013516999</v>
      </c>
      <c r="M235">
        <v>425.93858724151301</v>
      </c>
      <c r="N235">
        <v>0</v>
      </c>
      <c r="O235">
        <v>0</v>
      </c>
      <c r="P235">
        <v>2811.3945879999901</v>
      </c>
      <c r="Q235">
        <v>2437.8102630429898</v>
      </c>
    </row>
    <row r="236" spans="1:17" x14ac:dyDescent="0.3">
      <c r="A236">
        <v>22</v>
      </c>
      <c r="B236" t="s">
        <v>5</v>
      </c>
      <c r="C236">
        <v>20.149308422173402</v>
      </c>
      <c r="D236">
        <v>4.5</v>
      </c>
      <c r="F236">
        <v>32</v>
      </c>
      <c r="G236" t="s">
        <v>26</v>
      </c>
      <c r="H236">
        <v>1128</v>
      </c>
      <c r="I236">
        <v>1126</v>
      </c>
      <c r="J236">
        <v>70.480496453900699</v>
      </c>
      <c r="K236">
        <v>197.31862085178099</v>
      </c>
      <c r="L236">
        <v>6.3332257013516999</v>
      </c>
      <c r="M236">
        <v>385.29942596171003</v>
      </c>
      <c r="N236">
        <v>0</v>
      </c>
      <c r="O236">
        <v>0</v>
      </c>
      <c r="P236">
        <v>2740.9682769999999</v>
      </c>
      <c r="Q236">
        <v>2349.67506391799</v>
      </c>
    </row>
    <row r="237" spans="1:17" x14ac:dyDescent="0.3">
      <c r="A237">
        <v>22</v>
      </c>
      <c r="B237" t="s">
        <v>6</v>
      </c>
      <c r="C237">
        <v>64.512999614293804</v>
      </c>
      <c r="D237">
        <v>4.0862068965517198</v>
      </c>
      <c r="F237">
        <v>32</v>
      </c>
      <c r="G237" t="s">
        <v>27</v>
      </c>
      <c r="H237">
        <v>699</v>
      </c>
      <c r="I237">
        <v>699</v>
      </c>
      <c r="J237">
        <v>88.349070100142995</v>
      </c>
      <c r="K237">
        <v>111.59278711512999</v>
      </c>
      <c r="L237">
        <v>6.3332257013516999</v>
      </c>
      <c r="M237">
        <v>188.72301660829999</v>
      </c>
      <c r="N237">
        <v>0</v>
      </c>
      <c r="O237">
        <v>0</v>
      </c>
      <c r="P237">
        <v>1267.0438159999901</v>
      </c>
      <c r="Q237">
        <v>1076.4564543499901</v>
      </c>
    </row>
    <row r="238" spans="1:17" x14ac:dyDescent="0.3">
      <c r="A238">
        <v>22</v>
      </c>
      <c r="B238" t="s">
        <v>7</v>
      </c>
      <c r="C238">
        <v>65.542177130441004</v>
      </c>
      <c r="D238">
        <v>3.5</v>
      </c>
      <c r="F238">
        <v>32</v>
      </c>
      <c r="G238" t="s">
        <v>28</v>
      </c>
      <c r="H238">
        <v>694</v>
      </c>
      <c r="I238">
        <v>694</v>
      </c>
      <c r="J238">
        <v>87.714697406339994</v>
      </c>
      <c r="K238">
        <v>111.259229069444</v>
      </c>
      <c r="L238">
        <v>6.3332257013516999</v>
      </c>
      <c r="M238">
        <v>190.685402042595</v>
      </c>
      <c r="N238">
        <v>0</v>
      </c>
      <c r="O238">
        <v>0</v>
      </c>
      <c r="P238">
        <v>1277.1177539999901</v>
      </c>
      <c r="Q238">
        <v>1082.344515585</v>
      </c>
    </row>
    <row r="239" spans="1:17" x14ac:dyDescent="0.3">
      <c r="A239">
        <v>22</v>
      </c>
      <c r="B239" t="s">
        <v>8</v>
      </c>
      <c r="C239">
        <v>78.553030714151703</v>
      </c>
      <c r="D239">
        <v>4</v>
      </c>
      <c r="F239">
        <v>33</v>
      </c>
      <c r="G239" t="s">
        <v>25</v>
      </c>
      <c r="H239">
        <v>1288</v>
      </c>
      <c r="I239">
        <v>1210</v>
      </c>
      <c r="J239">
        <v>77.253105590062106</v>
      </c>
      <c r="K239">
        <v>202.090357863268</v>
      </c>
      <c r="L239">
        <v>6.2661883822284796</v>
      </c>
      <c r="M239">
        <v>422.57974577789503</v>
      </c>
      <c r="N239">
        <v>0</v>
      </c>
      <c r="O239">
        <v>0</v>
      </c>
      <c r="P239">
        <v>2830.7992489999901</v>
      </c>
      <c r="Q239">
        <v>2455.02845694399</v>
      </c>
    </row>
    <row r="240" spans="1:17" x14ac:dyDescent="0.3">
      <c r="A240">
        <v>22</v>
      </c>
      <c r="B240" t="s">
        <v>9</v>
      </c>
      <c r="C240">
        <v>81.607756987444205</v>
      </c>
      <c r="D240">
        <v>3.5448275862068899</v>
      </c>
      <c r="F240">
        <v>33</v>
      </c>
      <c r="G240" t="s">
        <v>26</v>
      </c>
      <c r="H240">
        <v>1124</v>
      </c>
      <c r="I240">
        <v>1124</v>
      </c>
      <c r="J240">
        <v>70.028469750889599</v>
      </c>
      <c r="K240">
        <v>196.79743590001999</v>
      </c>
      <c r="L240">
        <v>6.2661883822284796</v>
      </c>
      <c r="M240">
        <v>383.67562883620201</v>
      </c>
      <c r="N240">
        <v>0</v>
      </c>
      <c r="O240">
        <v>0</v>
      </c>
      <c r="P240">
        <v>2735.9998329999999</v>
      </c>
      <c r="Q240">
        <v>2344.1089398599902</v>
      </c>
    </row>
    <row r="241" spans="1:17" x14ac:dyDescent="0.3">
      <c r="A241">
        <v>22</v>
      </c>
      <c r="B241" t="s">
        <v>10</v>
      </c>
      <c r="C241">
        <v>116.802360004169</v>
      </c>
      <c r="D241">
        <v>1.3891547049441699</v>
      </c>
      <c r="F241">
        <v>33</v>
      </c>
      <c r="G241" t="s">
        <v>27</v>
      </c>
      <c r="H241">
        <v>697</v>
      </c>
      <c r="I241">
        <v>697</v>
      </c>
      <c r="J241">
        <v>88.064562410329899</v>
      </c>
      <c r="K241">
        <v>110.81563599147501</v>
      </c>
      <c r="L241">
        <v>6.2661883822284796</v>
      </c>
      <c r="M241">
        <v>188.47317315308899</v>
      </c>
      <c r="N241">
        <v>0</v>
      </c>
      <c r="O241">
        <v>0</v>
      </c>
      <c r="P241">
        <v>1281.05039299999</v>
      </c>
      <c r="Q241">
        <v>1086.0830298809999</v>
      </c>
    </row>
    <row r="242" spans="1:17" x14ac:dyDescent="0.3">
      <c r="A242">
        <v>22</v>
      </c>
      <c r="B242" t="s">
        <v>11</v>
      </c>
      <c r="C242">
        <v>274.32993802253299</v>
      </c>
      <c r="D242">
        <v>4.0797546012269903</v>
      </c>
      <c r="F242">
        <v>33</v>
      </c>
      <c r="G242" t="s">
        <v>28</v>
      </c>
      <c r="H242">
        <v>693</v>
      </c>
      <c r="I242">
        <v>693</v>
      </c>
      <c r="J242">
        <v>87.5772005772005</v>
      </c>
      <c r="K242">
        <v>110.42917977637499</v>
      </c>
      <c r="L242">
        <v>6.2661883822284796</v>
      </c>
      <c r="M242">
        <v>189.581056473996</v>
      </c>
      <c r="N242">
        <v>0</v>
      </c>
      <c r="O242">
        <v>0</v>
      </c>
      <c r="P242">
        <v>1271.3129239999901</v>
      </c>
      <c r="Q242">
        <v>1078.2550499240001</v>
      </c>
    </row>
    <row r="243" spans="1:17" x14ac:dyDescent="0.3">
      <c r="A243">
        <v>22</v>
      </c>
      <c r="B243" t="s">
        <v>12</v>
      </c>
      <c r="C243">
        <v>352.58442232473999</v>
      </c>
      <c r="D243">
        <v>4.5510688836104496</v>
      </c>
      <c r="F243">
        <v>34</v>
      </c>
      <c r="G243" t="s">
        <v>25</v>
      </c>
      <c r="H243">
        <v>1289</v>
      </c>
      <c r="I243">
        <v>1212</v>
      </c>
      <c r="J243">
        <v>77.346004654771093</v>
      </c>
      <c r="K243">
        <v>201.52355513145</v>
      </c>
      <c r="L243">
        <v>6.3130363884975296</v>
      </c>
      <c r="M243">
        <v>422.34160319938002</v>
      </c>
      <c r="N243">
        <v>0</v>
      </c>
      <c r="O243">
        <v>0</v>
      </c>
      <c r="P243">
        <v>2838.5696029999899</v>
      </c>
      <c r="Q243">
        <v>2461.57572544599</v>
      </c>
    </row>
    <row r="244" spans="1:17" x14ac:dyDescent="0.3">
      <c r="A244">
        <v>22</v>
      </c>
      <c r="B244" t="s">
        <v>13</v>
      </c>
      <c r="C244">
        <v>352.59722945890201</v>
      </c>
      <c r="D244">
        <v>1.36078431372549</v>
      </c>
      <c r="F244">
        <v>34</v>
      </c>
      <c r="G244" t="s">
        <v>26</v>
      </c>
      <c r="H244">
        <v>1124</v>
      </c>
      <c r="I244">
        <v>1122</v>
      </c>
      <c r="J244">
        <v>70.028469750889599</v>
      </c>
      <c r="K244">
        <v>197.94612430973001</v>
      </c>
      <c r="L244">
        <v>6.3130363884975296</v>
      </c>
      <c r="M244">
        <v>385.19061725049301</v>
      </c>
      <c r="N244">
        <v>0</v>
      </c>
      <c r="O244">
        <v>0</v>
      </c>
      <c r="P244">
        <v>2743.6976460000001</v>
      </c>
      <c r="Q244">
        <v>2350.92851216899</v>
      </c>
    </row>
    <row r="245" spans="1:17" x14ac:dyDescent="0.3">
      <c r="A245">
        <v>23</v>
      </c>
      <c r="B245" t="s">
        <v>3</v>
      </c>
      <c r="C245">
        <v>15.5065657442799</v>
      </c>
      <c r="D245">
        <v>4.32</v>
      </c>
      <c r="F245">
        <v>34</v>
      </c>
      <c r="G245" t="s">
        <v>27</v>
      </c>
      <c r="H245">
        <v>699</v>
      </c>
      <c r="I245">
        <v>699</v>
      </c>
      <c r="J245">
        <v>88.340486409155901</v>
      </c>
      <c r="K245">
        <v>112.56891400671</v>
      </c>
      <c r="L245">
        <v>6.3130363884975296</v>
      </c>
      <c r="M245">
        <v>189.76430173857801</v>
      </c>
      <c r="N245">
        <v>0</v>
      </c>
      <c r="O245">
        <v>0</v>
      </c>
      <c r="P245">
        <v>1284.32839099999</v>
      </c>
      <c r="Q245">
        <v>1091.6044907739899</v>
      </c>
    </row>
    <row r="246" spans="1:17" x14ac:dyDescent="0.3">
      <c r="A246">
        <v>23</v>
      </c>
      <c r="B246" t="s">
        <v>4</v>
      </c>
      <c r="C246">
        <v>15.285800972095499</v>
      </c>
      <c r="D246">
        <v>4.3846153846153797</v>
      </c>
      <c r="F246">
        <v>34</v>
      </c>
      <c r="G246" t="s">
        <v>28</v>
      </c>
      <c r="H246">
        <v>695</v>
      </c>
      <c r="I246">
        <v>695</v>
      </c>
      <c r="J246">
        <v>87.880575539568298</v>
      </c>
      <c r="K246">
        <v>111.35540049506901</v>
      </c>
      <c r="L246">
        <v>6.3130363884975296</v>
      </c>
      <c r="M246">
        <v>189.55431884908401</v>
      </c>
      <c r="N246">
        <v>0</v>
      </c>
      <c r="O246">
        <v>0</v>
      </c>
      <c r="P246">
        <v>1283.71180999999</v>
      </c>
      <c r="Q246">
        <v>1089.1707899630001</v>
      </c>
    </row>
    <row r="247" spans="1:17" x14ac:dyDescent="0.3">
      <c r="A247">
        <v>23</v>
      </c>
      <c r="B247" t="s">
        <v>5</v>
      </c>
      <c r="C247">
        <v>20.012629183489299</v>
      </c>
      <c r="D247">
        <v>4.5</v>
      </c>
      <c r="F247">
        <v>35</v>
      </c>
      <c r="G247" t="s">
        <v>25</v>
      </c>
      <c r="H247">
        <v>1287</v>
      </c>
      <c r="I247">
        <v>1210</v>
      </c>
      <c r="J247">
        <v>77.160839160839103</v>
      </c>
      <c r="K247">
        <v>200.82815732027601</v>
      </c>
      <c r="L247">
        <v>6.2488382633774497</v>
      </c>
      <c r="M247">
        <v>422.62906596649998</v>
      </c>
      <c r="N247">
        <v>0</v>
      </c>
      <c r="O247">
        <v>0</v>
      </c>
      <c r="P247">
        <v>2833.1422539999899</v>
      </c>
      <c r="Q247">
        <v>2455.6314342139899</v>
      </c>
    </row>
    <row r="248" spans="1:17" x14ac:dyDescent="0.3">
      <c r="A248">
        <v>23</v>
      </c>
      <c r="B248" t="s">
        <v>6</v>
      </c>
      <c r="C248">
        <v>64.332050666345197</v>
      </c>
      <c r="D248">
        <v>4.0862068965517198</v>
      </c>
      <c r="F248">
        <v>35</v>
      </c>
      <c r="G248" t="s">
        <v>26</v>
      </c>
      <c r="H248">
        <v>1124</v>
      </c>
      <c r="I248">
        <v>1122</v>
      </c>
      <c r="J248">
        <v>70.028469750889599</v>
      </c>
      <c r="K248">
        <v>198.20939651250501</v>
      </c>
      <c r="L248">
        <v>6.2488382633774497</v>
      </c>
      <c r="M248">
        <v>386.81864978378098</v>
      </c>
      <c r="N248">
        <v>0</v>
      </c>
      <c r="O248">
        <v>0</v>
      </c>
      <c r="P248">
        <v>2779.90102599999</v>
      </c>
      <c r="Q248">
        <v>2379.31158998199</v>
      </c>
    </row>
    <row r="249" spans="1:17" x14ac:dyDescent="0.3">
      <c r="A249">
        <v>23</v>
      </c>
      <c r="B249" t="s">
        <v>7</v>
      </c>
      <c r="C249">
        <v>65.844306823247507</v>
      </c>
      <c r="D249">
        <v>3.5</v>
      </c>
      <c r="F249">
        <v>35</v>
      </c>
      <c r="G249" t="s">
        <v>27</v>
      </c>
      <c r="H249">
        <v>696</v>
      </c>
      <c r="I249">
        <v>696</v>
      </c>
      <c r="J249">
        <v>87.9152298850574</v>
      </c>
      <c r="K249">
        <v>110.502188561088</v>
      </c>
      <c r="L249">
        <v>6.2488382633774497</v>
      </c>
      <c r="M249">
        <v>187.124355910368</v>
      </c>
      <c r="N249">
        <v>0</v>
      </c>
      <c r="O249">
        <v>0</v>
      </c>
      <c r="P249">
        <v>1263.1676189999901</v>
      </c>
      <c r="Q249">
        <v>1072.4943812869999</v>
      </c>
    </row>
    <row r="250" spans="1:17" x14ac:dyDescent="0.3">
      <c r="A250">
        <v>23</v>
      </c>
      <c r="B250" t="s">
        <v>8</v>
      </c>
      <c r="C250">
        <v>78.7424449652313</v>
      </c>
      <c r="D250">
        <v>4</v>
      </c>
      <c r="F250">
        <v>35</v>
      </c>
      <c r="G250" t="s">
        <v>28</v>
      </c>
      <c r="H250">
        <v>691</v>
      </c>
      <c r="I250">
        <v>691</v>
      </c>
      <c r="J250">
        <v>87.279305354558602</v>
      </c>
      <c r="K250">
        <v>110.41398506966701</v>
      </c>
      <c r="L250">
        <v>6.2488382633774497</v>
      </c>
      <c r="M250">
        <v>189.89546721642401</v>
      </c>
      <c r="N250">
        <v>0</v>
      </c>
      <c r="O250">
        <v>0</v>
      </c>
      <c r="P250">
        <v>1271.15898699999</v>
      </c>
      <c r="Q250">
        <v>1078.198629454</v>
      </c>
    </row>
    <row r="251" spans="1:17" x14ac:dyDescent="0.3">
      <c r="A251">
        <v>23</v>
      </c>
      <c r="B251" t="s">
        <v>9</v>
      </c>
      <c r="C251">
        <v>80.425666963459605</v>
      </c>
      <c r="D251">
        <v>3.5448275862068899</v>
      </c>
      <c r="F251">
        <v>36</v>
      </c>
      <c r="G251" t="s">
        <v>25</v>
      </c>
      <c r="H251">
        <v>1078</v>
      </c>
      <c r="I251">
        <v>1078</v>
      </c>
      <c r="J251">
        <v>37.6669758812615</v>
      </c>
      <c r="K251">
        <v>139.91583267078801</v>
      </c>
      <c r="L251">
        <v>13.777419069066999</v>
      </c>
      <c r="M251">
        <v>369.11129757457701</v>
      </c>
      <c r="N251">
        <v>0</v>
      </c>
      <c r="O251">
        <v>0</v>
      </c>
      <c r="P251">
        <v>1901.8850629999899</v>
      </c>
      <c r="Q251">
        <v>1685.5099999179999</v>
      </c>
    </row>
    <row r="252" spans="1:17" x14ac:dyDescent="0.3">
      <c r="A252">
        <v>23</v>
      </c>
      <c r="B252" t="s">
        <v>10</v>
      </c>
      <c r="C252">
        <v>117.589089256167</v>
      </c>
      <c r="D252">
        <v>1.3891547049441699</v>
      </c>
      <c r="F252">
        <v>36</v>
      </c>
      <c r="G252" t="s">
        <v>26</v>
      </c>
      <c r="H252">
        <v>1067</v>
      </c>
      <c r="I252">
        <v>1067</v>
      </c>
      <c r="J252">
        <v>37.233364573570697</v>
      </c>
      <c r="K252">
        <v>139.72578424297799</v>
      </c>
      <c r="L252">
        <v>13.777419069066999</v>
      </c>
      <c r="M252">
        <v>361.52233473992698</v>
      </c>
      <c r="N252">
        <v>0</v>
      </c>
      <c r="O252">
        <v>0</v>
      </c>
      <c r="P252">
        <v>1906.48122299999</v>
      </c>
      <c r="Q252">
        <v>1688.7507785719999</v>
      </c>
    </row>
    <row r="253" spans="1:17" x14ac:dyDescent="0.3">
      <c r="A253">
        <v>23</v>
      </c>
      <c r="B253" t="s">
        <v>11</v>
      </c>
      <c r="C253">
        <v>275.94832944842898</v>
      </c>
      <c r="D253">
        <v>4.0797546012269903</v>
      </c>
      <c r="F253">
        <v>36</v>
      </c>
      <c r="G253" t="s">
        <v>27</v>
      </c>
      <c r="H253">
        <v>714</v>
      </c>
      <c r="I253">
        <v>714</v>
      </c>
      <c r="J253">
        <v>35.275910364145602</v>
      </c>
      <c r="K253">
        <v>94.443617239898401</v>
      </c>
      <c r="L253">
        <v>13.777419069066999</v>
      </c>
      <c r="M253">
        <v>240.25431661397801</v>
      </c>
      <c r="N253">
        <v>0</v>
      </c>
      <c r="O253">
        <v>0</v>
      </c>
      <c r="P253">
        <v>1287.93827499999</v>
      </c>
      <c r="Q253">
        <v>1136.8721597389899</v>
      </c>
    </row>
    <row r="254" spans="1:17" x14ac:dyDescent="0.3">
      <c r="A254">
        <v>23</v>
      </c>
      <c r="B254" t="s">
        <v>12</v>
      </c>
      <c r="C254">
        <v>353.85700411616398</v>
      </c>
      <c r="D254">
        <v>4.5510688836104496</v>
      </c>
      <c r="F254">
        <v>36</v>
      </c>
      <c r="G254" t="s">
        <v>28</v>
      </c>
      <c r="H254">
        <v>714</v>
      </c>
      <c r="I254">
        <v>714</v>
      </c>
      <c r="J254">
        <v>35.275910364145602</v>
      </c>
      <c r="K254">
        <v>93.445580116863596</v>
      </c>
      <c r="L254">
        <v>13.777419069066999</v>
      </c>
      <c r="M254">
        <v>241.52492914941701</v>
      </c>
      <c r="N254">
        <v>0</v>
      </c>
      <c r="O254">
        <v>0</v>
      </c>
      <c r="P254">
        <v>1195.13428199999</v>
      </c>
      <c r="Q254">
        <v>1056.5697678219999</v>
      </c>
    </row>
    <row r="255" spans="1:17" x14ac:dyDescent="0.3">
      <c r="A255">
        <v>23</v>
      </c>
      <c r="B255" t="s">
        <v>13</v>
      </c>
      <c r="C255">
        <v>351.66864872257599</v>
      </c>
      <c r="D255">
        <v>1.36078431372549</v>
      </c>
      <c r="F255">
        <v>36</v>
      </c>
      <c r="G255" t="s">
        <v>29</v>
      </c>
      <c r="H255">
        <v>0</v>
      </c>
      <c r="I255">
        <v>0</v>
      </c>
      <c r="J255">
        <v>0</v>
      </c>
      <c r="K255">
        <v>0</v>
      </c>
      <c r="L255">
        <v>13.777419069066999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3">
      <c r="A256">
        <v>24</v>
      </c>
      <c r="B256" t="s">
        <v>3</v>
      </c>
      <c r="C256">
        <v>15.1385328004184</v>
      </c>
      <c r="D256">
        <v>4</v>
      </c>
      <c r="F256">
        <v>36</v>
      </c>
      <c r="G256" t="s">
        <v>30</v>
      </c>
      <c r="H256">
        <v>0</v>
      </c>
      <c r="I256">
        <v>0</v>
      </c>
      <c r="J256">
        <v>0</v>
      </c>
      <c r="K256">
        <v>0</v>
      </c>
      <c r="L256">
        <v>13.777419069066999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3">
      <c r="A257">
        <v>24</v>
      </c>
      <c r="B257" t="s">
        <v>4</v>
      </c>
      <c r="C257">
        <v>15.276197722851199</v>
      </c>
      <c r="D257">
        <v>3.9512195121951201</v>
      </c>
      <c r="F257">
        <v>36</v>
      </c>
      <c r="G257" t="s">
        <v>31</v>
      </c>
      <c r="H257">
        <v>0</v>
      </c>
      <c r="I257">
        <v>0</v>
      </c>
      <c r="J257">
        <v>0</v>
      </c>
      <c r="K257">
        <v>0</v>
      </c>
      <c r="L257">
        <v>13.777419069066999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">
      <c r="A258">
        <v>24</v>
      </c>
      <c r="B258" t="s">
        <v>5</v>
      </c>
      <c r="C258">
        <v>19.289706576954</v>
      </c>
      <c r="D258">
        <v>4.5</v>
      </c>
      <c r="F258">
        <v>36</v>
      </c>
      <c r="G258" t="s">
        <v>32</v>
      </c>
      <c r="H258">
        <v>0</v>
      </c>
      <c r="I258">
        <v>0</v>
      </c>
      <c r="J258">
        <v>0</v>
      </c>
      <c r="K258">
        <v>0</v>
      </c>
      <c r="L258">
        <v>13.777419069066999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3">
      <c r="A259">
        <v>24</v>
      </c>
      <c r="B259" t="s">
        <v>6</v>
      </c>
      <c r="C259">
        <v>64.374790646844303</v>
      </c>
      <c r="D259">
        <v>4.0171428571428498</v>
      </c>
      <c r="F259">
        <v>37</v>
      </c>
      <c r="G259" t="s">
        <v>25</v>
      </c>
      <c r="H259">
        <v>1078</v>
      </c>
      <c r="I259">
        <v>1078</v>
      </c>
      <c r="J259">
        <v>37.6669758812615</v>
      </c>
      <c r="K259">
        <v>139.88169180010399</v>
      </c>
      <c r="L259">
        <v>13.859444676722401</v>
      </c>
      <c r="M259">
        <v>369.56009124610102</v>
      </c>
      <c r="N259">
        <v>0</v>
      </c>
      <c r="O259">
        <v>0</v>
      </c>
      <c r="P259">
        <v>1903.7988399999899</v>
      </c>
      <c r="Q259">
        <v>1687.9879790739999</v>
      </c>
    </row>
    <row r="260" spans="1:17" x14ac:dyDescent="0.3">
      <c r="A260">
        <v>24</v>
      </c>
      <c r="B260" t="s">
        <v>7</v>
      </c>
      <c r="C260">
        <v>65.698257631239997</v>
      </c>
      <c r="D260">
        <v>3.5</v>
      </c>
      <c r="F260">
        <v>37</v>
      </c>
      <c r="G260" t="s">
        <v>26</v>
      </c>
      <c r="H260">
        <v>1067</v>
      </c>
      <c r="I260">
        <v>1067</v>
      </c>
      <c r="J260">
        <v>37.233364573570697</v>
      </c>
      <c r="K260">
        <v>139.007598258635</v>
      </c>
      <c r="L260">
        <v>13.859444676722401</v>
      </c>
      <c r="M260">
        <v>364.41801297122697</v>
      </c>
      <c r="N260">
        <v>0</v>
      </c>
      <c r="O260">
        <v>0</v>
      </c>
      <c r="P260">
        <v>1904.4663859999901</v>
      </c>
      <c r="Q260">
        <v>1686.0292665889999</v>
      </c>
    </row>
    <row r="261" spans="1:17" x14ac:dyDescent="0.3">
      <c r="A261">
        <v>24</v>
      </c>
      <c r="B261" t="s">
        <v>8</v>
      </c>
      <c r="C261">
        <v>78.976327876449901</v>
      </c>
      <c r="D261">
        <v>4</v>
      </c>
      <c r="F261">
        <v>37</v>
      </c>
      <c r="G261" t="s">
        <v>27</v>
      </c>
      <c r="H261">
        <v>714</v>
      </c>
      <c r="I261">
        <v>714</v>
      </c>
      <c r="J261">
        <v>35.275910364145602</v>
      </c>
      <c r="K261">
        <v>94.471140578735401</v>
      </c>
      <c r="L261">
        <v>13.859444676722401</v>
      </c>
      <c r="M261">
        <v>243.02887317629299</v>
      </c>
      <c r="N261">
        <v>0</v>
      </c>
      <c r="O261">
        <v>0</v>
      </c>
      <c r="P261">
        <v>1279.6945909999899</v>
      </c>
      <c r="Q261">
        <v>1131.11288964199</v>
      </c>
    </row>
    <row r="262" spans="1:17" x14ac:dyDescent="0.3">
      <c r="A262">
        <v>24</v>
      </c>
      <c r="B262" t="s">
        <v>9</v>
      </c>
      <c r="C262">
        <v>81.389303394078496</v>
      </c>
      <c r="D262">
        <v>3.5</v>
      </c>
      <c r="F262">
        <v>37</v>
      </c>
      <c r="G262" t="s">
        <v>28</v>
      </c>
      <c r="H262">
        <v>714</v>
      </c>
      <c r="I262">
        <v>714</v>
      </c>
      <c r="J262">
        <v>35.275910364145602</v>
      </c>
      <c r="K262">
        <v>93.149313967795393</v>
      </c>
      <c r="L262">
        <v>13.859444676722401</v>
      </c>
      <c r="M262">
        <v>242.624154157953</v>
      </c>
      <c r="N262">
        <v>0</v>
      </c>
      <c r="O262">
        <v>0</v>
      </c>
      <c r="P262">
        <v>1194.7261429999901</v>
      </c>
      <c r="Q262">
        <v>1056.437549345</v>
      </c>
    </row>
    <row r="263" spans="1:17" x14ac:dyDescent="0.3">
      <c r="A263">
        <v>24</v>
      </c>
      <c r="B263" t="s">
        <v>10</v>
      </c>
      <c r="C263">
        <v>117.16898688818701</v>
      </c>
      <c r="D263">
        <v>1.37083993660855</v>
      </c>
      <c r="F263">
        <v>37</v>
      </c>
      <c r="G263" t="s">
        <v>29</v>
      </c>
      <c r="H263">
        <v>0</v>
      </c>
      <c r="I263">
        <v>0</v>
      </c>
      <c r="J263">
        <v>0</v>
      </c>
      <c r="K263">
        <v>0</v>
      </c>
      <c r="L263">
        <v>13.859444676722401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">
      <c r="A264">
        <v>24</v>
      </c>
      <c r="B264" t="s">
        <v>11</v>
      </c>
      <c r="C264">
        <v>275.41698874549297</v>
      </c>
      <c r="D264">
        <v>4.0464646464646403</v>
      </c>
      <c r="F264">
        <v>37</v>
      </c>
      <c r="G264" t="s">
        <v>30</v>
      </c>
      <c r="H264">
        <v>0</v>
      </c>
      <c r="I264">
        <v>0</v>
      </c>
      <c r="J264">
        <v>0</v>
      </c>
      <c r="K264">
        <v>0</v>
      </c>
      <c r="L264">
        <v>13.859444676722401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3">
      <c r="A265">
        <v>24</v>
      </c>
      <c r="B265" t="s">
        <v>12</v>
      </c>
      <c r="C265">
        <v>355.21423426036</v>
      </c>
      <c r="D265">
        <v>4.5317647058823498</v>
      </c>
      <c r="F265">
        <v>37</v>
      </c>
      <c r="G265" t="s">
        <v>31</v>
      </c>
      <c r="H265">
        <v>0</v>
      </c>
      <c r="I265">
        <v>0</v>
      </c>
      <c r="J265">
        <v>0</v>
      </c>
      <c r="K265">
        <v>0</v>
      </c>
      <c r="L265">
        <v>13.859444676722401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3">
      <c r="A266">
        <v>24</v>
      </c>
      <c r="B266" t="s">
        <v>13</v>
      </c>
      <c r="C266">
        <v>353.40739893711498</v>
      </c>
      <c r="D266">
        <v>1.3518373729476101</v>
      </c>
      <c r="F266">
        <v>37</v>
      </c>
      <c r="G266" t="s">
        <v>32</v>
      </c>
      <c r="H266">
        <v>0</v>
      </c>
      <c r="I266">
        <v>0</v>
      </c>
      <c r="J266">
        <v>0</v>
      </c>
      <c r="K266">
        <v>0</v>
      </c>
      <c r="L266">
        <v>13.859444676722401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3">
      <c r="A267">
        <v>25</v>
      </c>
      <c r="B267" t="s">
        <v>3</v>
      </c>
      <c r="C267">
        <v>15.175462136915799</v>
      </c>
      <c r="D267">
        <v>4.32</v>
      </c>
      <c r="F267">
        <v>38</v>
      </c>
      <c r="G267" t="s">
        <v>25</v>
      </c>
      <c r="H267">
        <v>1078</v>
      </c>
      <c r="I267">
        <v>1078</v>
      </c>
      <c r="J267">
        <v>37.6669758812615</v>
      </c>
      <c r="K267">
        <v>140.19588123743401</v>
      </c>
      <c r="L267">
        <v>13.821565353079301</v>
      </c>
      <c r="M267">
        <v>370.61303601081698</v>
      </c>
      <c r="N267">
        <v>0</v>
      </c>
      <c r="O267">
        <v>0</v>
      </c>
      <c r="P267">
        <v>1892.50761499999</v>
      </c>
      <c r="Q267">
        <v>1678.7555884210001</v>
      </c>
    </row>
    <row r="268" spans="1:17" x14ac:dyDescent="0.3">
      <c r="A268">
        <v>25</v>
      </c>
      <c r="B268" t="s">
        <v>4</v>
      </c>
      <c r="C268">
        <v>15.6398228890162</v>
      </c>
      <c r="D268">
        <v>4.3846153846153797</v>
      </c>
      <c r="F268">
        <v>38</v>
      </c>
      <c r="G268" t="s">
        <v>26</v>
      </c>
      <c r="H268">
        <v>1067</v>
      </c>
      <c r="I268">
        <v>1067</v>
      </c>
      <c r="J268">
        <v>37.233364573570697</v>
      </c>
      <c r="K268">
        <v>139.61450232409399</v>
      </c>
      <c r="L268">
        <v>13.821565353079301</v>
      </c>
      <c r="M268">
        <v>361.11921092828902</v>
      </c>
      <c r="N268">
        <v>0</v>
      </c>
      <c r="O268">
        <v>0</v>
      </c>
      <c r="P268">
        <v>1906.86223699999</v>
      </c>
      <c r="Q268">
        <v>1688.726328559</v>
      </c>
    </row>
    <row r="269" spans="1:17" x14ac:dyDescent="0.3">
      <c r="A269">
        <v>25</v>
      </c>
      <c r="B269" t="s">
        <v>5</v>
      </c>
      <c r="C269">
        <v>19.359860163842701</v>
      </c>
      <c r="D269">
        <v>4.5</v>
      </c>
      <c r="F269">
        <v>38</v>
      </c>
      <c r="G269" t="s">
        <v>27</v>
      </c>
      <c r="H269">
        <v>714</v>
      </c>
      <c r="I269">
        <v>714</v>
      </c>
      <c r="J269">
        <v>35.275910364145602</v>
      </c>
      <c r="K269">
        <v>94.218173914314903</v>
      </c>
      <c r="L269">
        <v>13.821565353079301</v>
      </c>
      <c r="M269">
        <v>241.657551649949</v>
      </c>
      <c r="N269">
        <v>0</v>
      </c>
      <c r="O269">
        <v>0</v>
      </c>
      <c r="P269">
        <v>1279.41555699999</v>
      </c>
      <c r="Q269">
        <v>1129.7754480579899</v>
      </c>
    </row>
    <row r="270" spans="1:17" x14ac:dyDescent="0.3">
      <c r="A270">
        <v>25</v>
      </c>
      <c r="B270" t="s">
        <v>6</v>
      </c>
      <c r="C270">
        <v>65.291884452660199</v>
      </c>
      <c r="D270">
        <v>4.0862068965517198</v>
      </c>
      <c r="F270">
        <v>38</v>
      </c>
      <c r="G270" t="s">
        <v>28</v>
      </c>
      <c r="H270">
        <v>714</v>
      </c>
      <c r="I270">
        <v>714</v>
      </c>
      <c r="J270">
        <v>35.275910364145602</v>
      </c>
      <c r="K270">
        <v>93.168246323122403</v>
      </c>
      <c r="L270">
        <v>13.821565353079301</v>
      </c>
      <c r="M270">
        <v>242.90795248192501</v>
      </c>
      <c r="N270">
        <v>0</v>
      </c>
      <c r="O270">
        <v>0</v>
      </c>
      <c r="P270">
        <v>1191.73193499999</v>
      </c>
      <c r="Q270">
        <v>1054.945093782</v>
      </c>
    </row>
    <row r="271" spans="1:17" x14ac:dyDescent="0.3">
      <c r="A271">
        <v>25</v>
      </c>
      <c r="B271" t="s">
        <v>7</v>
      </c>
      <c r="C271">
        <v>65.608917544538002</v>
      </c>
      <c r="D271">
        <v>3.5</v>
      </c>
      <c r="F271">
        <v>38</v>
      </c>
      <c r="G271" t="s">
        <v>29</v>
      </c>
      <c r="H271">
        <v>0</v>
      </c>
      <c r="I271">
        <v>0</v>
      </c>
      <c r="J271">
        <v>0</v>
      </c>
      <c r="K271">
        <v>0</v>
      </c>
      <c r="L271">
        <v>13.821565353079301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3">
      <c r="A272">
        <v>25</v>
      </c>
      <c r="B272" t="s">
        <v>8</v>
      </c>
      <c r="C272">
        <v>78.263512465408994</v>
      </c>
      <c r="D272">
        <v>4</v>
      </c>
      <c r="F272">
        <v>38</v>
      </c>
      <c r="G272" t="s">
        <v>30</v>
      </c>
      <c r="H272">
        <v>0</v>
      </c>
      <c r="I272">
        <v>0</v>
      </c>
      <c r="J272">
        <v>0</v>
      </c>
      <c r="K272">
        <v>0</v>
      </c>
      <c r="L272">
        <v>13.821565353079301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3">
      <c r="A273">
        <v>25</v>
      </c>
      <c r="B273" t="s">
        <v>9</v>
      </c>
      <c r="C273">
        <v>81.127766320903305</v>
      </c>
      <c r="D273">
        <v>3.5448275862068899</v>
      </c>
      <c r="F273">
        <v>38</v>
      </c>
      <c r="G273" t="s">
        <v>31</v>
      </c>
      <c r="H273">
        <v>0</v>
      </c>
      <c r="I273">
        <v>0</v>
      </c>
      <c r="J273">
        <v>0</v>
      </c>
      <c r="K273">
        <v>0</v>
      </c>
      <c r="L273">
        <v>13.821565353079301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3">
      <c r="A274">
        <v>25</v>
      </c>
      <c r="B274" t="s">
        <v>10</v>
      </c>
      <c r="C274">
        <v>117.478558790563</v>
      </c>
      <c r="D274">
        <v>1.3891547049441699</v>
      </c>
      <c r="F274">
        <v>38</v>
      </c>
      <c r="G274" t="s">
        <v>32</v>
      </c>
      <c r="H274">
        <v>0</v>
      </c>
      <c r="I274">
        <v>0</v>
      </c>
      <c r="J274">
        <v>0</v>
      </c>
      <c r="K274">
        <v>0</v>
      </c>
      <c r="L274">
        <v>13.821565353079301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3">
      <c r="A275">
        <v>25</v>
      </c>
      <c r="B275" t="s">
        <v>11</v>
      </c>
      <c r="C275">
        <v>273.84214029496002</v>
      </c>
      <c r="D275">
        <v>4.0797546012269903</v>
      </c>
      <c r="F275">
        <v>39</v>
      </c>
      <c r="G275" t="s">
        <v>25</v>
      </c>
      <c r="H275">
        <v>1078</v>
      </c>
      <c r="I275">
        <v>1078</v>
      </c>
      <c r="J275">
        <v>37.6669758812615</v>
      </c>
      <c r="K275">
        <v>139.85109433603699</v>
      </c>
      <c r="L275">
        <v>14.136178372484901</v>
      </c>
      <c r="M275">
        <v>371.14901591180598</v>
      </c>
      <c r="N275">
        <v>0</v>
      </c>
      <c r="O275">
        <v>0</v>
      </c>
      <c r="P275">
        <v>1893.5781139999899</v>
      </c>
      <c r="Q275">
        <v>1679.7874143689901</v>
      </c>
    </row>
    <row r="276" spans="1:17" x14ac:dyDescent="0.3">
      <c r="A276">
        <v>25</v>
      </c>
      <c r="B276" t="s">
        <v>12</v>
      </c>
      <c r="C276">
        <v>353.75805879829301</v>
      </c>
      <c r="D276">
        <v>4.5510688836104496</v>
      </c>
      <c r="F276">
        <v>39</v>
      </c>
      <c r="G276" t="s">
        <v>26</v>
      </c>
      <c r="H276">
        <v>1067</v>
      </c>
      <c r="I276">
        <v>1067</v>
      </c>
      <c r="J276">
        <v>37.233364573570697</v>
      </c>
      <c r="K276">
        <v>139.19600024693599</v>
      </c>
      <c r="L276">
        <v>14.136178372484901</v>
      </c>
      <c r="M276">
        <v>360.546298525098</v>
      </c>
      <c r="N276">
        <v>0</v>
      </c>
      <c r="O276">
        <v>0</v>
      </c>
      <c r="P276">
        <v>1902.1707229999899</v>
      </c>
      <c r="Q276">
        <v>1685.21901430199</v>
      </c>
    </row>
    <row r="277" spans="1:17" x14ac:dyDescent="0.3">
      <c r="A277">
        <v>25</v>
      </c>
      <c r="B277" t="s">
        <v>13</v>
      </c>
      <c r="C277">
        <v>354.02040094626602</v>
      </c>
      <c r="D277">
        <v>1.36078431372549</v>
      </c>
      <c r="F277">
        <v>39</v>
      </c>
      <c r="G277" t="s">
        <v>27</v>
      </c>
      <c r="H277">
        <v>714</v>
      </c>
      <c r="I277">
        <v>714</v>
      </c>
      <c r="J277">
        <v>35.275910364145602</v>
      </c>
      <c r="K277">
        <v>94.149075608692698</v>
      </c>
      <c r="L277">
        <v>14.136178372484901</v>
      </c>
      <c r="M277">
        <v>241.303507263819</v>
      </c>
      <c r="N277">
        <v>0</v>
      </c>
      <c r="O277">
        <v>0</v>
      </c>
      <c r="P277">
        <v>1264.2986059999901</v>
      </c>
      <c r="Q277">
        <v>1118.1835395109899</v>
      </c>
    </row>
    <row r="278" spans="1:17" x14ac:dyDescent="0.3">
      <c r="A278">
        <v>26</v>
      </c>
      <c r="B278" t="s">
        <v>3</v>
      </c>
      <c r="C278">
        <v>15.136836221326099</v>
      </c>
      <c r="D278">
        <v>4.32</v>
      </c>
      <c r="F278">
        <v>39</v>
      </c>
      <c r="G278" t="s">
        <v>28</v>
      </c>
      <c r="H278">
        <v>714</v>
      </c>
      <c r="I278">
        <v>714</v>
      </c>
      <c r="J278">
        <v>35.275910364145602</v>
      </c>
      <c r="K278">
        <v>92.557779411911298</v>
      </c>
      <c r="L278">
        <v>14.136178372484901</v>
      </c>
      <c r="M278">
        <v>242.712518332977</v>
      </c>
      <c r="N278">
        <v>0</v>
      </c>
      <c r="O278">
        <v>0</v>
      </c>
      <c r="P278">
        <v>1180.0638629999901</v>
      </c>
      <c r="Q278">
        <v>1045.1895262779999</v>
      </c>
    </row>
    <row r="279" spans="1:17" x14ac:dyDescent="0.3">
      <c r="A279">
        <v>26</v>
      </c>
      <c r="B279" t="s">
        <v>4</v>
      </c>
      <c r="C279">
        <v>15.407791001315699</v>
      </c>
      <c r="D279">
        <v>4.3846153846153797</v>
      </c>
      <c r="F279">
        <v>39</v>
      </c>
      <c r="G279" t="s">
        <v>29</v>
      </c>
      <c r="H279">
        <v>0</v>
      </c>
      <c r="I279">
        <v>0</v>
      </c>
      <c r="J279">
        <v>0</v>
      </c>
      <c r="K279">
        <v>0</v>
      </c>
      <c r="L279">
        <v>14.136178372484901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3">
      <c r="A280">
        <v>26</v>
      </c>
      <c r="B280" t="s">
        <v>5</v>
      </c>
      <c r="C280">
        <v>19.564815126852199</v>
      </c>
      <c r="D280">
        <v>4.5</v>
      </c>
      <c r="F280">
        <v>39</v>
      </c>
      <c r="G280" t="s">
        <v>30</v>
      </c>
      <c r="H280">
        <v>0</v>
      </c>
      <c r="I280">
        <v>0</v>
      </c>
      <c r="J280">
        <v>0</v>
      </c>
      <c r="K280">
        <v>0</v>
      </c>
      <c r="L280">
        <v>14.136178372484901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">
      <c r="A281">
        <v>26</v>
      </c>
      <c r="B281" t="s">
        <v>6</v>
      </c>
      <c r="C281">
        <v>64.3487362688263</v>
      </c>
      <c r="D281">
        <v>4.0862068965517198</v>
      </c>
      <c r="F281">
        <v>39</v>
      </c>
      <c r="G281" t="s">
        <v>31</v>
      </c>
      <c r="H281">
        <v>0</v>
      </c>
      <c r="I281">
        <v>0</v>
      </c>
      <c r="J281">
        <v>0</v>
      </c>
      <c r="K281">
        <v>0</v>
      </c>
      <c r="L281">
        <v>14.136178372484901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">
      <c r="A282">
        <v>26</v>
      </c>
      <c r="B282" t="s">
        <v>7</v>
      </c>
      <c r="C282">
        <v>65.446487716304205</v>
      </c>
      <c r="D282">
        <v>3.5</v>
      </c>
      <c r="F282">
        <v>39</v>
      </c>
      <c r="G282" t="s">
        <v>32</v>
      </c>
      <c r="H282">
        <v>0</v>
      </c>
      <c r="I282">
        <v>0</v>
      </c>
      <c r="J282">
        <v>0</v>
      </c>
      <c r="K282">
        <v>0</v>
      </c>
      <c r="L282">
        <v>14.136178372484901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3">
      <c r="A283">
        <v>26</v>
      </c>
      <c r="B283" t="s">
        <v>8</v>
      </c>
      <c r="C283">
        <v>78.941133663694302</v>
      </c>
      <c r="D283">
        <v>4</v>
      </c>
      <c r="F283">
        <v>40</v>
      </c>
      <c r="G283" t="s">
        <v>25</v>
      </c>
      <c r="H283">
        <v>1287</v>
      </c>
      <c r="I283">
        <v>1209</v>
      </c>
      <c r="J283">
        <v>77.160839160839103</v>
      </c>
      <c r="K283">
        <v>201.504803108206</v>
      </c>
      <c r="L283">
        <v>6.3724031994442498</v>
      </c>
      <c r="M283">
        <v>425.72679075251699</v>
      </c>
      <c r="N283">
        <v>0</v>
      </c>
      <c r="O283">
        <v>0</v>
      </c>
      <c r="P283">
        <v>2793.3199279999899</v>
      </c>
      <c r="Q283">
        <v>2423.5327666029898</v>
      </c>
    </row>
    <row r="284" spans="1:17" x14ac:dyDescent="0.3">
      <c r="A284">
        <v>26</v>
      </c>
      <c r="B284" t="s">
        <v>9</v>
      </c>
      <c r="C284">
        <v>81.089785190613995</v>
      </c>
      <c r="D284">
        <v>3.5448275862068899</v>
      </c>
      <c r="F284">
        <v>40</v>
      </c>
      <c r="G284" t="s">
        <v>26</v>
      </c>
      <c r="H284">
        <v>1124</v>
      </c>
      <c r="I284">
        <v>1122</v>
      </c>
      <c r="J284">
        <v>70.030249110320199</v>
      </c>
      <c r="K284">
        <v>197.33630161672701</v>
      </c>
      <c r="L284">
        <v>6.3724031994442498</v>
      </c>
      <c r="M284">
        <v>386.35227161515598</v>
      </c>
      <c r="N284">
        <v>0</v>
      </c>
      <c r="O284">
        <v>0</v>
      </c>
      <c r="P284">
        <v>2734.9962519999999</v>
      </c>
      <c r="Q284">
        <v>2343.3742238099899</v>
      </c>
    </row>
    <row r="285" spans="1:17" x14ac:dyDescent="0.3">
      <c r="A285">
        <v>26</v>
      </c>
      <c r="B285" t="s">
        <v>10</v>
      </c>
      <c r="C285">
        <v>117.96097070454501</v>
      </c>
      <c r="D285">
        <v>1.3891547049441699</v>
      </c>
      <c r="F285">
        <v>40</v>
      </c>
      <c r="G285" t="s">
        <v>27</v>
      </c>
      <c r="H285">
        <v>700</v>
      </c>
      <c r="I285">
        <v>700</v>
      </c>
      <c r="J285">
        <v>88.484285714285704</v>
      </c>
      <c r="K285">
        <v>111.264130445722</v>
      </c>
      <c r="L285">
        <v>6.3724031994442498</v>
      </c>
      <c r="M285">
        <v>190.165246538746</v>
      </c>
      <c r="N285">
        <v>0</v>
      </c>
      <c r="O285">
        <v>0</v>
      </c>
      <c r="P285">
        <v>1276.6291329999899</v>
      </c>
      <c r="Q285">
        <v>1085.02628625699</v>
      </c>
    </row>
    <row r="286" spans="1:17" x14ac:dyDescent="0.3">
      <c r="A286">
        <v>26</v>
      </c>
      <c r="B286" t="s">
        <v>11</v>
      </c>
      <c r="C286">
        <v>273.960523273685</v>
      </c>
      <c r="D286">
        <v>4.0797546012269903</v>
      </c>
      <c r="F286">
        <v>40</v>
      </c>
      <c r="G286" t="s">
        <v>28</v>
      </c>
      <c r="H286">
        <v>695</v>
      </c>
      <c r="I286">
        <v>695</v>
      </c>
      <c r="J286">
        <v>87.847482014388405</v>
      </c>
      <c r="K286">
        <v>110.87230226405001</v>
      </c>
      <c r="L286">
        <v>6.3724031994442498</v>
      </c>
      <c r="M286">
        <v>189.395089389655</v>
      </c>
      <c r="N286">
        <v>0</v>
      </c>
      <c r="O286">
        <v>0</v>
      </c>
      <c r="P286">
        <v>1276.5925259999899</v>
      </c>
      <c r="Q286">
        <v>1082.584851821</v>
      </c>
    </row>
    <row r="287" spans="1:17" x14ac:dyDescent="0.3">
      <c r="A287">
        <v>26</v>
      </c>
      <c r="B287" t="s">
        <v>12</v>
      </c>
      <c r="C287">
        <v>353.58804582484299</v>
      </c>
      <c r="D287">
        <v>4.5510688836104496</v>
      </c>
      <c r="F287">
        <v>41</v>
      </c>
      <c r="G287" t="s">
        <v>25</v>
      </c>
      <c r="H287">
        <v>1078</v>
      </c>
      <c r="I287">
        <v>1078</v>
      </c>
      <c r="J287">
        <v>37.6669758812615</v>
      </c>
      <c r="K287">
        <v>140.48361726238301</v>
      </c>
      <c r="L287">
        <v>13.9468796030439</v>
      </c>
      <c r="M287">
        <v>368.19515278368698</v>
      </c>
      <c r="N287">
        <v>0</v>
      </c>
      <c r="O287">
        <v>0</v>
      </c>
      <c r="P287">
        <v>1901.7667669999901</v>
      </c>
      <c r="Q287">
        <v>1684.8101157379999</v>
      </c>
    </row>
    <row r="288" spans="1:17" x14ac:dyDescent="0.3">
      <c r="A288">
        <v>26</v>
      </c>
      <c r="B288" t="s">
        <v>13</v>
      </c>
      <c r="C288">
        <v>354.86236978469998</v>
      </c>
      <c r="D288">
        <v>1.36078431372549</v>
      </c>
      <c r="F288">
        <v>41</v>
      </c>
      <c r="G288" t="s">
        <v>26</v>
      </c>
      <c r="H288">
        <v>1067</v>
      </c>
      <c r="I288">
        <v>1067</v>
      </c>
      <c r="J288">
        <v>37.233364573570697</v>
      </c>
      <c r="K288">
        <v>138.92846348332901</v>
      </c>
      <c r="L288">
        <v>13.9468796030439</v>
      </c>
      <c r="M288">
        <v>361.28470551285301</v>
      </c>
      <c r="N288">
        <v>0</v>
      </c>
      <c r="O288">
        <v>0</v>
      </c>
      <c r="P288">
        <v>1906.87326999999</v>
      </c>
      <c r="Q288">
        <v>1690.38451710099</v>
      </c>
    </row>
    <row r="289" spans="1:17" x14ac:dyDescent="0.3">
      <c r="A289">
        <v>27</v>
      </c>
      <c r="B289" t="s">
        <v>3</v>
      </c>
      <c r="C289">
        <v>15.347322138020999</v>
      </c>
      <c r="D289">
        <v>4.32</v>
      </c>
      <c r="F289">
        <v>41</v>
      </c>
      <c r="G289" t="s">
        <v>27</v>
      </c>
      <c r="H289">
        <v>714</v>
      </c>
      <c r="I289">
        <v>714</v>
      </c>
      <c r="J289">
        <v>35.275910364145602</v>
      </c>
      <c r="K289">
        <v>94.259148846718304</v>
      </c>
      <c r="L289">
        <v>13.9468796030439</v>
      </c>
      <c r="M289">
        <v>240.96655818617401</v>
      </c>
      <c r="N289">
        <v>0</v>
      </c>
      <c r="O289">
        <v>0</v>
      </c>
      <c r="P289">
        <v>1279.75084099999</v>
      </c>
      <c r="Q289">
        <v>1131.57967749299</v>
      </c>
    </row>
    <row r="290" spans="1:17" x14ac:dyDescent="0.3">
      <c r="A290">
        <v>27</v>
      </c>
      <c r="B290" t="s">
        <v>4</v>
      </c>
      <c r="C290">
        <v>15.7164301558053</v>
      </c>
      <c r="D290">
        <v>4.3846153846153797</v>
      </c>
      <c r="F290">
        <v>41</v>
      </c>
      <c r="G290" t="s">
        <v>28</v>
      </c>
      <c r="H290">
        <v>714</v>
      </c>
      <c r="I290">
        <v>714</v>
      </c>
      <c r="J290">
        <v>35.275910364145602</v>
      </c>
      <c r="K290">
        <v>92.442805811281602</v>
      </c>
      <c r="L290">
        <v>13.9468796030439</v>
      </c>
      <c r="M290">
        <v>242.93210898210501</v>
      </c>
      <c r="N290">
        <v>0</v>
      </c>
      <c r="O290">
        <v>0</v>
      </c>
      <c r="P290">
        <v>1180.2967739999899</v>
      </c>
      <c r="Q290">
        <v>1045.490159984</v>
      </c>
    </row>
    <row r="291" spans="1:17" x14ac:dyDescent="0.3">
      <c r="A291">
        <v>27</v>
      </c>
      <c r="B291" t="s">
        <v>5</v>
      </c>
      <c r="C291">
        <v>19.652534792098798</v>
      </c>
      <c r="D291">
        <v>4.5</v>
      </c>
      <c r="F291">
        <v>41</v>
      </c>
      <c r="G291" t="s">
        <v>29</v>
      </c>
      <c r="H291">
        <v>0</v>
      </c>
      <c r="I291">
        <v>0</v>
      </c>
      <c r="J291">
        <v>0</v>
      </c>
      <c r="K291">
        <v>0</v>
      </c>
      <c r="L291">
        <v>13.9468796030439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3">
      <c r="A292">
        <v>27</v>
      </c>
      <c r="B292" t="s">
        <v>6</v>
      </c>
      <c r="C292">
        <v>64.824148326458499</v>
      </c>
      <c r="D292">
        <v>4.0862068965517198</v>
      </c>
      <c r="F292">
        <v>41</v>
      </c>
      <c r="G292" t="s">
        <v>30</v>
      </c>
      <c r="H292">
        <v>0</v>
      </c>
      <c r="I292">
        <v>0</v>
      </c>
      <c r="J292">
        <v>0</v>
      </c>
      <c r="K292">
        <v>0</v>
      </c>
      <c r="L292">
        <v>13.9468796030439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">
      <c r="A293">
        <v>27</v>
      </c>
      <c r="B293" t="s">
        <v>7</v>
      </c>
      <c r="C293">
        <v>65.901664933010295</v>
      </c>
      <c r="D293">
        <v>3.5</v>
      </c>
      <c r="F293">
        <v>41</v>
      </c>
      <c r="G293" t="s">
        <v>31</v>
      </c>
      <c r="H293">
        <v>0</v>
      </c>
      <c r="I293">
        <v>0</v>
      </c>
      <c r="J293">
        <v>0</v>
      </c>
      <c r="K293">
        <v>0</v>
      </c>
      <c r="L293">
        <v>13.9468796030439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3">
      <c r="A294">
        <v>27</v>
      </c>
      <c r="B294" t="s">
        <v>8</v>
      </c>
      <c r="C294">
        <v>78.844587675203996</v>
      </c>
      <c r="D294">
        <v>4</v>
      </c>
      <c r="F294">
        <v>41</v>
      </c>
      <c r="G294" t="s">
        <v>32</v>
      </c>
      <c r="H294">
        <v>0</v>
      </c>
      <c r="I294">
        <v>0</v>
      </c>
      <c r="J294">
        <v>0</v>
      </c>
      <c r="K294">
        <v>0</v>
      </c>
      <c r="L294">
        <v>13.9468796030439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3">
      <c r="A295">
        <v>27</v>
      </c>
      <c r="B295" t="s">
        <v>9</v>
      </c>
      <c r="C295">
        <v>81.696443462364797</v>
      </c>
      <c r="D295">
        <v>3.5448275862068899</v>
      </c>
      <c r="F295">
        <v>42</v>
      </c>
      <c r="G295" t="s">
        <v>25</v>
      </c>
      <c r="H295">
        <v>1078</v>
      </c>
      <c r="I295">
        <v>1078</v>
      </c>
      <c r="J295">
        <v>37.6669758812615</v>
      </c>
      <c r="K295">
        <v>140.35332729067599</v>
      </c>
      <c r="L295">
        <v>13.9602569620377</v>
      </c>
      <c r="M295">
        <v>368.85668857769502</v>
      </c>
      <c r="N295">
        <v>0</v>
      </c>
      <c r="O295">
        <v>0</v>
      </c>
      <c r="P295">
        <v>1905.4664129999901</v>
      </c>
      <c r="Q295">
        <v>1688.3831220540001</v>
      </c>
    </row>
    <row r="296" spans="1:17" x14ac:dyDescent="0.3">
      <c r="A296">
        <v>27</v>
      </c>
      <c r="B296" t="s">
        <v>10</v>
      </c>
      <c r="C296">
        <v>116.43656096108199</v>
      </c>
      <c r="D296">
        <v>1.3891547049441699</v>
      </c>
      <c r="F296">
        <v>42</v>
      </c>
      <c r="G296" t="s">
        <v>26</v>
      </c>
      <c r="H296">
        <v>1067</v>
      </c>
      <c r="I296">
        <v>1067</v>
      </c>
      <c r="J296">
        <v>37.233364573570697</v>
      </c>
      <c r="K296">
        <v>139.21966989412101</v>
      </c>
      <c r="L296">
        <v>13.9602569620377</v>
      </c>
      <c r="M296">
        <v>362.11546352915002</v>
      </c>
      <c r="N296">
        <v>0</v>
      </c>
      <c r="O296">
        <v>0</v>
      </c>
      <c r="P296">
        <v>1906.4593129999901</v>
      </c>
      <c r="Q296">
        <v>1687.45682338499</v>
      </c>
    </row>
    <row r="297" spans="1:17" x14ac:dyDescent="0.3">
      <c r="A297">
        <v>27</v>
      </c>
      <c r="B297" t="s">
        <v>11</v>
      </c>
      <c r="C297">
        <v>275.65954357778702</v>
      </c>
      <c r="D297">
        <v>4.0797546012269903</v>
      </c>
      <c r="F297">
        <v>42</v>
      </c>
      <c r="G297" t="s">
        <v>27</v>
      </c>
      <c r="H297">
        <v>714</v>
      </c>
      <c r="I297">
        <v>714</v>
      </c>
      <c r="J297">
        <v>35.275910364145602</v>
      </c>
      <c r="K297">
        <v>93.764962961065194</v>
      </c>
      <c r="L297">
        <v>13.9602569620377</v>
      </c>
      <c r="M297">
        <v>241.18050759122499</v>
      </c>
      <c r="N297">
        <v>0</v>
      </c>
      <c r="O297">
        <v>0</v>
      </c>
      <c r="P297">
        <v>1264.8295539999899</v>
      </c>
      <c r="Q297">
        <v>1118.1149500859899</v>
      </c>
    </row>
    <row r="298" spans="1:17" x14ac:dyDescent="0.3">
      <c r="A298">
        <v>27</v>
      </c>
      <c r="B298" t="s">
        <v>12</v>
      </c>
      <c r="C298">
        <v>353.45626764526298</v>
      </c>
      <c r="D298">
        <v>4.5510688836104496</v>
      </c>
      <c r="F298">
        <v>42</v>
      </c>
      <c r="G298" t="s">
        <v>28</v>
      </c>
      <c r="H298">
        <v>714</v>
      </c>
      <c r="I298">
        <v>714</v>
      </c>
      <c r="J298">
        <v>35.275910364145602</v>
      </c>
      <c r="K298">
        <v>93.462804033368698</v>
      </c>
      <c r="L298">
        <v>13.9602569620377</v>
      </c>
      <c r="M298">
        <v>242.38969599920901</v>
      </c>
      <c r="N298">
        <v>0</v>
      </c>
      <c r="O298">
        <v>0</v>
      </c>
      <c r="P298">
        <v>1193.89524799999</v>
      </c>
      <c r="Q298">
        <v>1055.9553794389999</v>
      </c>
    </row>
    <row r="299" spans="1:17" x14ac:dyDescent="0.3">
      <c r="A299">
        <v>27</v>
      </c>
      <c r="B299" t="s">
        <v>13</v>
      </c>
      <c r="C299">
        <v>352.76545929520199</v>
      </c>
      <c r="D299">
        <v>1.36078431372549</v>
      </c>
      <c r="F299">
        <v>42</v>
      </c>
      <c r="G299" t="s">
        <v>29</v>
      </c>
      <c r="H299">
        <v>0</v>
      </c>
      <c r="I299">
        <v>0</v>
      </c>
      <c r="J299">
        <v>0</v>
      </c>
      <c r="K299">
        <v>0</v>
      </c>
      <c r="L299">
        <v>13.9602569620377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3">
      <c r="A300">
        <v>28</v>
      </c>
      <c r="B300" t="s">
        <v>3</v>
      </c>
      <c r="C300">
        <v>15.2890111792039</v>
      </c>
      <c r="D300">
        <v>4</v>
      </c>
      <c r="F300">
        <v>42</v>
      </c>
      <c r="G300" t="s">
        <v>30</v>
      </c>
      <c r="H300">
        <v>0</v>
      </c>
      <c r="I300">
        <v>0</v>
      </c>
      <c r="J300">
        <v>0</v>
      </c>
      <c r="K300">
        <v>0</v>
      </c>
      <c r="L300">
        <v>13.9602569620377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3">
      <c r="A301">
        <v>28</v>
      </c>
      <c r="B301" t="s">
        <v>4</v>
      </c>
      <c r="C301">
        <v>15.1956052535682</v>
      </c>
      <c r="D301">
        <v>3.5</v>
      </c>
      <c r="F301">
        <v>42</v>
      </c>
      <c r="G301" t="s">
        <v>31</v>
      </c>
      <c r="H301">
        <v>0</v>
      </c>
      <c r="I301">
        <v>0</v>
      </c>
      <c r="J301">
        <v>0</v>
      </c>
      <c r="K301">
        <v>0</v>
      </c>
      <c r="L301">
        <v>13.9602569620377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3">
      <c r="A302">
        <v>28</v>
      </c>
      <c r="B302" t="s">
        <v>5</v>
      </c>
      <c r="C302">
        <v>19.581274150460299</v>
      </c>
      <c r="D302">
        <v>5</v>
      </c>
      <c r="F302">
        <v>42</v>
      </c>
      <c r="G302" t="s">
        <v>32</v>
      </c>
      <c r="H302">
        <v>0</v>
      </c>
      <c r="I302">
        <v>0</v>
      </c>
      <c r="J302">
        <v>0</v>
      </c>
      <c r="K302">
        <v>0</v>
      </c>
      <c r="L302">
        <v>13.9602569620377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3">
      <c r="A303">
        <v>28</v>
      </c>
      <c r="B303" t="s">
        <v>6</v>
      </c>
      <c r="C303">
        <v>64.392148045999093</v>
      </c>
      <c r="D303">
        <v>3.3728813559322002</v>
      </c>
      <c r="F303">
        <v>43</v>
      </c>
      <c r="G303" t="s">
        <v>25</v>
      </c>
      <c r="H303">
        <v>1078</v>
      </c>
      <c r="I303">
        <v>1078</v>
      </c>
      <c r="J303">
        <v>37.6669758812615</v>
      </c>
      <c r="K303">
        <v>140.46358258477599</v>
      </c>
      <c r="L303">
        <v>13.9306803537596</v>
      </c>
      <c r="M303">
        <v>367.32352066186701</v>
      </c>
      <c r="N303">
        <v>0</v>
      </c>
      <c r="O303">
        <v>0</v>
      </c>
      <c r="P303">
        <v>1898.50169799999</v>
      </c>
      <c r="Q303">
        <v>1681.977363495</v>
      </c>
    </row>
    <row r="304" spans="1:17" x14ac:dyDescent="0.3">
      <c r="A304">
        <v>28</v>
      </c>
      <c r="B304" t="s">
        <v>7</v>
      </c>
      <c r="C304">
        <v>65.137439594567397</v>
      </c>
      <c r="D304">
        <v>3.6583333333333301</v>
      </c>
      <c r="F304">
        <v>43</v>
      </c>
      <c r="G304" t="s">
        <v>26</v>
      </c>
      <c r="H304">
        <v>1067</v>
      </c>
      <c r="I304">
        <v>1067</v>
      </c>
      <c r="J304">
        <v>37.233364573570697</v>
      </c>
      <c r="K304">
        <v>139.51223292010499</v>
      </c>
      <c r="L304">
        <v>13.9306803537596</v>
      </c>
      <c r="M304">
        <v>362.09236964271901</v>
      </c>
      <c r="N304">
        <v>0</v>
      </c>
      <c r="O304">
        <v>0</v>
      </c>
      <c r="P304">
        <v>1907.27761099999</v>
      </c>
      <c r="Q304">
        <v>1690.3324331459901</v>
      </c>
    </row>
    <row r="305" spans="1:17" x14ac:dyDescent="0.3">
      <c r="A305">
        <v>28</v>
      </c>
      <c r="B305" t="s">
        <v>8</v>
      </c>
      <c r="C305">
        <v>79.008400236777504</v>
      </c>
      <c r="D305">
        <v>4</v>
      </c>
      <c r="F305">
        <v>43</v>
      </c>
      <c r="G305" t="s">
        <v>27</v>
      </c>
      <c r="H305">
        <v>714</v>
      </c>
      <c r="I305">
        <v>714</v>
      </c>
      <c r="J305">
        <v>35.275910364145602</v>
      </c>
      <c r="K305">
        <v>93.832101258620398</v>
      </c>
      <c r="L305">
        <v>13.9306803537596</v>
      </c>
      <c r="M305">
        <v>239.70516161184401</v>
      </c>
      <c r="N305">
        <v>0</v>
      </c>
      <c r="O305">
        <v>0</v>
      </c>
      <c r="P305">
        <v>1264.7983629999901</v>
      </c>
      <c r="Q305">
        <v>1119.2946331559899</v>
      </c>
    </row>
    <row r="306" spans="1:17" x14ac:dyDescent="0.3">
      <c r="A306">
        <v>28</v>
      </c>
      <c r="B306" t="s">
        <v>9</v>
      </c>
      <c r="C306">
        <v>81.550730372596504</v>
      </c>
      <c r="D306">
        <v>3.5</v>
      </c>
      <c r="F306">
        <v>43</v>
      </c>
      <c r="G306" t="s">
        <v>28</v>
      </c>
      <c r="H306">
        <v>714</v>
      </c>
      <c r="I306">
        <v>714</v>
      </c>
      <c r="J306">
        <v>35.275910364145602</v>
      </c>
      <c r="K306">
        <v>93.626961655442202</v>
      </c>
      <c r="L306">
        <v>13.9306803537596</v>
      </c>
      <c r="M306">
        <v>242.848138860657</v>
      </c>
      <c r="N306">
        <v>0</v>
      </c>
      <c r="O306">
        <v>0</v>
      </c>
      <c r="P306">
        <v>1194.6833529999899</v>
      </c>
      <c r="Q306">
        <v>1056.628386332</v>
      </c>
    </row>
    <row r="307" spans="1:17" x14ac:dyDescent="0.3">
      <c r="A307">
        <v>28</v>
      </c>
      <c r="B307" t="s">
        <v>10</v>
      </c>
      <c r="C307">
        <v>117.561459643937</v>
      </c>
      <c r="D307">
        <v>1.7147826086956499</v>
      </c>
      <c r="F307">
        <v>43</v>
      </c>
      <c r="G307" t="s">
        <v>29</v>
      </c>
      <c r="H307">
        <v>0</v>
      </c>
      <c r="I307">
        <v>0</v>
      </c>
      <c r="J307">
        <v>0</v>
      </c>
      <c r="K307">
        <v>0</v>
      </c>
      <c r="L307">
        <v>13.9306803537596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3">
      <c r="A308">
        <v>28</v>
      </c>
      <c r="B308" t="s">
        <v>11</v>
      </c>
      <c r="C308">
        <v>272.04147453120697</v>
      </c>
      <c r="D308">
        <v>3.9898989898989901</v>
      </c>
      <c r="F308">
        <v>43</v>
      </c>
      <c r="G308" t="s">
        <v>30</v>
      </c>
      <c r="H308">
        <v>0</v>
      </c>
      <c r="I308">
        <v>0</v>
      </c>
      <c r="J308">
        <v>0</v>
      </c>
      <c r="K308">
        <v>0</v>
      </c>
      <c r="L308">
        <v>13.9306803537596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3">
      <c r="A309">
        <v>28</v>
      </c>
      <c r="B309" t="s">
        <v>12</v>
      </c>
      <c r="C309">
        <v>352.82926844443801</v>
      </c>
      <c r="D309">
        <v>4.5093023255813902</v>
      </c>
      <c r="F309">
        <v>43</v>
      </c>
      <c r="G309" t="s">
        <v>31</v>
      </c>
      <c r="H309">
        <v>0</v>
      </c>
      <c r="I309">
        <v>0</v>
      </c>
      <c r="J309">
        <v>0</v>
      </c>
      <c r="K309">
        <v>0</v>
      </c>
      <c r="L309">
        <v>13.9306803537596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3">
      <c r="A310">
        <v>28</v>
      </c>
      <c r="B310" t="s">
        <v>13</v>
      </c>
      <c r="C310">
        <v>352.64602165109602</v>
      </c>
      <c r="D310">
        <v>1.33877233877233</v>
      </c>
      <c r="F310">
        <v>43</v>
      </c>
      <c r="G310" t="s">
        <v>32</v>
      </c>
      <c r="H310">
        <v>0</v>
      </c>
      <c r="I310">
        <v>0</v>
      </c>
      <c r="J310">
        <v>0</v>
      </c>
      <c r="K310">
        <v>0</v>
      </c>
      <c r="L310">
        <v>13.9306803537596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3">
      <c r="A311">
        <v>29</v>
      </c>
      <c r="B311" t="s">
        <v>3</v>
      </c>
      <c r="C311">
        <v>15.1533115830025</v>
      </c>
      <c r="D311">
        <v>4</v>
      </c>
      <c r="F311">
        <v>44</v>
      </c>
      <c r="G311" t="s">
        <v>25</v>
      </c>
      <c r="H311">
        <v>1078</v>
      </c>
      <c r="I311">
        <v>1078</v>
      </c>
      <c r="J311">
        <v>37.6669758812615</v>
      </c>
      <c r="K311">
        <v>140.141007513163</v>
      </c>
      <c r="L311">
        <v>13.915986258389101</v>
      </c>
      <c r="M311">
        <v>366.43712601608797</v>
      </c>
      <c r="N311">
        <v>0</v>
      </c>
      <c r="O311">
        <v>0</v>
      </c>
      <c r="P311">
        <v>1901.3124869999899</v>
      </c>
      <c r="Q311">
        <v>1684.160101576</v>
      </c>
    </row>
    <row r="312" spans="1:17" x14ac:dyDescent="0.3">
      <c r="A312">
        <v>29</v>
      </c>
      <c r="B312" t="s">
        <v>4</v>
      </c>
      <c r="C312">
        <v>15.5730121746212</v>
      </c>
      <c r="D312">
        <v>3.5</v>
      </c>
      <c r="F312">
        <v>44</v>
      </c>
      <c r="G312" t="s">
        <v>26</v>
      </c>
      <c r="H312">
        <v>1067</v>
      </c>
      <c r="I312">
        <v>1067</v>
      </c>
      <c r="J312">
        <v>37.233364573570697</v>
      </c>
      <c r="K312">
        <v>139.40583790945101</v>
      </c>
      <c r="L312">
        <v>13.915986258389101</v>
      </c>
      <c r="M312">
        <v>360.17117468355298</v>
      </c>
      <c r="N312">
        <v>0</v>
      </c>
      <c r="O312">
        <v>0</v>
      </c>
      <c r="P312">
        <v>1907.4117819999899</v>
      </c>
      <c r="Q312">
        <v>1689.36486732199</v>
      </c>
    </row>
    <row r="313" spans="1:17" x14ac:dyDescent="0.3">
      <c r="A313">
        <v>29</v>
      </c>
      <c r="B313" t="s">
        <v>5</v>
      </c>
      <c r="C313">
        <v>19.888737617982599</v>
      </c>
      <c r="D313">
        <v>5</v>
      </c>
      <c r="F313">
        <v>44</v>
      </c>
      <c r="G313" t="s">
        <v>27</v>
      </c>
      <c r="H313">
        <v>714</v>
      </c>
      <c r="I313">
        <v>714</v>
      </c>
      <c r="J313">
        <v>35.275910364145602</v>
      </c>
      <c r="K313">
        <v>93.807901295289696</v>
      </c>
      <c r="L313">
        <v>13.915986258389101</v>
      </c>
      <c r="M313">
        <v>240.53420825220201</v>
      </c>
      <c r="N313">
        <v>0</v>
      </c>
      <c r="O313">
        <v>0</v>
      </c>
      <c r="P313">
        <v>1264.8295539999899</v>
      </c>
      <c r="Q313">
        <v>1117.98779110499</v>
      </c>
    </row>
    <row r="314" spans="1:17" x14ac:dyDescent="0.3">
      <c r="A314">
        <v>29</v>
      </c>
      <c r="B314" t="s">
        <v>6</v>
      </c>
      <c r="C314">
        <v>63.523132813245702</v>
      </c>
      <c r="D314">
        <v>3.3983050847457599</v>
      </c>
      <c r="F314">
        <v>44</v>
      </c>
      <c r="G314" t="s">
        <v>28</v>
      </c>
      <c r="H314">
        <v>714</v>
      </c>
      <c r="I314">
        <v>714</v>
      </c>
      <c r="J314">
        <v>35.275910364145602</v>
      </c>
      <c r="K314">
        <v>92.9820636325815</v>
      </c>
      <c r="L314">
        <v>13.915986258389101</v>
      </c>
      <c r="M314">
        <v>243.54829552800999</v>
      </c>
      <c r="N314">
        <v>0</v>
      </c>
      <c r="O314">
        <v>0</v>
      </c>
      <c r="P314">
        <v>1194.3500319999901</v>
      </c>
      <c r="Q314">
        <v>1056.4469076800001</v>
      </c>
    </row>
    <row r="315" spans="1:17" x14ac:dyDescent="0.3">
      <c r="A315">
        <v>29</v>
      </c>
      <c r="B315" t="s">
        <v>7</v>
      </c>
      <c r="C315">
        <v>66.429352846854897</v>
      </c>
      <c r="D315">
        <v>3.7</v>
      </c>
      <c r="F315">
        <v>44</v>
      </c>
      <c r="G315" t="s">
        <v>29</v>
      </c>
      <c r="H315">
        <v>0</v>
      </c>
      <c r="I315">
        <v>0</v>
      </c>
      <c r="J315">
        <v>0</v>
      </c>
      <c r="K315">
        <v>0</v>
      </c>
      <c r="L315">
        <v>13.915986258389101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3">
      <c r="A316">
        <v>29</v>
      </c>
      <c r="B316" t="s">
        <v>8</v>
      </c>
      <c r="C316">
        <v>78.649440520514503</v>
      </c>
      <c r="D316">
        <v>4</v>
      </c>
      <c r="F316">
        <v>44</v>
      </c>
      <c r="G316" t="s">
        <v>30</v>
      </c>
      <c r="H316">
        <v>0</v>
      </c>
      <c r="I316">
        <v>0</v>
      </c>
      <c r="J316">
        <v>0</v>
      </c>
      <c r="K316">
        <v>0</v>
      </c>
      <c r="L316">
        <v>13.915986258389101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3">
      <c r="A317">
        <v>29</v>
      </c>
      <c r="B317" t="s">
        <v>9</v>
      </c>
      <c r="C317">
        <v>80.847533012880305</v>
      </c>
      <c r="D317">
        <v>3.5</v>
      </c>
      <c r="F317">
        <v>44</v>
      </c>
      <c r="G317" t="s">
        <v>31</v>
      </c>
      <c r="H317">
        <v>0</v>
      </c>
      <c r="I317">
        <v>0</v>
      </c>
      <c r="J317">
        <v>0</v>
      </c>
      <c r="K317">
        <v>0</v>
      </c>
      <c r="L317">
        <v>13.915986258389101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3">
      <c r="A318">
        <v>29</v>
      </c>
      <c r="B318" t="s">
        <v>10</v>
      </c>
      <c r="C318">
        <v>117.600352540353</v>
      </c>
      <c r="D318">
        <v>1.7155322862129101</v>
      </c>
      <c r="F318">
        <v>44</v>
      </c>
      <c r="G318" t="s">
        <v>32</v>
      </c>
      <c r="H318">
        <v>0</v>
      </c>
      <c r="I318">
        <v>0</v>
      </c>
      <c r="J318">
        <v>0</v>
      </c>
      <c r="K318">
        <v>0</v>
      </c>
      <c r="L318">
        <v>13.915986258389101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">
      <c r="A319">
        <v>29</v>
      </c>
      <c r="B319" t="s">
        <v>11</v>
      </c>
      <c r="C319">
        <v>273.54407646489</v>
      </c>
      <c r="D319">
        <v>3.98174442190669</v>
      </c>
      <c r="F319">
        <v>45</v>
      </c>
      <c r="G319" t="s">
        <v>25</v>
      </c>
      <c r="H319">
        <v>730</v>
      </c>
      <c r="I319">
        <v>730</v>
      </c>
      <c r="J319">
        <v>25.658904109588999</v>
      </c>
      <c r="K319">
        <v>102.087243864534</v>
      </c>
      <c r="L319">
        <v>10.9288171039237</v>
      </c>
      <c r="M319">
        <v>247.51111946298201</v>
      </c>
      <c r="N319">
        <v>0</v>
      </c>
      <c r="O319">
        <v>0</v>
      </c>
      <c r="P319">
        <v>1398.4658240000001</v>
      </c>
      <c r="Q319">
        <v>1213.9574989519999</v>
      </c>
    </row>
    <row r="320" spans="1:17" x14ac:dyDescent="0.3">
      <c r="A320">
        <v>29</v>
      </c>
      <c r="B320" t="s">
        <v>12</v>
      </c>
      <c r="C320">
        <v>350.86006274795301</v>
      </c>
      <c r="D320">
        <v>4.5116279069767398</v>
      </c>
      <c r="F320">
        <v>45</v>
      </c>
      <c r="G320" t="s">
        <v>26</v>
      </c>
      <c r="H320">
        <v>718</v>
      </c>
      <c r="I320">
        <v>718</v>
      </c>
      <c r="J320">
        <v>25.268802228412198</v>
      </c>
      <c r="K320">
        <v>100.56611347625601</v>
      </c>
      <c r="L320">
        <v>10.9288171039237</v>
      </c>
      <c r="M320">
        <v>239.62741082632601</v>
      </c>
      <c r="N320">
        <v>0</v>
      </c>
      <c r="O320">
        <v>0</v>
      </c>
      <c r="P320">
        <v>1378.7749189999899</v>
      </c>
      <c r="Q320">
        <v>1191.6152149669899</v>
      </c>
    </row>
    <row r="321" spans="1:17" x14ac:dyDescent="0.3">
      <c r="A321">
        <v>29</v>
      </c>
      <c r="B321" t="s">
        <v>13</v>
      </c>
      <c r="C321">
        <v>353.76465161297898</v>
      </c>
      <c r="D321">
        <v>1.33877233877233</v>
      </c>
      <c r="F321">
        <v>45</v>
      </c>
      <c r="G321" t="s">
        <v>27</v>
      </c>
      <c r="H321">
        <v>711</v>
      </c>
      <c r="I321">
        <v>711</v>
      </c>
      <c r="J321">
        <v>24.992967651195499</v>
      </c>
      <c r="K321">
        <v>100.36055391549201</v>
      </c>
      <c r="L321">
        <v>10.9288171039237</v>
      </c>
      <c r="M321">
        <v>241.47063681028499</v>
      </c>
      <c r="N321">
        <v>0</v>
      </c>
      <c r="O321">
        <v>0</v>
      </c>
      <c r="P321">
        <v>1381.0728749999901</v>
      </c>
      <c r="Q321">
        <v>1197.364608246</v>
      </c>
    </row>
    <row r="322" spans="1:17" x14ac:dyDescent="0.3">
      <c r="A322">
        <v>30</v>
      </c>
      <c r="B322" t="s">
        <v>3</v>
      </c>
      <c r="C322">
        <v>15.283472671603199</v>
      </c>
      <c r="D322">
        <v>4</v>
      </c>
      <c r="F322">
        <v>45</v>
      </c>
      <c r="G322" t="s">
        <v>28</v>
      </c>
      <c r="H322">
        <v>476</v>
      </c>
      <c r="I322">
        <v>476</v>
      </c>
      <c r="J322">
        <v>23.716386554621799</v>
      </c>
      <c r="K322">
        <v>68.727359521473204</v>
      </c>
      <c r="L322">
        <v>10.9288171039237</v>
      </c>
      <c r="M322">
        <v>160.56578264726301</v>
      </c>
      <c r="N322">
        <v>0</v>
      </c>
      <c r="O322">
        <v>0</v>
      </c>
      <c r="P322">
        <v>935.64821899999902</v>
      </c>
      <c r="Q322">
        <v>804.84606467799995</v>
      </c>
    </row>
    <row r="323" spans="1:17" x14ac:dyDescent="0.3">
      <c r="A323">
        <v>30</v>
      </c>
      <c r="B323" t="s">
        <v>4</v>
      </c>
      <c r="C323">
        <v>15.258861506614799</v>
      </c>
      <c r="D323">
        <v>3.5</v>
      </c>
      <c r="F323">
        <v>45</v>
      </c>
      <c r="G323" t="s">
        <v>29</v>
      </c>
      <c r="H323">
        <v>476</v>
      </c>
      <c r="I323">
        <v>476</v>
      </c>
      <c r="J323">
        <v>23.716386554621799</v>
      </c>
      <c r="K323">
        <v>68.634944522063606</v>
      </c>
      <c r="L323">
        <v>10.9288171039237</v>
      </c>
      <c r="M323">
        <v>162.18721668423501</v>
      </c>
      <c r="N323">
        <v>0</v>
      </c>
      <c r="O323">
        <v>0</v>
      </c>
      <c r="P323">
        <v>900.274496</v>
      </c>
      <c r="Q323">
        <v>776.42209001499998</v>
      </c>
    </row>
    <row r="324" spans="1:17" x14ac:dyDescent="0.3">
      <c r="A324">
        <v>30</v>
      </c>
      <c r="B324" t="s">
        <v>5</v>
      </c>
      <c r="C324">
        <v>20.1110428248174</v>
      </c>
      <c r="D324">
        <v>5</v>
      </c>
      <c r="F324">
        <v>45</v>
      </c>
      <c r="G324" t="s">
        <v>30</v>
      </c>
      <c r="H324">
        <v>476</v>
      </c>
      <c r="I324">
        <v>476</v>
      </c>
      <c r="J324">
        <v>23.716386554621799</v>
      </c>
      <c r="K324">
        <v>68.287947783372601</v>
      </c>
      <c r="L324">
        <v>10.9288171039237</v>
      </c>
      <c r="M324">
        <v>161.73653210444499</v>
      </c>
      <c r="N324">
        <v>0</v>
      </c>
      <c r="O324">
        <v>0</v>
      </c>
      <c r="P324">
        <v>884.59301000000005</v>
      </c>
      <c r="Q324">
        <v>760.19657443200003</v>
      </c>
    </row>
    <row r="325" spans="1:17" x14ac:dyDescent="0.3">
      <c r="A325">
        <v>30</v>
      </c>
      <c r="B325" t="s">
        <v>6</v>
      </c>
      <c r="C325">
        <v>64.620150552941297</v>
      </c>
      <c r="D325">
        <v>3.3813559322033799</v>
      </c>
      <c r="F325">
        <v>45</v>
      </c>
      <c r="G325" t="s">
        <v>31</v>
      </c>
      <c r="H325">
        <v>0</v>
      </c>
      <c r="I325">
        <v>0</v>
      </c>
      <c r="J325">
        <v>0</v>
      </c>
      <c r="K325">
        <v>0</v>
      </c>
      <c r="L325">
        <v>10.9288171039237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3">
      <c r="A326">
        <v>30</v>
      </c>
      <c r="B326" t="s">
        <v>7</v>
      </c>
      <c r="C326">
        <v>66.009251521851994</v>
      </c>
      <c r="D326">
        <v>3.7</v>
      </c>
      <c r="F326">
        <v>45</v>
      </c>
      <c r="G326" t="s">
        <v>32</v>
      </c>
      <c r="H326">
        <v>0</v>
      </c>
      <c r="I326">
        <v>0</v>
      </c>
      <c r="J326">
        <v>0</v>
      </c>
      <c r="K326">
        <v>0</v>
      </c>
      <c r="L326">
        <v>10.9288171039237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3">
      <c r="A327">
        <v>30</v>
      </c>
      <c r="B327" t="s">
        <v>8</v>
      </c>
      <c r="C327">
        <v>78.822388824578397</v>
      </c>
      <c r="D327">
        <v>4</v>
      </c>
      <c r="F327">
        <v>45</v>
      </c>
      <c r="G327" t="s">
        <v>33</v>
      </c>
      <c r="H327">
        <v>0</v>
      </c>
      <c r="I327">
        <v>0</v>
      </c>
      <c r="J327">
        <v>0</v>
      </c>
      <c r="K327">
        <v>0</v>
      </c>
      <c r="L327">
        <v>10.9288171039237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3">
      <c r="A328">
        <v>30</v>
      </c>
      <c r="B328" t="s">
        <v>9</v>
      </c>
      <c r="C328">
        <v>80.671725085500498</v>
      </c>
      <c r="D328">
        <v>3.5</v>
      </c>
      <c r="F328">
        <v>45</v>
      </c>
      <c r="G328" t="s">
        <v>34</v>
      </c>
      <c r="H328">
        <v>0</v>
      </c>
      <c r="I328">
        <v>0</v>
      </c>
      <c r="J328">
        <v>0</v>
      </c>
      <c r="K328">
        <v>0</v>
      </c>
      <c r="L328">
        <v>10.9288171039237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3">
      <c r="A329">
        <v>30</v>
      </c>
      <c r="B329" t="s">
        <v>10</v>
      </c>
      <c r="C329">
        <v>116.890936886937</v>
      </c>
      <c r="D329">
        <v>1.6781411359724601</v>
      </c>
      <c r="F329">
        <v>45</v>
      </c>
      <c r="G329" t="s">
        <v>35</v>
      </c>
      <c r="H329">
        <v>0</v>
      </c>
      <c r="I329">
        <v>0</v>
      </c>
      <c r="J329">
        <v>0</v>
      </c>
      <c r="K329">
        <v>0</v>
      </c>
      <c r="L329">
        <v>10.9288171039237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3">
      <c r="A330">
        <v>30</v>
      </c>
      <c r="B330" t="s">
        <v>11</v>
      </c>
      <c r="C330">
        <v>273.66180541328498</v>
      </c>
      <c r="D330">
        <v>3.9858299595141702</v>
      </c>
      <c r="F330">
        <v>45</v>
      </c>
      <c r="G330" t="s">
        <v>36</v>
      </c>
      <c r="H330">
        <v>0</v>
      </c>
      <c r="I330">
        <v>0</v>
      </c>
      <c r="J330">
        <v>0</v>
      </c>
      <c r="K330">
        <v>0</v>
      </c>
      <c r="L330">
        <v>10.9288171039237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3">
      <c r="A331">
        <v>30</v>
      </c>
      <c r="B331" t="s">
        <v>12</v>
      </c>
      <c r="C331">
        <v>353.29034387839602</v>
      </c>
      <c r="D331">
        <v>4.5431235431235404</v>
      </c>
      <c r="F331">
        <v>46</v>
      </c>
      <c r="G331" t="s">
        <v>25</v>
      </c>
      <c r="H331">
        <v>730</v>
      </c>
      <c r="I331">
        <v>730</v>
      </c>
      <c r="J331">
        <v>25.658904109588999</v>
      </c>
      <c r="K331">
        <v>102.458399705038</v>
      </c>
      <c r="L331">
        <v>10.905279146247899</v>
      </c>
      <c r="M331">
        <v>247.11905066340699</v>
      </c>
      <c r="N331">
        <v>0</v>
      </c>
      <c r="O331">
        <v>0</v>
      </c>
      <c r="P331">
        <v>1401.1910909999999</v>
      </c>
      <c r="Q331">
        <v>1216.5061801700001</v>
      </c>
    </row>
    <row r="332" spans="1:17" x14ac:dyDescent="0.3">
      <c r="A332">
        <v>30</v>
      </c>
      <c r="B332" t="s">
        <v>13</v>
      </c>
      <c r="C332">
        <v>353.04705436111402</v>
      </c>
      <c r="D332">
        <v>1.33877233877233</v>
      </c>
      <c r="F332">
        <v>46</v>
      </c>
      <c r="G332" t="s">
        <v>26</v>
      </c>
      <c r="H332">
        <v>718</v>
      </c>
      <c r="I332">
        <v>718</v>
      </c>
      <c r="J332">
        <v>25.268802228412198</v>
      </c>
      <c r="K332">
        <v>101.03447849948699</v>
      </c>
      <c r="L332">
        <v>10.905279146247899</v>
      </c>
      <c r="M332">
        <v>238.459799801043</v>
      </c>
      <c r="N332">
        <v>0</v>
      </c>
      <c r="O332">
        <v>0</v>
      </c>
      <c r="P332">
        <v>1374.73710199999</v>
      </c>
      <c r="Q332">
        <v>1188.8599396509901</v>
      </c>
    </row>
    <row r="333" spans="1:17" x14ac:dyDescent="0.3">
      <c r="A333">
        <v>31</v>
      </c>
      <c r="B333" t="s">
        <v>3</v>
      </c>
      <c r="C333">
        <v>15.219455154920499</v>
      </c>
      <c r="D333">
        <v>4</v>
      </c>
      <c r="F333">
        <v>46</v>
      </c>
      <c r="G333" t="s">
        <v>27</v>
      </c>
      <c r="H333">
        <v>711</v>
      </c>
      <c r="I333">
        <v>711</v>
      </c>
      <c r="J333">
        <v>24.992967651195499</v>
      </c>
      <c r="K333">
        <v>100.17933302544699</v>
      </c>
      <c r="L333">
        <v>10.905279146247899</v>
      </c>
      <c r="M333">
        <v>242.61351939918299</v>
      </c>
      <c r="N333">
        <v>0</v>
      </c>
      <c r="O333">
        <v>0</v>
      </c>
      <c r="P333">
        <v>1379.34490199999</v>
      </c>
      <c r="Q333">
        <v>1196.0158055899999</v>
      </c>
    </row>
    <row r="334" spans="1:17" x14ac:dyDescent="0.3">
      <c r="A334">
        <v>31</v>
      </c>
      <c r="B334" t="s">
        <v>4</v>
      </c>
      <c r="C334">
        <v>15.2325245562961</v>
      </c>
      <c r="D334">
        <v>3.5</v>
      </c>
      <c r="F334">
        <v>46</v>
      </c>
      <c r="G334" t="s">
        <v>28</v>
      </c>
      <c r="H334">
        <v>476</v>
      </c>
      <c r="I334">
        <v>476</v>
      </c>
      <c r="J334">
        <v>23.716386554621799</v>
      </c>
      <c r="K334">
        <v>69.284227926258694</v>
      </c>
      <c r="L334">
        <v>10.905279146247899</v>
      </c>
      <c r="M334">
        <v>159.465325448367</v>
      </c>
      <c r="N334">
        <v>0</v>
      </c>
      <c r="O334">
        <v>0</v>
      </c>
      <c r="P334">
        <v>936.06882599999904</v>
      </c>
      <c r="Q334">
        <v>806.67844054900002</v>
      </c>
    </row>
    <row r="335" spans="1:17" x14ac:dyDescent="0.3">
      <c r="A335">
        <v>31</v>
      </c>
      <c r="B335" t="s">
        <v>5</v>
      </c>
      <c r="C335">
        <v>19.262622651858099</v>
      </c>
      <c r="D335">
        <v>5</v>
      </c>
      <c r="F335">
        <v>46</v>
      </c>
      <c r="G335" t="s">
        <v>29</v>
      </c>
      <c r="H335">
        <v>476</v>
      </c>
      <c r="I335">
        <v>476</v>
      </c>
      <c r="J335">
        <v>23.716386554621799</v>
      </c>
      <c r="K335">
        <v>68.655789661640497</v>
      </c>
      <c r="L335">
        <v>10.905279146247899</v>
      </c>
      <c r="M335">
        <v>161.68593027114699</v>
      </c>
      <c r="N335">
        <v>0</v>
      </c>
      <c r="O335">
        <v>0</v>
      </c>
      <c r="P335">
        <v>898.30395899999996</v>
      </c>
      <c r="Q335">
        <v>775.03338751900003</v>
      </c>
    </row>
    <row r="336" spans="1:17" x14ac:dyDescent="0.3">
      <c r="A336">
        <v>31</v>
      </c>
      <c r="B336" t="s">
        <v>6</v>
      </c>
      <c r="C336">
        <v>64.305540785633696</v>
      </c>
      <c r="D336">
        <v>3.3898305084745699</v>
      </c>
      <c r="F336">
        <v>46</v>
      </c>
      <c r="G336" t="s">
        <v>30</v>
      </c>
      <c r="H336">
        <v>476</v>
      </c>
      <c r="I336">
        <v>476</v>
      </c>
      <c r="J336">
        <v>23.716386554621799</v>
      </c>
      <c r="K336">
        <v>68.231389886333702</v>
      </c>
      <c r="L336">
        <v>10.905279146247899</v>
      </c>
      <c r="M336">
        <v>161.14235965037199</v>
      </c>
      <c r="N336">
        <v>0</v>
      </c>
      <c r="O336">
        <v>0</v>
      </c>
      <c r="P336">
        <v>885.27715899999998</v>
      </c>
      <c r="Q336">
        <v>763.46883186299999</v>
      </c>
    </row>
    <row r="337" spans="1:17" x14ac:dyDescent="0.3">
      <c r="A337">
        <v>31</v>
      </c>
      <c r="B337" t="s">
        <v>7</v>
      </c>
      <c r="C337">
        <v>66.3337694872166</v>
      </c>
      <c r="D337">
        <v>3.6749999999999998</v>
      </c>
      <c r="F337">
        <v>46</v>
      </c>
      <c r="G337" t="s">
        <v>31</v>
      </c>
      <c r="H337">
        <v>0</v>
      </c>
      <c r="I337">
        <v>0</v>
      </c>
      <c r="J337">
        <v>0</v>
      </c>
      <c r="K337">
        <v>0</v>
      </c>
      <c r="L337">
        <v>10.905279146247899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3">
      <c r="A338">
        <v>31</v>
      </c>
      <c r="B338" t="s">
        <v>8</v>
      </c>
      <c r="C338">
        <v>79.154003387754997</v>
      </c>
      <c r="D338">
        <v>4</v>
      </c>
      <c r="F338">
        <v>46</v>
      </c>
      <c r="G338" t="s">
        <v>32</v>
      </c>
      <c r="H338">
        <v>0</v>
      </c>
      <c r="I338">
        <v>0</v>
      </c>
      <c r="J338">
        <v>0</v>
      </c>
      <c r="K338">
        <v>0</v>
      </c>
      <c r="L338">
        <v>10.905279146247899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3">
      <c r="A339">
        <v>31</v>
      </c>
      <c r="B339" t="s">
        <v>9</v>
      </c>
      <c r="C339">
        <v>80.977005157220802</v>
      </c>
      <c r="D339">
        <v>3.5</v>
      </c>
      <c r="F339">
        <v>46</v>
      </c>
      <c r="G339" t="s">
        <v>33</v>
      </c>
      <c r="H339">
        <v>0</v>
      </c>
      <c r="I339">
        <v>0</v>
      </c>
      <c r="J339">
        <v>0</v>
      </c>
      <c r="K339">
        <v>0</v>
      </c>
      <c r="L339">
        <v>10.905279146247899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3">
      <c r="A340">
        <v>31</v>
      </c>
      <c r="B340" t="s">
        <v>10</v>
      </c>
      <c r="C340">
        <v>117.769838905642</v>
      </c>
      <c r="D340">
        <v>1.7071057192374299</v>
      </c>
      <c r="F340">
        <v>46</v>
      </c>
      <c r="G340" t="s">
        <v>34</v>
      </c>
      <c r="H340">
        <v>0</v>
      </c>
      <c r="I340">
        <v>0</v>
      </c>
      <c r="J340">
        <v>0</v>
      </c>
      <c r="K340">
        <v>0</v>
      </c>
      <c r="L340">
        <v>10.905279146247899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3">
      <c r="A341">
        <v>31</v>
      </c>
      <c r="B341" t="s">
        <v>11</v>
      </c>
      <c r="C341">
        <v>275.10974392384901</v>
      </c>
      <c r="D341">
        <v>3.9858299595141702</v>
      </c>
      <c r="F341">
        <v>46</v>
      </c>
      <c r="G341" t="s">
        <v>35</v>
      </c>
      <c r="H341">
        <v>0</v>
      </c>
      <c r="I341">
        <v>0</v>
      </c>
      <c r="J341">
        <v>0</v>
      </c>
      <c r="K341">
        <v>0</v>
      </c>
      <c r="L341">
        <v>10.905279146247899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3">
      <c r="A342">
        <v>31</v>
      </c>
      <c r="B342" t="s">
        <v>12</v>
      </c>
      <c r="C342">
        <v>353.35827198702702</v>
      </c>
      <c r="D342">
        <v>4.5198135198135097</v>
      </c>
      <c r="F342">
        <v>46</v>
      </c>
      <c r="G342" t="s">
        <v>36</v>
      </c>
      <c r="H342">
        <v>0</v>
      </c>
      <c r="I342">
        <v>0</v>
      </c>
      <c r="J342">
        <v>0</v>
      </c>
      <c r="K342">
        <v>0</v>
      </c>
      <c r="L342">
        <v>10.905279146247899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3">
      <c r="A343">
        <v>31</v>
      </c>
      <c r="B343" t="s">
        <v>13</v>
      </c>
      <c r="C343">
        <v>353.274603951725</v>
      </c>
      <c r="D343">
        <v>1.33877233877233</v>
      </c>
      <c r="F343">
        <v>47</v>
      </c>
      <c r="G343" t="s">
        <v>25</v>
      </c>
      <c r="H343">
        <v>730</v>
      </c>
      <c r="I343">
        <v>730</v>
      </c>
      <c r="J343">
        <v>25.658904109588999</v>
      </c>
      <c r="K343">
        <v>102.626389192858</v>
      </c>
      <c r="L343">
        <v>10.9369689363227</v>
      </c>
      <c r="M343">
        <v>247.79907616208101</v>
      </c>
      <c r="N343">
        <v>0</v>
      </c>
      <c r="O343">
        <v>0</v>
      </c>
      <c r="P343">
        <v>1403.159269</v>
      </c>
      <c r="Q343">
        <v>1219.8699838749999</v>
      </c>
    </row>
    <row r="344" spans="1:17" x14ac:dyDescent="0.3">
      <c r="A344">
        <v>32</v>
      </c>
      <c r="B344" t="s">
        <v>3</v>
      </c>
      <c r="C344">
        <v>15.5117635970051</v>
      </c>
      <c r="D344">
        <v>4</v>
      </c>
      <c r="F344">
        <v>47</v>
      </c>
      <c r="G344" t="s">
        <v>26</v>
      </c>
      <c r="H344">
        <v>718</v>
      </c>
      <c r="I344">
        <v>718</v>
      </c>
      <c r="J344">
        <v>25.268802228412198</v>
      </c>
      <c r="K344">
        <v>100.669356221802</v>
      </c>
      <c r="L344">
        <v>10.9369689363227</v>
      </c>
      <c r="M344">
        <v>241.078391441219</v>
      </c>
      <c r="N344">
        <v>0</v>
      </c>
      <c r="O344">
        <v>0</v>
      </c>
      <c r="P344">
        <v>1376.0724259999899</v>
      </c>
      <c r="Q344">
        <v>1192.5136546199899</v>
      </c>
    </row>
    <row r="345" spans="1:17" x14ac:dyDescent="0.3">
      <c r="A345">
        <v>32</v>
      </c>
      <c r="B345" t="s">
        <v>4</v>
      </c>
      <c r="C345">
        <v>15.151221948570599</v>
      </c>
      <c r="D345">
        <v>3.5</v>
      </c>
      <c r="F345">
        <v>47</v>
      </c>
      <c r="G345" t="s">
        <v>27</v>
      </c>
      <c r="H345">
        <v>711</v>
      </c>
      <c r="I345">
        <v>711</v>
      </c>
      <c r="J345">
        <v>24.992967651195499</v>
      </c>
      <c r="K345">
        <v>100.215720454148</v>
      </c>
      <c r="L345">
        <v>10.9369689363227</v>
      </c>
      <c r="M345">
        <v>241.78852074615801</v>
      </c>
      <c r="N345">
        <v>0</v>
      </c>
      <c r="O345">
        <v>0</v>
      </c>
      <c r="P345">
        <v>1381.96515399999</v>
      </c>
      <c r="Q345">
        <v>1196.8589564009999</v>
      </c>
    </row>
    <row r="346" spans="1:17" x14ac:dyDescent="0.3">
      <c r="A346">
        <v>32</v>
      </c>
      <c r="B346" t="s">
        <v>5</v>
      </c>
      <c r="C346">
        <v>19.594993324327302</v>
      </c>
      <c r="D346">
        <v>5</v>
      </c>
      <c r="F346">
        <v>47</v>
      </c>
      <c r="G346" t="s">
        <v>28</v>
      </c>
      <c r="H346">
        <v>476</v>
      </c>
      <c r="I346">
        <v>476</v>
      </c>
      <c r="J346">
        <v>23.716386554621799</v>
      </c>
      <c r="K346">
        <v>68.964585107306405</v>
      </c>
      <c r="L346">
        <v>10.9369689363227</v>
      </c>
      <c r="M346">
        <v>160.044391481286</v>
      </c>
      <c r="N346">
        <v>0</v>
      </c>
      <c r="O346">
        <v>0</v>
      </c>
      <c r="P346">
        <v>935.09771699999897</v>
      </c>
      <c r="Q346">
        <v>804.86873655699901</v>
      </c>
    </row>
    <row r="347" spans="1:17" x14ac:dyDescent="0.3">
      <c r="A347">
        <v>32</v>
      </c>
      <c r="B347" t="s">
        <v>6</v>
      </c>
      <c r="C347">
        <v>64.831683112219196</v>
      </c>
      <c r="D347">
        <v>3.41525423728813</v>
      </c>
      <c r="F347">
        <v>47</v>
      </c>
      <c r="G347" t="s">
        <v>29</v>
      </c>
      <c r="H347">
        <v>476</v>
      </c>
      <c r="I347">
        <v>476</v>
      </c>
      <c r="J347">
        <v>23.716386554621799</v>
      </c>
      <c r="K347">
        <v>68.568649303417004</v>
      </c>
      <c r="L347">
        <v>10.9369689363227</v>
      </c>
      <c r="M347">
        <v>162.49774026192699</v>
      </c>
      <c r="N347">
        <v>0</v>
      </c>
      <c r="O347">
        <v>0</v>
      </c>
      <c r="P347">
        <v>896.20687499999997</v>
      </c>
      <c r="Q347">
        <v>770.96836212400001</v>
      </c>
    </row>
    <row r="348" spans="1:17" x14ac:dyDescent="0.3">
      <c r="A348">
        <v>32</v>
      </c>
      <c r="B348" t="s">
        <v>7</v>
      </c>
      <c r="C348">
        <v>65.688938862447998</v>
      </c>
      <c r="D348">
        <v>3.6583333333333301</v>
      </c>
      <c r="F348">
        <v>47</v>
      </c>
      <c r="G348" t="s">
        <v>30</v>
      </c>
      <c r="H348">
        <v>476</v>
      </c>
      <c r="I348">
        <v>476</v>
      </c>
      <c r="J348">
        <v>23.716386554621799</v>
      </c>
      <c r="K348">
        <v>68.365059695736605</v>
      </c>
      <c r="L348">
        <v>10.9369689363227</v>
      </c>
      <c r="M348">
        <v>160.795431839146</v>
      </c>
      <c r="N348">
        <v>0</v>
      </c>
      <c r="O348">
        <v>0</v>
      </c>
      <c r="P348">
        <v>886.16614600000003</v>
      </c>
      <c r="Q348">
        <v>761.65137329599997</v>
      </c>
    </row>
    <row r="349" spans="1:17" x14ac:dyDescent="0.3">
      <c r="A349">
        <v>32</v>
      </c>
      <c r="B349" t="s">
        <v>8</v>
      </c>
      <c r="C349">
        <v>78.818879418433596</v>
      </c>
      <c r="D349">
        <v>4</v>
      </c>
      <c r="F349">
        <v>47</v>
      </c>
      <c r="G349" t="s">
        <v>31</v>
      </c>
      <c r="H349">
        <v>0</v>
      </c>
      <c r="I349">
        <v>0</v>
      </c>
      <c r="J349">
        <v>0</v>
      </c>
      <c r="K349">
        <v>0</v>
      </c>
      <c r="L349">
        <v>10.9369689363227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3">
      <c r="A350">
        <v>32</v>
      </c>
      <c r="B350" t="s">
        <v>9</v>
      </c>
      <c r="C350">
        <v>81.251457699426894</v>
      </c>
      <c r="D350">
        <v>3.5</v>
      </c>
      <c r="F350">
        <v>47</v>
      </c>
      <c r="G350" t="s">
        <v>32</v>
      </c>
      <c r="H350">
        <v>0</v>
      </c>
      <c r="I350">
        <v>0</v>
      </c>
      <c r="J350">
        <v>0</v>
      </c>
      <c r="K350">
        <v>0</v>
      </c>
      <c r="L350">
        <v>10.9369689363227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3">
      <c r="A351">
        <v>32</v>
      </c>
      <c r="B351" t="s">
        <v>10</v>
      </c>
      <c r="C351">
        <v>117.299792828126</v>
      </c>
      <c r="D351">
        <v>1.7012089810017199</v>
      </c>
      <c r="F351">
        <v>47</v>
      </c>
      <c r="G351" t="s">
        <v>33</v>
      </c>
      <c r="H351">
        <v>0</v>
      </c>
      <c r="I351">
        <v>0</v>
      </c>
      <c r="J351">
        <v>0</v>
      </c>
      <c r="K351">
        <v>0</v>
      </c>
      <c r="L351">
        <v>10.9369689363227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3">
      <c r="A352">
        <v>32</v>
      </c>
      <c r="B352" t="s">
        <v>11</v>
      </c>
      <c r="C352">
        <v>276.03561994781501</v>
      </c>
      <c r="D352">
        <v>3.98174442190669</v>
      </c>
      <c r="F352">
        <v>47</v>
      </c>
      <c r="G352" t="s">
        <v>34</v>
      </c>
      <c r="H352">
        <v>0</v>
      </c>
      <c r="I352">
        <v>0</v>
      </c>
      <c r="J352">
        <v>0</v>
      </c>
      <c r="K352">
        <v>0</v>
      </c>
      <c r="L352">
        <v>10.9369689363227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3">
      <c r="A353">
        <v>32</v>
      </c>
      <c r="B353" t="s">
        <v>12</v>
      </c>
      <c r="C353">
        <v>354.24896733373703</v>
      </c>
      <c r="D353">
        <v>4.5221445221445196</v>
      </c>
      <c r="F353">
        <v>47</v>
      </c>
      <c r="G353" t="s">
        <v>35</v>
      </c>
      <c r="H353">
        <v>0</v>
      </c>
      <c r="I353">
        <v>0</v>
      </c>
      <c r="J353">
        <v>0</v>
      </c>
      <c r="K353">
        <v>0</v>
      </c>
      <c r="L353">
        <v>10.9369689363227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3">
      <c r="A354">
        <v>32</v>
      </c>
      <c r="B354" t="s">
        <v>13</v>
      </c>
      <c r="C354">
        <v>353.58089279913997</v>
      </c>
      <c r="D354">
        <v>1.33877233877233</v>
      </c>
      <c r="F354">
        <v>47</v>
      </c>
      <c r="G354" t="s">
        <v>36</v>
      </c>
      <c r="H354">
        <v>0</v>
      </c>
      <c r="I354">
        <v>0</v>
      </c>
      <c r="J354">
        <v>0</v>
      </c>
      <c r="K354">
        <v>0</v>
      </c>
      <c r="L354">
        <v>10.9369689363227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3">
      <c r="A355">
        <v>33</v>
      </c>
      <c r="B355" t="s">
        <v>3</v>
      </c>
      <c r="C355">
        <v>15.422670508753701</v>
      </c>
      <c r="D355">
        <v>4</v>
      </c>
      <c r="F355">
        <v>48</v>
      </c>
      <c r="G355" t="s">
        <v>25</v>
      </c>
      <c r="H355">
        <v>730</v>
      </c>
      <c r="I355">
        <v>730</v>
      </c>
      <c r="J355">
        <v>25.658904109588999</v>
      </c>
      <c r="K355">
        <v>101.823220589325</v>
      </c>
      <c r="L355">
        <v>10.899792900983099</v>
      </c>
      <c r="M355">
        <v>246.490521575022</v>
      </c>
      <c r="N355">
        <v>0</v>
      </c>
      <c r="O355">
        <v>0</v>
      </c>
      <c r="P355">
        <v>1404.5938120000001</v>
      </c>
      <c r="Q355">
        <v>1219.585096062</v>
      </c>
    </row>
    <row r="356" spans="1:17" x14ac:dyDescent="0.3">
      <c r="A356">
        <v>33</v>
      </c>
      <c r="B356" t="s">
        <v>4</v>
      </c>
      <c r="C356">
        <v>15.4292812160003</v>
      </c>
      <c r="D356">
        <v>3.5</v>
      </c>
      <c r="F356">
        <v>48</v>
      </c>
      <c r="G356" t="s">
        <v>26</v>
      </c>
      <c r="H356">
        <v>718</v>
      </c>
      <c r="I356">
        <v>718</v>
      </c>
      <c r="J356">
        <v>25.268802228412198</v>
      </c>
      <c r="K356">
        <v>100.936390166547</v>
      </c>
      <c r="L356">
        <v>10.899792900983099</v>
      </c>
      <c r="M356">
        <v>240.88690800247701</v>
      </c>
      <c r="N356">
        <v>0</v>
      </c>
      <c r="O356">
        <v>0</v>
      </c>
      <c r="P356">
        <v>1379.4813999999899</v>
      </c>
      <c r="Q356">
        <v>1193.71784338099</v>
      </c>
    </row>
    <row r="357" spans="1:17" x14ac:dyDescent="0.3">
      <c r="A357">
        <v>33</v>
      </c>
      <c r="B357" t="s">
        <v>5</v>
      </c>
      <c r="C357">
        <v>19.605823996040499</v>
      </c>
      <c r="D357">
        <v>5</v>
      </c>
      <c r="F357">
        <v>48</v>
      </c>
      <c r="G357" t="s">
        <v>27</v>
      </c>
      <c r="H357">
        <v>711</v>
      </c>
      <c r="I357">
        <v>711</v>
      </c>
      <c r="J357">
        <v>24.992967651195499</v>
      </c>
      <c r="K357">
        <v>100.745425018106</v>
      </c>
      <c r="L357">
        <v>10.899792900983099</v>
      </c>
      <c r="M357">
        <v>240.791091101055</v>
      </c>
      <c r="N357">
        <v>0</v>
      </c>
      <c r="O357">
        <v>0</v>
      </c>
      <c r="P357">
        <v>1377.6244239999901</v>
      </c>
      <c r="Q357">
        <v>1193.6202223089999</v>
      </c>
    </row>
    <row r="358" spans="1:17" x14ac:dyDescent="0.3">
      <c r="A358">
        <v>33</v>
      </c>
      <c r="B358" t="s">
        <v>6</v>
      </c>
      <c r="C358">
        <v>64.776176559161399</v>
      </c>
      <c r="D358">
        <v>3.3983050847457599</v>
      </c>
      <c r="F358">
        <v>48</v>
      </c>
      <c r="G358" t="s">
        <v>28</v>
      </c>
      <c r="H358">
        <v>476</v>
      </c>
      <c r="I358">
        <v>476</v>
      </c>
      <c r="J358">
        <v>23.716386554621799</v>
      </c>
      <c r="K358">
        <v>68.709602120569997</v>
      </c>
      <c r="L358">
        <v>10.899792900983099</v>
      </c>
      <c r="M358">
        <v>160.029994069987</v>
      </c>
      <c r="N358">
        <v>0</v>
      </c>
      <c r="O358">
        <v>0</v>
      </c>
      <c r="P358">
        <v>930.94773799999905</v>
      </c>
      <c r="Q358">
        <v>800.42409528999997</v>
      </c>
    </row>
    <row r="359" spans="1:17" x14ac:dyDescent="0.3">
      <c r="A359">
        <v>33</v>
      </c>
      <c r="B359" t="s">
        <v>7</v>
      </c>
      <c r="C359">
        <v>65.769930036859805</v>
      </c>
      <c r="D359">
        <v>3.6583333333333301</v>
      </c>
      <c r="F359">
        <v>48</v>
      </c>
      <c r="G359" t="s">
        <v>29</v>
      </c>
      <c r="H359">
        <v>476</v>
      </c>
      <c r="I359">
        <v>476</v>
      </c>
      <c r="J359">
        <v>23.716386554621799</v>
      </c>
      <c r="K359">
        <v>68.195328007976201</v>
      </c>
      <c r="L359">
        <v>10.899792900983099</v>
      </c>
      <c r="M359">
        <v>160.978461478236</v>
      </c>
      <c r="N359">
        <v>0</v>
      </c>
      <c r="O359">
        <v>0</v>
      </c>
      <c r="P359">
        <v>895.10089500000004</v>
      </c>
      <c r="Q359">
        <v>771.77883385500002</v>
      </c>
    </row>
    <row r="360" spans="1:17" x14ac:dyDescent="0.3">
      <c r="A360">
        <v>33</v>
      </c>
      <c r="B360" t="s">
        <v>8</v>
      </c>
      <c r="C360">
        <v>78.716142719545701</v>
      </c>
      <c r="D360">
        <v>4</v>
      </c>
      <c r="F360">
        <v>48</v>
      </c>
      <c r="G360" t="s">
        <v>30</v>
      </c>
      <c r="H360">
        <v>476</v>
      </c>
      <c r="I360">
        <v>476</v>
      </c>
      <c r="J360">
        <v>23.716386554621799</v>
      </c>
      <c r="K360">
        <v>68.037155318160302</v>
      </c>
      <c r="L360">
        <v>10.899792900983099</v>
      </c>
      <c r="M360">
        <v>160.70003578234699</v>
      </c>
      <c r="N360">
        <v>0</v>
      </c>
      <c r="O360">
        <v>0</v>
      </c>
      <c r="P360">
        <v>886.18713600000001</v>
      </c>
      <c r="Q360">
        <v>762.93000140699996</v>
      </c>
    </row>
    <row r="361" spans="1:17" x14ac:dyDescent="0.3">
      <c r="A361">
        <v>33</v>
      </c>
      <c r="B361" t="s">
        <v>9</v>
      </c>
      <c r="C361">
        <v>81.078970581203507</v>
      </c>
      <c r="D361">
        <v>3.5</v>
      </c>
      <c r="F361">
        <v>48</v>
      </c>
      <c r="G361" t="s">
        <v>31</v>
      </c>
      <c r="H361">
        <v>0</v>
      </c>
      <c r="I361">
        <v>0</v>
      </c>
      <c r="J361">
        <v>0</v>
      </c>
      <c r="K361">
        <v>0</v>
      </c>
      <c r="L361">
        <v>10.899792900983099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3">
      <c r="A362">
        <v>33</v>
      </c>
      <c r="B362" t="s">
        <v>10</v>
      </c>
      <c r="C362">
        <v>116.95175164688099</v>
      </c>
      <c r="D362">
        <v>1.72854640980735</v>
      </c>
      <c r="F362">
        <v>48</v>
      </c>
      <c r="G362" t="s">
        <v>32</v>
      </c>
      <c r="H362">
        <v>0</v>
      </c>
      <c r="I362">
        <v>0</v>
      </c>
      <c r="J362">
        <v>0</v>
      </c>
      <c r="K362">
        <v>0</v>
      </c>
      <c r="L362">
        <v>10.899792900983099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3">
      <c r="A363">
        <v>33</v>
      </c>
      <c r="B363" t="s">
        <v>11</v>
      </c>
      <c r="C363">
        <v>272.36814714250897</v>
      </c>
      <c r="D363">
        <v>3.9858299595141702</v>
      </c>
      <c r="F363">
        <v>48</v>
      </c>
      <c r="G363" t="s">
        <v>33</v>
      </c>
      <c r="H363">
        <v>0</v>
      </c>
      <c r="I363">
        <v>0</v>
      </c>
      <c r="J363">
        <v>0</v>
      </c>
      <c r="K363">
        <v>0</v>
      </c>
      <c r="L363">
        <v>10.899792900983099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3">
      <c r="A364">
        <v>33</v>
      </c>
      <c r="B364" t="s">
        <v>12</v>
      </c>
      <c r="C364">
        <v>351.78090615961497</v>
      </c>
      <c r="D364">
        <v>4.5198135198135097</v>
      </c>
      <c r="F364">
        <v>48</v>
      </c>
      <c r="G364" t="s">
        <v>34</v>
      </c>
      <c r="H364">
        <v>0</v>
      </c>
      <c r="I364">
        <v>0</v>
      </c>
      <c r="J364">
        <v>0</v>
      </c>
      <c r="K364">
        <v>0</v>
      </c>
      <c r="L364">
        <v>10.899792900983099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3">
      <c r="A365">
        <v>33</v>
      </c>
      <c r="B365" t="s">
        <v>13</v>
      </c>
      <c r="C365">
        <v>353.09712222166598</v>
      </c>
      <c r="D365">
        <v>1.33877233877233</v>
      </c>
      <c r="F365">
        <v>48</v>
      </c>
      <c r="G365" t="s">
        <v>35</v>
      </c>
      <c r="H365">
        <v>0</v>
      </c>
      <c r="I365">
        <v>0</v>
      </c>
      <c r="J365">
        <v>0</v>
      </c>
      <c r="K365">
        <v>0</v>
      </c>
      <c r="L365">
        <v>10.899792900983099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3">
      <c r="A366">
        <v>34</v>
      </c>
      <c r="B366" t="s">
        <v>3</v>
      </c>
      <c r="C366">
        <v>15.237221673706999</v>
      </c>
      <c r="D366">
        <v>4</v>
      </c>
      <c r="F366">
        <v>48</v>
      </c>
      <c r="G366" t="s">
        <v>36</v>
      </c>
      <c r="H366">
        <v>0</v>
      </c>
      <c r="I366">
        <v>0</v>
      </c>
      <c r="J366">
        <v>0</v>
      </c>
      <c r="K366">
        <v>0</v>
      </c>
      <c r="L366">
        <v>10.899792900983099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3">
      <c r="A367">
        <v>34</v>
      </c>
      <c r="B367" t="s">
        <v>4</v>
      </c>
      <c r="C367">
        <v>15.45100172783</v>
      </c>
      <c r="D367">
        <v>3.5</v>
      </c>
      <c r="F367">
        <v>49</v>
      </c>
      <c r="G367" t="s">
        <v>25</v>
      </c>
      <c r="H367">
        <v>1078</v>
      </c>
      <c r="I367">
        <v>1078</v>
      </c>
      <c r="J367">
        <v>37.6669758812615</v>
      </c>
      <c r="K367">
        <v>140.037447892702</v>
      </c>
      <c r="L367">
        <v>14.0522441599175</v>
      </c>
      <c r="M367">
        <v>367.27753945748401</v>
      </c>
      <c r="N367">
        <v>0</v>
      </c>
      <c r="O367">
        <v>0</v>
      </c>
      <c r="P367">
        <v>1895.7726209999901</v>
      </c>
      <c r="Q367">
        <v>1684.0522763490001</v>
      </c>
    </row>
    <row r="368" spans="1:17" x14ac:dyDescent="0.3">
      <c r="A368">
        <v>34</v>
      </c>
      <c r="B368" t="s">
        <v>5</v>
      </c>
      <c r="C368">
        <v>19.551312247987902</v>
      </c>
      <c r="D368">
        <v>5</v>
      </c>
      <c r="F368">
        <v>49</v>
      </c>
      <c r="G368" t="s">
        <v>26</v>
      </c>
      <c r="H368">
        <v>1067</v>
      </c>
      <c r="I368">
        <v>1067</v>
      </c>
      <c r="J368">
        <v>37.233364573570697</v>
      </c>
      <c r="K368">
        <v>139.09507338264899</v>
      </c>
      <c r="L368">
        <v>14.0522441599175</v>
      </c>
      <c r="M368">
        <v>360.69158557494802</v>
      </c>
      <c r="N368">
        <v>0</v>
      </c>
      <c r="O368">
        <v>0</v>
      </c>
      <c r="P368">
        <v>1907.4782679999901</v>
      </c>
      <c r="Q368">
        <v>1686.718200561</v>
      </c>
    </row>
    <row r="369" spans="1:17" x14ac:dyDescent="0.3">
      <c r="A369">
        <v>34</v>
      </c>
      <c r="B369" t="s">
        <v>6</v>
      </c>
      <c r="C369">
        <v>64.881842373730706</v>
      </c>
      <c r="D369">
        <v>3.3813559322033799</v>
      </c>
      <c r="F369">
        <v>49</v>
      </c>
      <c r="G369" t="s">
        <v>27</v>
      </c>
      <c r="H369">
        <v>714</v>
      </c>
      <c r="I369">
        <v>714</v>
      </c>
      <c r="J369">
        <v>35.275910364145602</v>
      </c>
      <c r="K369">
        <v>93.941905731069795</v>
      </c>
      <c r="L369">
        <v>14.0522441599175</v>
      </c>
      <c r="M369">
        <v>239.85565608850999</v>
      </c>
      <c r="N369">
        <v>0</v>
      </c>
      <c r="O369">
        <v>0</v>
      </c>
      <c r="P369">
        <v>1265.14368899999</v>
      </c>
      <c r="Q369">
        <v>1119.5053394199899</v>
      </c>
    </row>
    <row r="370" spans="1:17" x14ac:dyDescent="0.3">
      <c r="A370">
        <v>34</v>
      </c>
      <c r="B370" t="s">
        <v>7</v>
      </c>
      <c r="C370">
        <v>65.902519788402401</v>
      </c>
      <c r="D370">
        <v>3.6666666666666599</v>
      </c>
      <c r="F370">
        <v>49</v>
      </c>
      <c r="G370" t="s">
        <v>28</v>
      </c>
      <c r="H370">
        <v>714</v>
      </c>
      <c r="I370">
        <v>714</v>
      </c>
      <c r="J370">
        <v>35.275910364145602</v>
      </c>
      <c r="K370">
        <v>92.687570543742495</v>
      </c>
      <c r="L370">
        <v>14.0522441599175</v>
      </c>
      <c r="M370">
        <v>240.668216631966</v>
      </c>
      <c r="N370">
        <v>0</v>
      </c>
      <c r="O370">
        <v>0</v>
      </c>
      <c r="P370">
        <v>1180.5957269999899</v>
      </c>
      <c r="Q370">
        <v>1045.537503298</v>
      </c>
    </row>
    <row r="371" spans="1:17" x14ac:dyDescent="0.3">
      <c r="A371">
        <v>34</v>
      </c>
      <c r="B371" t="s">
        <v>8</v>
      </c>
      <c r="C371">
        <v>78.579368547906299</v>
      </c>
      <c r="D371">
        <v>4</v>
      </c>
      <c r="F371">
        <v>49</v>
      </c>
      <c r="G371" t="s">
        <v>29</v>
      </c>
      <c r="H371">
        <v>0</v>
      </c>
      <c r="I371">
        <v>0</v>
      </c>
      <c r="J371">
        <v>0</v>
      </c>
      <c r="K371">
        <v>0</v>
      </c>
      <c r="L371">
        <v>14.0522441599175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3">
      <c r="A372">
        <v>34</v>
      </c>
      <c r="B372" t="s">
        <v>9</v>
      </c>
      <c r="C372">
        <v>80.906525970914004</v>
      </c>
      <c r="D372">
        <v>3.5</v>
      </c>
      <c r="F372">
        <v>49</v>
      </c>
      <c r="G372" t="s">
        <v>30</v>
      </c>
      <c r="H372">
        <v>0</v>
      </c>
      <c r="I372">
        <v>0</v>
      </c>
      <c r="J372">
        <v>0</v>
      </c>
      <c r="K372">
        <v>0</v>
      </c>
      <c r="L372">
        <v>14.0522441599175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">
      <c r="A373">
        <v>34</v>
      </c>
      <c r="B373" t="s">
        <v>10</v>
      </c>
      <c r="C373">
        <v>117.341432922736</v>
      </c>
      <c r="D373">
        <v>1.6329966329966299</v>
      </c>
      <c r="F373">
        <v>49</v>
      </c>
      <c r="G373" t="s">
        <v>31</v>
      </c>
      <c r="H373">
        <v>0</v>
      </c>
      <c r="I373">
        <v>0</v>
      </c>
      <c r="J373">
        <v>0</v>
      </c>
      <c r="K373">
        <v>0</v>
      </c>
      <c r="L373">
        <v>14.0522441599175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3">
      <c r="A374">
        <v>34</v>
      </c>
      <c r="B374" t="s">
        <v>11</v>
      </c>
      <c r="C374">
        <v>272.470770754569</v>
      </c>
      <c r="D374">
        <v>3.9858299595141702</v>
      </c>
      <c r="F374">
        <v>49</v>
      </c>
      <c r="G374" t="s">
        <v>32</v>
      </c>
      <c r="H374">
        <v>0</v>
      </c>
      <c r="I374">
        <v>0</v>
      </c>
      <c r="J374">
        <v>0</v>
      </c>
      <c r="K374">
        <v>0</v>
      </c>
      <c r="L374">
        <v>14.0522441599175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3">
      <c r="A375">
        <v>34</v>
      </c>
      <c r="B375" t="s">
        <v>12</v>
      </c>
      <c r="C375">
        <v>354.01785717253102</v>
      </c>
      <c r="D375">
        <v>4.5046511627906902</v>
      </c>
      <c r="F375">
        <v>50</v>
      </c>
      <c r="G375" t="s">
        <v>25</v>
      </c>
      <c r="H375">
        <v>730</v>
      </c>
      <c r="I375">
        <v>730</v>
      </c>
      <c r="J375">
        <v>25.658904109588999</v>
      </c>
      <c r="K375">
        <v>102.47537332380899</v>
      </c>
      <c r="L375">
        <v>10.9370162074169</v>
      </c>
      <c r="M375">
        <v>247.74937929253801</v>
      </c>
      <c r="N375">
        <v>0</v>
      </c>
      <c r="O375">
        <v>0</v>
      </c>
      <c r="P375">
        <v>1404.82422</v>
      </c>
      <c r="Q375">
        <v>1221.2209566270001</v>
      </c>
    </row>
    <row r="376" spans="1:17" x14ac:dyDescent="0.3">
      <c r="A376">
        <v>34</v>
      </c>
      <c r="B376" t="s">
        <v>13</v>
      </c>
      <c r="C376">
        <v>354.17503759006098</v>
      </c>
      <c r="D376">
        <v>1.33877233877233</v>
      </c>
      <c r="F376">
        <v>50</v>
      </c>
      <c r="G376" t="s">
        <v>26</v>
      </c>
      <c r="H376">
        <v>718</v>
      </c>
      <c r="I376">
        <v>718</v>
      </c>
      <c r="J376">
        <v>25.268802228412198</v>
      </c>
      <c r="K376">
        <v>100.742234160206</v>
      </c>
      <c r="L376">
        <v>10.9370162074169</v>
      </c>
      <c r="M376">
        <v>241.06686846000201</v>
      </c>
      <c r="N376">
        <v>0</v>
      </c>
      <c r="O376">
        <v>0</v>
      </c>
      <c r="P376">
        <v>1380.1428679999899</v>
      </c>
      <c r="Q376">
        <v>1194.3974342489901</v>
      </c>
    </row>
    <row r="377" spans="1:17" x14ac:dyDescent="0.3">
      <c r="A377">
        <v>35</v>
      </c>
      <c r="B377" t="s">
        <v>3</v>
      </c>
      <c r="C377">
        <v>15.4469302365356</v>
      </c>
      <c r="D377">
        <v>4</v>
      </c>
      <c r="F377">
        <v>50</v>
      </c>
      <c r="G377" t="s">
        <v>27</v>
      </c>
      <c r="H377">
        <v>711</v>
      </c>
      <c r="I377">
        <v>711</v>
      </c>
      <c r="J377">
        <v>24.992967651195499</v>
      </c>
      <c r="K377">
        <v>100.244638054045</v>
      </c>
      <c r="L377">
        <v>10.9370162074169</v>
      </c>
      <c r="M377">
        <v>241.25062373124601</v>
      </c>
      <c r="N377">
        <v>0</v>
      </c>
      <c r="O377">
        <v>0</v>
      </c>
      <c r="P377">
        <v>1382.5729429999899</v>
      </c>
      <c r="Q377">
        <v>1197.8042781500001</v>
      </c>
    </row>
    <row r="378" spans="1:17" x14ac:dyDescent="0.3">
      <c r="A378">
        <v>35</v>
      </c>
      <c r="B378" t="s">
        <v>4</v>
      </c>
      <c r="C378">
        <v>15.52297323697</v>
      </c>
      <c r="D378">
        <v>3.5</v>
      </c>
      <c r="F378">
        <v>50</v>
      </c>
      <c r="G378" t="s">
        <v>28</v>
      </c>
      <c r="H378">
        <v>476</v>
      </c>
      <c r="I378">
        <v>476</v>
      </c>
      <c r="J378">
        <v>23.716386554621799</v>
      </c>
      <c r="K378">
        <v>69.085006495835103</v>
      </c>
      <c r="L378">
        <v>10.9370162074169</v>
      </c>
      <c r="M378">
        <v>159.54466390342799</v>
      </c>
      <c r="N378">
        <v>0</v>
      </c>
      <c r="O378">
        <v>0</v>
      </c>
      <c r="P378">
        <v>929.97662999999898</v>
      </c>
      <c r="Q378">
        <v>799.03549303499994</v>
      </c>
    </row>
    <row r="379" spans="1:17" x14ac:dyDescent="0.3">
      <c r="A379">
        <v>35</v>
      </c>
      <c r="B379" t="s">
        <v>5</v>
      </c>
      <c r="C379">
        <v>19.875449310682502</v>
      </c>
      <c r="D379">
        <v>5</v>
      </c>
      <c r="F379">
        <v>50</v>
      </c>
      <c r="G379" t="s">
        <v>29</v>
      </c>
      <c r="H379">
        <v>476</v>
      </c>
      <c r="I379">
        <v>476</v>
      </c>
      <c r="J379">
        <v>23.716386554621799</v>
      </c>
      <c r="K379">
        <v>68.530539433837504</v>
      </c>
      <c r="L379">
        <v>10.9370162074169</v>
      </c>
      <c r="M379">
        <v>162.288639319948</v>
      </c>
      <c r="N379">
        <v>0</v>
      </c>
      <c r="O379">
        <v>0</v>
      </c>
      <c r="P379">
        <v>900.29255000000001</v>
      </c>
      <c r="Q379">
        <v>776.07857564200003</v>
      </c>
    </row>
    <row r="380" spans="1:17" x14ac:dyDescent="0.3">
      <c r="A380">
        <v>35</v>
      </c>
      <c r="B380" t="s">
        <v>6</v>
      </c>
      <c r="C380">
        <v>64.017914128471503</v>
      </c>
      <c r="D380">
        <v>3.3305084745762699</v>
      </c>
      <c r="F380">
        <v>50</v>
      </c>
      <c r="G380" t="s">
        <v>30</v>
      </c>
      <c r="H380">
        <v>476</v>
      </c>
      <c r="I380">
        <v>476</v>
      </c>
      <c r="J380">
        <v>23.716386554621799</v>
      </c>
      <c r="K380">
        <v>68.148173019230796</v>
      </c>
      <c r="L380">
        <v>10.9370162074169</v>
      </c>
      <c r="M380">
        <v>162.10862431611099</v>
      </c>
      <c r="N380">
        <v>0</v>
      </c>
      <c r="O380">
        <v>0</v>
      </c>
      <c r="P380">
        <v>883.947497</v>
      </c>
      <c r="Q380">
        <v>761.43968344500001</v>
      </c>
    </row>
    <row r="381" spans="1:17" x14ac:dyDescent="0.3">
      <c r="A381">
        <v>35</v>
      </c>
      <c r="B381" t="s">
        <v>7</v>
      </c>
      <c r="C381">
        <v>66.398527378432902</v>
      </c>
      <c r="D381">
        <v>3.6916666666666602</v>
      </c>
      <c r="F381">
        <v>50</v>
      </c>
      <c r="G381" t="s">
        <v>31</v>
      </c>
      <c r="H381">
        <v>0</v>
      </c>
      <c r="I381">
        <v>0</v>
      </c>
      <c r="J381">
        <v>0</v>
      </c>
      <c r="K381">
        <v>0</v>
      </c>
      <c r="L381">
        <v>10.9370162074169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3">
      <c r="A382">
        <v>35</v>
      </c>
      <c r="B382" t="s">
        <v>8</v>
      </c>
      <c r="C382">
        <v>79.1404643285709</v>
      </c>
      <c r="D382">
        <v>4</v>
      </c>
      <c r="F382">
        <v>50</v>
      </c>
      <c r="G382" t="s">
        <v>32</v>
      </c>
      <c r="H382">
        <v>0</v>
      </c>
      <c r="I382">
        <v>0</v>
      </c>
      <c r="J382">
        <v>0</v>
      </c>
      <c r="K382">
        <v>0</v>
      </c>
      <c r="L382">
        <v>10.9370162074169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3">
      <c r="A383">
        <v>35</v>
      </c>
      <c r="B383" t="s">
        <v>9</v>
      </c>
      <c r="C383">
        <v>80.969344804393401</v>
      </c>
      <c r="D383">
        <v>3.5</v>
      </c>
      <c r="F383">
        <v>50</v>
      </c>
      <c r="G383" t="s">
        <v>33</v>
      </c>
      <c r="H383">
        <v>0</v>
      </c>
      <c r="I383">
        <v>0</v>
      </c>
      <c r="J383">
        <v>0</v>
      </c>
      <c r="K383">
        <v>0</v>
      </c>
      <c r="L383">
        <v>10.9370162074169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3">
      <c r="A384">
        <v>35</v>
      </c>
      <c r="B384" t="s">
        <v>10</v>
      </c>
      <c r="C384">
        <v>117.53137222234</v>
      </c>
      <c r="D384">
        <v>1.71204188481675</v>
      </c>
      <c r="F384">
        <v>50</v>
      </c>
      <c r="G384" t="s">
        <v>34</v>
      </c>
      <c r="H384">
        <v>0</v>
      </c>
      <c r="I384">
        <v>0</v>
      </c>
      <c r="J384">
        <v>0</v>
      </c>
      <c r="K384">
        <v>0</v>
      </c>
      <c r="L384">
        <v>10.9370162074169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3">
      <c r="A385">
        <v>35</v>
      </c>
      <c r="B385" t="s">
        <v>11</v>
      </c>
      <c r="C385">
        <v>274.71391455781901</v>
      </c>
      <c r="D385">
        <v>3.9858299595141702</v>
      </c>
      <c r="F385">
        <v>50</v>
      </c>
      <c r="G385" t="s">
        <v>35</v>
      </c>
      <c r="H385">
        <v>0</v>
      </c>
      <c r="I385">
        <v>0</v>
      </c>
      <c r="J385">
        <v>0</v>
      </c>
      <c r="K385">
        <v>0</v>
      </c>
      <c r="L385">
        <v>10.9370162074169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3">
      <c r="A386">
        <v>35</v>
      </c>
      <c r="B386" t="s">
        <v>12</v>
      </c>
      <c r="C386">
        <v>352.66768510470098</v>
      </c>
      <c r="D386">
        <v>4.5571095571095501</v>
      </c>
      <c r="F386">
        <v>50</v>
      </c>
      <c r="G386" t="s">
        <v>36</v>
      </c>
      <c r="H386">
        <v>0</v>
      </c>
      <c r="I386">
        <v>0</v>
      </c>
      <c r="J386">
        <v>0</v>
      </c>
      <c r="K386">
        <v>0</v>
      </c>
      <c r="L386">
        <v>10.9370162074169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3">
      <c r="A387">
        <v>35</v>
      </c>
      <c r="B387" t="s">
        <v>13</v>
      </c>
      <c r="C387">
        <v>351.80037376179303</v>
      </c>
      <c r="D387">
        <v>1.33877233877233</v>
      </c>
      <c r="F387">
        <v>51</v>
      </c>
      <c r="G387" t="s">
        <v>25</v>
      </c>
      <c r="H387">
        <v>730</v>
      </c>
      <c r="I387">
        <v>730</v>
      </c>
      <c r="J387">
        <v>25.658904109588999</v>
      </c>
      <c r="K387">
        <v>102.08714475041</v>
      </c>
      <c r="L387">
        <v>10.918517062874701</v>
      </c>
      <c r="M387">
        <v>247.583532378971</v>
      </c>
      <c r="N387">
        <v>0</v>
      </c>
      <c r="O387">
        <v>0</v>
      </c>
      <c r="P387">
        <v>1399.660118</v>
      </c>
      <c r="Q387">
        <v>1213.78548628</v>
      </c>
    </row>
    <row r="388" spans="1:17" x14ac:dyDescent="0.3">
      <c r="A388">
        <v>36</v>
      </c>
      <c r="B388" t="s">
        <v>3</v>
      </c>
      <c r="C388">
        <v>15.2447123504184</v>
      </c>
      <c r="D388">
        <v>4</v>
      </c>
      <c r="F388">
        <v>51</v>
      </c>
      <c r="G388" t="s">
        <v>26</v>
      </c>
      <c r="H388">
        <v>718</v>
      </c>
      <c r="I388">
        <v>718</v>
      </c>
      <c r="J388">
        <v>25.268802228412198</v>
      </c>
      <c r="K388">
        <v>100.728103044112</v>
      </c>
      <c r="L388">
        <v>10.918517062874701</v>
      </c>
      <c r="M388">
        <v>240.86598842610201</v>
      </c>
      <c r="N388">
        <v>0</v>
      </c>
      <c r="O388">
        <v>0</v>
      </c>
      <c r="P388">
        <v>1379.8293369999899</v>
      </c>
      <c r="Q388">
        <v>1194.1234073359899</v>
      </c>
    </row>
    <row r="389" spans="1:17" x14ac:dyDescent="0.3">
      <c r="A389">
        <v>36</v>
      </c>
      <c r="B389" t="s">
        <v>4</v>
      </c>
      <c r="C389">
        <v>15.430918929658</v>
      </c>
      <c r="D389">
        <v>4</v>
      </c>
      <c r="F389">
        <v>51</v>
      </c>
      <c r="G389" t="s">
        <v>27</v>
      </c>
      <c r="H389">
        <v>711</v>
      </c>
      <c r="I389">
        <v>711</v>
      </c>
      <c r="J389">
        <v>24.992967651195499</v>
      </c>
      <c r="K389">
        <v>100.36083204939899</v>
      </c>
      <c r="L389">
        <v>10.918517062874701</v>
      </c>
      <c r="M389">
        <v>240.11938345556999</v>
      </c>
      <c r="N389">
        <v>0</v>
      </c>
      <c r="O389">
        <v>0</v>
      </c>
      <c r="P389">
        <v>1383.09046699999</v>
      </c>
      <c r="Q389">
        <v>1198.2201155140001</v>
      </c>
    </row>
    <row r="390" spans="1:17" x14ac:dyDescent="0.3">
      <c r="A390">
        <v>36</v>
      </c>
      <c r="B390" t="s">
        <v>5</v>
      </c>
      <c r="C390">
        <v>19.700063019685299</v>
      </c>
      <c r="D390">
        <v>4.5</v>
      </c>
      <c r="F390">
        <v>51</v>
      </c>
      <c r="G390" t="s">
        <v>28</v>
      </c>
      <c r="H390">
        <v>476</v>
      </c>
      <c r="I390">
        <v>476</v>
      </c>
      <c r="J390">
        <v>23.716386554621799</v>
      </c>
      <c r="K390">
        <v>68.973586026000405</v>
      </c>
      <c r="L390">
        <v>10.918517062874701</v>
      </c>
      <c r="M390">
        <v>160.27571661060199</v>
      </c>
      <c r="N390">
        <v>0</v>
      </c>
      <c r="O390">
        <v>0</v>
      </c>
      <c r="P390">
        <v>935.64821899999902</v>
      </c>
      <c r="Q390">
        <v>803.97276896799997</v>
      </c>
    </row>
    <row r="391" spans="1:17" x14ac:dyDescent="0.3">
      <c r="A391">
        <v>36</v>
      </c>
      <c r="B391" t="s">
        <v>6</v>
      </c>
      <c r="C391">
        <v>64.037542550816596</v>
      </c>
      <c r="D391">
        <v>4.0171428571428498</v>
      </c>
      <c r="F391">
        <v>51</v>
      </c>
      <c r="G391" t="s">
        <v>29</v>
      </c>
      <c r="H391">
        <v>476</v>
      </c>
      <c r="I391">
        <v>476</v>
      </c>
      <c r="J391">
        <v>23.716386554621799</v>
      </c>
      <c r="K391">
        <v>68.271743545915001</v>
      </c>
      <c r="L391">
        <v>10.918517062874701</v>
      </c>
      <c r="M391">
        <v>160.92090973319799</v>
      </c>
      <c r="N391">
        <v>0</v>
      </c>
      <c r="O391">
        <v>0</v>
      </c>
      <c r="P391">
        <v>895.11894900000004</v>
      </c>
      <c r="Q391">
        <v>773.36753987099996</v>
      </c>
    </row>
    <row r="392" spans="1:17" x14ac:dyDescent="0.3">
      <c r="A392">
        <v>36</v>
      </c>
      <c r="B392" t="s">
        <v>7</v>
      </c>
      <c r="C392">
        <v>65.904230387213701</v>
      </c>
      <c r="D392">
        <v>3.5</v>
      </c>
      <c r="F392">
        <v>51</v>
      </c>
      <c r="G392" t="s">
        <v>30</v>
      </c>
      <c r="H392">
        <v>476</v>
      </c>
      <c r="I392">
        <v>476</v>
      </c>
      <c r="J392">
        <v>23.716386554621799</v>
      </c>
      <c r="K392">
        <v>68.483860610029097</v>
      </c>
      <c r="L392">
        <v>10.918517062874701</v>
      </c>
      <c r="M392">
        <v>162.189863374655</v>
      </c>
      <c r="N392">
        <v>0</v>
      </c>
      <c r="O392">
        <v>0</v>
      </c>
      <c r="P392">
        <v>886.41814999999997</v>
      </c>
      <c r="Q392">
        <v>762.03508768300003</v>
      </c>
    </row>
    <row r="393" spans="1:17" x14ac:dyDescent="0.3">
      <c r="A393">
        <v>36</v>
      </c>
      <c r="B393" t="s">
        <v>8</v>
      </c>
      <c r="C393">
        <v>78.938334871130095</v>
      </c>
      <c r="D393">
        <v>4</v>
      </c>
      <c r="F393">
        <v>51</v>
      </c>
      <c r="G393" t="s">
        <v>31</v>
      </c>
      <c r="H393">
        <v>0</v>
      </c>
      <c r="I393">
        <v>0</v>
      </c>
      <c r="J393">
        <v>0</v>
      </c>
      <c r="K393">
        <v>0</v>
      </c>
      <c r="L393">
        <v>10.918517062874701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3">
      <c r="A394">
        <v>36</v>
      </c>
      <c r="B394" t="s">
        <v>9</v>
      </c>
      <c r="C394">
        <v>80.884865227304999</v>
      </c>
      <c r="D394">
        <v>3.5</v>
      </c>
      <c r="F394">
        <v>51</v>
      </c>
      <c r="G394" t="s">
        <v>32</v>
      </c>
      <c r="H394">
        <v>0</v>
      </c>
      <c r="I394">
        <v>0</v>
      </c>
      <c r="J394">
        <v>0</v>
      </c>
      <c r="K394">
        <v>0</v>
      </c>
      <c r="L394">
        <v>10.918517062874701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3">
      <c r="A395">
        <v>36</v>
      </c>
      <c r="B395" t="s">
        <v>10</v>
      </c>
      <c r="C395">
        <v>117.357385549452</v>
      </c>
      <c r="D395">
        <v>1.37083993660855</v>
      </c>
      <c r="F395">
        <v>51</v>
      </c>
      <c r="G395" t="s">
        <v>33</v>
      </c>
      <c r="H395">
        <v>0</v>
      </c>
      <c r="I395">
        <v>0</v>
      </c>
      <c r="J395">
        <v>0</v>
      </c>
      <c r="K395">
        <v>0</v>
      </c>
      <c r="L395">
        <v>10.918517062874701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3">
      <c r="A396">
        <v>36</v>
      </c>
      <c r="B396" t="s">
        <v>11</v>
      </c>
      <c r="C396">
        <v>272.89952610862599</v>
      </c>
      <c r="D396">
        <v>4.0464646464646403</v>
      </c>
      <c r="F396">
        <v>51</v>
      </c>
      <c r="G396" t="s">
        <v>34</v>
      </c>
      <c r="H396">
        <v>0</v>
      </c>
      <c r="I396">
        <v>0</v>
      </c>
      <c r="J396">
        <v>0</v>
      </c>
      <c r="K396">
        <v>0</v>
      </c>
      <c r="L396">
        <v>10.918517062874701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3">
      <c r="A397">
        <v>36</v>
      </c>
      <c r="B397" t="s">
        <v>12</v>
      </c>
      <c r="C397">
        <v>354.00994634245302</v>
      </c>
      <c r="D397">
        <v>4.5317647058823498</v>
      </c>
      <c r="F397">
        <v>51</v>
      </c>
      <c r="G397" t="s">
        <v>35</v>
      </c>
      <c r="H397">
        <v>0</v>
      </c>
      <c r="I397">
        <v>0</v>
      </c>
      <c r="J397">
        <v>0</v>
      </c>
      <c r="K397">
        <v>0</v>
      </c>
      <c r="L397">
        <v>10.918517062874701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3">
      <c r="A398">
        <v>36</v>
      </c>
      <c r="B398" t="s">
        <v>13</v>
      </c>
      <c r="C398">
        <v>352.69769705072002</v>
      </c>
      <c r="D398">
        <v>1.3518373729476101</v>
      </c>
      <c r="F398">
        <v>51</v>
      </c>
      <c r="G398" t="s">
        <v>36</v>
      </c>
      <c r="H398">
        <v>0</v>
      </c>
      <c r="I398">
        <v>0</v>
      </c>
      <c r="J398">
        <v>0</v>
      </c>
      <c r="K398">
        <v>0</v>
      </c>
      <c r="L398">
        <v>10.918517062874701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3">
      <c r="A399">
        <v>37</v>
      </c>
      <c r="B399" t="s">
        <v>3</v>
      </c>
      <c r="C399">
        <v>15.5706433637862</v>
      </c>
      <c r="D399">
        <v>4</v>
      </c>
      <c r="F399">
        <v>52</v>
      </c>
      <c r="G399" t="s">
        <v>25</v>
      </c>
      <c r="H399">
        <v>1289</v>
      </c>
      <c r="I399">
        <v>1211</v>
      </c>
      <c r="J399">
        <v>77.346004654771093</v>
      </c>
      <c r="K399">
        <v>199.74199291531201</v>
      </c>
      <c r="L399">
        <v>6.6634415643507303</v>
      </c>
      <c r="M399">
        <v>424.28160065993399</v>
      </c>
      <c r="N399">
        <v>0</v>
      </c>
      <c r="O399">
        <v>0</v>
      </c>
      <c r="P399">
        <v>2775.4779999999901</v>
      </c>
      <c r="Q399">
        <v>2379.6254626939899</v>
      </c>
    </row>
    <row r="400" spans="1:17" x14ac:dyDescent="0.3">
      <c r="A400">
        <v>37</v>
      </c>
      <c r="B400" t="s">
        <v>4</v>
      </c>
      <c r="C400">
        <v>15.2698427147965</v>
      </c>
      <c r="D400">
        <v>4</v>
      </c>
      <c r="F400">
        <v>52</v>
      </c>
      <c r="G400" t="s">
        <v>26</v>
      </c>
      <c r="H400">
        <v>1126</v>
      </c>
      <c r="I400">
        <v>1126</v>
      </c>
      <c r="J400">
        <v>70.253108348134901</v>
      </c>
      <c r="K400">
        <v>194.702784544248</v>
      </c>
      <c r="L400">
        <v>6.6634415643507303</v>
      </c>
      <c r="M400">
        <v>383.35221786270898</v>
      </c>
      <c r="N400">
        <v>0</v>
      </c>
      <c r="O400">
        <v>0</v>
      </c>
      <c r="P400">
        <v>2665.193593</v>
      </c>
      <c r="Q400">
        <v>2265.0053414039999</v>
      </c>
    </row>
    <row r="401" spans="1:17" x14ac:dyDescent="0.3">
      <c r="A401">
        <v>37</v>
      </c>
      <c r="B401" t="s">
        <v>5</v>
      </c>
      <c r="C401">
        <v>19.7509586089256</v>
      </c>
      <c r="D401">
        <v>4.5</v>
      </c>
      <c r="F401">
        <v>52</v>
      </c>
      <c r="G401" t="s">
        <v>27</v>
      </c>
      <c r="H401">
        <v>701</v>
      </c>
      <c r="I401">
        <v>701</v>
      </c>
      <c r="J401">
        <v>88.626248216833005</v>
      </c>
      <c r="K401">
        <v>110.823016336723</v>
      </c>
      <c r="L401">
        <v>6.6634415643507303</v>
      </c>
      <c r="M401">
        <v>189.09695919442299</v>
      </c>
      <c r="N401">
        <v>0</v>
      </c>
      <c r="O401">
        <v>0</v>
      </c>
      <c r="P401">
        <v>1261.0932989999999</v>
      </c>
      <c r="Q401">
        <v>1064.32387865899</v>
      </c>
    </row>
    <row r="402" spans="1:17" x14ac:dyDescent="0.3">
      <c r="A402">
        <v>37</v>
      </c>
      <c r="B402" t="s">
        <v>6</v>
      </c>
      <c r="C402">
        <v>64.552140647708896</v>
      </c>
      <c r="D402">
        <v>4.0171428571428498</v>
      </c>
      <c r="F402">
        <v>52</v>
      </c>
      <c r="G402" t="s">
        <v>28</v>
      </c>
      <c r="H402">
        <v>696</v>
      </c>
      <c r="I402">
        <v>696</v>
      </c>
      <c r="J402">
        <v>87.987068965517196</v>
      </c>
      <c r="K402">
        <v>110.040513293453</v>
      </c>
      <c r="L402">
        <v>6.6634415643507303</v>
      </c>
      <c r="M402">
        <v>189.36182073736299</v>
      </c>
      <c r="N402">
        <v>0</v>
      </c>
      <c r="O402">
        <v>0</v>
      </c>
      <c r="P402">
        <v>1244.9308039999901</v>
      </c>
      <c r="Q402">
        <v>1051.9326628639999</v>
      </c>
    </row>
    <row r="403" spans="1:17" x14ac:dyDescent="0.3">
      <c r="A403">
        <v>37</v>
      </c>
      <c r="B403" t="s">
        <v>7</v>
      </c>
      <c r="C403">
        <v>65.417834390034301</v>
      </c>
      <c r="D403">
        <v>3.5</v>
      </c>
      <c r="F403">
        <v>53</v>
      </c>
      <c r="G403" t="s">
        <v>25</v>
      </c>
      <c r="H403">
        <v>1288</v>
      </c>
      <c r="I403">
        <v>1211</v>
      </c>
      <c r="J403">
        <v>77.253105590062106</v>
      </c>
      <c r="K403">
        <v>199.153916044814</v>
      </c>
      <c r="L403">
        <v>6.7418628368940796</v>
      </c>
      <c r="M403">
        <v>423.10767107146199</v>
      </c>
      <c r="N403">
        <v>0</v>
      </c>
      <c r="O403">
        <v>0</v>
      </c>
      <c r="P403">
        <v>2790.42736499999</v>
      </c>
      <c r="Q403">
        <v>2393.2229401259901</v>
      </c>
    </row>
    <row r="404" spans="1:17" x14ac:dyDescent="0.3">
      <c r="A404">
        <v>37</v>
      </c>
      <c r="B404" t="s">
        <v>8</v>
      </c>
      <c r="C404">
        <v>78.947864663396302</v>
      </c>
      <c r="D404">
        <v>4</v>
      </c>
      <c r="F404">
        <v>53</v>
      </c>
      <c r="G404" t="s">
        <v>26</v>
      </c>
      <c r="H404">
        <v>1124</v>
      </c>
      <c r="I404">
        <v>1124</v>
      </c>
      <c r="J404">
        <v>70.030249110320199</v>
      </c>
      <c r="K404">
        <v>193.860980095407</v>
      </c>
      <c r="L404">
        <v>6.7418628368940796</v>
      </c>
      <c r="M404">
        <v>386.03558232987598</v>
      </c>
      <c r="N404">
        <v>0</v>
      </c>
      <c r="O404">
        <v>0</v>
      </c>
      <c r="P404">
        <v>2639.3423739999998</v>
      </c>
      <c r="Q404">
        <v>2245.1329071099999</v>
      </c>
    </row>
    <row r="405" spans="1:17" x14ac:dyDescent="0.3">
      <c r="A405">
        <v>37</v>
      </c>
      <c r="B405" t="s">
        <v>9</v>
      </c>
      <c r="C405">
        <v>81.994918865380797</v>
      </c>
      <c r="D405">
        <v>3.5</v>
      </c>
      <c r="F405">
        <v>53</v>
      </c>
      <c r="G405" t="s">
        <v>27</v>
      </c>
      <c r="H405">
        <v>697</v>
      </c>
      <c r="I405">
        <v>697</v>
      </c>
      <c r="J405">
        <v>88.058823529411697</v>
      </c>
      <c r="K405">
        <v>110.04606532739</v>
      </c>
      <c r="L405">
        <v>6.7418628368940796</v>
      </c>
      <c r="M405">
        <v>188.72468030820701</v>
      </c>
      <c r="N405">
        <v>0</v>
      </c>
      <c r="O405">
        <v>0</v>
      </c>
      <c r="P405">
        <v>1240.7788889999999</v>
      </c>
      <c r="Q405">
        <v>1047.9993169740001</v>
      </c>
    </row>
    <row r="406" spans="1:17" x14ac:dyDescent="0.3">
      <c r="A406">
        <v>37</v>
      </c>
      <c r="B406" t="s">
        <v>10</v>
      </c>
      <c r="C406">
        <v>117.674383181056</v>
      </c>
      <c r="D406">
        <v>1.37083993660855</v>
      </c>
      <c r="F406">
        <v>53</v>
      </c>
      <c r="G406" t="s">
        <v>28</v>
      </c>
      <c r="H406">
        <v>692</v>
      </c>
      <c r="I406">
        <v>692</v>
      </c>
      <c r="J406">
        <v>87.455202312138695</v>
      </c>
      <c r="K406">
        <v>110.90268884149199</v>
      </c>
      <c r="L406">
        <v>6.7418628368940796</v>
      </c>
      <c r="M406">
        <v>188.69992558381099</v>
      </c>
      <c r="N406">
        <v>0</v>
      </c>
      <c r="O406">
        <v>0</v>
      </c>
      <c r="P406">
        <v>1242.6429739999901</v>
      </c>
      <c r="Q406">
        <v>1049.3366369509999</v>
      </c>
    </row>
    <row r="407" spans="1:17" x14ac:dyDescent="0.3">
      <c r="A407">
        <v>37</v>
      </c>
      <c r="B407" t="s">
        <v>11</v>
      </c>
      <c r="C407">
        <v>275.309170333792</v>
      </c>
      <c r="D407">
        <v>4.0464646464646403</v>
      </c>
      <c r="F407">
        <v>54</v>
      </c>
      <c r="G407" t="s">
        <v>25</v>
      </c>
      <c r="H407">
        <v>730</v>
      </c>
      <c r="I407">
        <v>730</v>
      </c>
      <c r="J407">
        <v>25.658904109588999</v>
      </c>
      <c r="K407">
        <v>102.845892785755</v>
      </c>
      <c r="L407">
        <v>10.914702213848701</v>
      </c>
      <c r="M407">
        <v>245.74167688535701</v>
      </c>
      <c r="N407">
        <v>0</v>
      </c>
      <c r="O407">
        <v>0</v>
      </c>
      <c r="P407">
        <v>1403.77614899999</v>
      </c>
      <c r="Q407">
        <v>1220.4108342750001</v>
      </c>
    </row>
    <row r="408" spans="1:17" x14ac:dyDescent="0.3">
      <c r="A408">
        <v>37</v>
      </c>
      <c r="B408" t="s">
        <v>12</v>
      </c>
      <c r="C408">
        <v>356.45748624246397</v>
      </c>
      <c r="D408">
        <v>4.5317647058823498</v>
      </c>
      <c r="F408">
        <v>54</v>
      </c>
      <c r="G408" t="s">
        <v>26</v>
      </c>
      <c r="H408">
        <v>718</v>
      </c>
      <c r="I408">
        <v>718</v>
      </c>
      <c r="J408">
        <v>25.268802228412198</v>
      </c>
      <c r="K408">
        <v>100.702080529393</v>
      </c>
      <c r="L408">
        <v>10.914702213848701</v>
      </c>
      <c r="M408">
        <v>240.221282568101</v>
      </c>
      <c r="N408">
        <v>0</v>
      </c>
      <c r="O408">
        <v>0</v>
      </c>
      <c r="P408">
        <v>1377.34080899999</v>
      </c>
      <c r="Q408">
        <v>1191.5955468299901</v>
      </c>
    </row>
    <row r="409" spans="1:17" x14ac:dyDescent="0.3">
      <c r="A409">
        <v>37</v>
      </c>
      <c r="B409" t="s">
        <v>13</v>
      </c>
      <c r="C409">
        <v>354.94442385351198</v>
      </c>
      <c r="D409">
        <v>1.3518373729476101</v>
      </c>
      <c r="F409">
        <v>54</v>
      </c>
      <c r="G409" t="s">
        <v>27</v>
      </c>
      <c r="H409">
        <v>711</v>
      </c>
      <c r="I409">
        <v>711</v>
      </c>
      <c r="J409">
        <v>24.992967651195499</v>
      </c>
      <c r="K409">
        <v>100.409742926729</v>
      </c>
      <c r="L409">
        <v>10.914702213848701</v>
      </c>
      <c r="M409">
        <v>240.838125917745</v>
      </c>
      <c r="N409">
        <v>0</v>
      </c>
      <c r="O409">
        <v>0</v>
      </c>
      <c r="P409">
        <v>1378.47530999999</v>
      </c>
      <c r="Q409">
        <v>1195.959398747</v>
      </c>
    </row>
    <row r="410" spans="1:17" x14ac:dyDescent="0.3">
      <c r="A410">
        <v>38</v>
      </c>
      <c r="B410" t="s">
        <v>3</v>
      </c>
      <c r="C410">
        <v>15.1719432947614</v>
      </c>
      <c r="D410">
        <v>4</v>
      </c>
      <c r="F410">
        <v>54</v>
      </c>
      <c r="G410" t="s">
        <v>28</v>
      </c>
      <c r="H410">
        <v>476</v>
      </c>
      <c r="I410">
        <v>476</v>
      </c>
      <c r="J410">
        <v>23.716386554621799</v>
      </c>
      <c r="K410">
        <v>68.966296355095196</v>
      </c>
      <c r="L410">
        <v>10.914702213848701</v>
      </c>
      <c r="M410">
        <v>159.83583833722199</v>
      </c>
      <c r="N410">
        <v>0</v>
      </c>
      <c r="O410">
        <v>0</v>
      </c>
      <c r="P410">
        <v>934.66458699999896</v>
      </c>
      <c r="Q410">
        <v>805.41924064700004</v>
      </c>
    </row>
    <row r="411" spans="1:17" x14ac:dyDescent="0.3">
      <c r="A411">
        <v>38</v>
      </c>
      <c r="B411" t="s">
        <v>4</v>
      </c>
      <c r="C411">
        <v>15.460785678259199</v>
      </c>
      <c r="D411">
        <v>4</v>
      </c>
      <c r="F411">
        <v>54</v>
      </c>
      <c r="G411" t="s">
        <v>29</v>
      </c>
      <c r="H411">
        <v>476</v>
      </c>
      <c r="I411">
        <v>476</v>
      </c>
      <c r="J411">
        <v>23.716386554621799</v>
      </c>
      <c r="K411">
        <v>68.080525182437199</v>
      </c>
      <c r="L411">
        <v>10.914702213848701</v>
      </c>
      <c r="M411">
        <v>162.33862818693001</v>
      </c>
      <c r="N411">
        <v>0</v>
      </c>
      <c r="O411">
        <v>0</v>
      </c>
      <c r="P411">
        <v>895.84842100000003</v>
      </c>
      <c r="Q411">
        <v>771.64808470100002</v>
      </c>
    </row>
    <row r="412" spans="1:17" x14ac:dyDescent="0.3">
      <c r="A412">
        <v>38</v>
      </c>
      <c r="B412" t="s">
        <v>5</v>
      </c>
      <c r="C412">
        <v>19.6020038529998</v>
      </c>
      <c r="D412">
        <v>4.5</v>
      </c>
      <c r="F412">
        <v>54</v>
      </c>
      <c r="G412" t="s">
        <v>30</v>
      </c>
      <c r="H412">
        <v>476</v>
      </c>
      <c r="I412">
        <v>476</v>
      </c>
      <c r="J412">
        <v>23.716386554621799</v>
      </c>
      <c r="K412">
        <v>68.252064158190805</v>
      </c>
      <c r="L412">
        <v>10.914702213848701</v>
      </c>
      <c r="M412">
        <v>162.556393841855</v>
      </c>
      <c r="N412">
        <v>0</v>
      </c>
      <c r="O412">
        <v>0</v>
      </c>
      <c r="P412">
        <v>885.60600099999999</v>
      </c>
      <c r="Q412">
        <v>762.40833644700001</v>
      </c>
    </row>
    <row r="413" spans="1:17" x14ac:dyDescent="0.3">
      <c r="A413">
        <v>38</v>
      </c>
      <c r="B413" t="s">
        <v>6</v>
      </c>
      <c r="C413">
        <v>64.941687728390903</v>
      </c>
      <c r="D413">
        <v>4.0171428571428498</v>
      </c>
      <c r="F413">
        <v>54</v>
      </c>
      <c r="G413" t="s">
        <v>31</v>
      </c>
      <c r="H413">
        <v>0</v>
      </c>
      <c r="I413">
        <v>0</v>
      </c>
      <c r="J413">
        <v>0</v>
      </c>
      <c r="K413">
        <v>0</v>
      </c>
      <c r="L413">
        <v>10.914702213848701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3">
      <c r="A414">
        <v>38</v>
      </c>
      <c r="B414" t="s">
        <v>7</v>
      </c>
      <c r="C414">
        <v>65.484706704545104</v>
      </c>
      <c r="D414">
        <v>3.5</v>
      </c>
      <c r="F414">
        <v>54</v>
      </c>
      <c r="G414" t="s">
        <v>32</v>
      </c>
      <c r="H414">
        <v>0</v>
      </c>
      <c r="I414">
        <v>0</v>
      </c>
      <c r="J414">
        <v>0</v>
      </c>
      <c r="K414">
        <v>0</v>
      </c>
      <c r="L414">
        <v>10.914702213848701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3">
      <c r="A415">
        <v>38</v>
      </c>
      <c r="B415" t="s">
        <v>8</v>
      </c>
      <c r="C415">
        <v>78.649870410065205</v>
      </c>
      <c r="D415">
        <v>4</v>
      </c>
      <c r="F415">
        <v>54</v>
      </c>
      <c r="G415" t="s">
        <v>33</v>
      </c>
      <c r="H415">
        <v>0</v>
      </c>
      <c r="I415">
        <v>0</v>
      </c>
      <c r="J415">
        <v>0</v>
      </c>
      <c r="K415">
        <v>0</v>
      </c>
      <c r="L415">
        <v>10.914702213848701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3">
      <c r="A416">
        <v>38</v>
      </c>
      <c r="B416" t="s">
        <v>9</v>
      </c>
      <c r="C416">
        <v>81.321509100605795</v>
      </c>
      <c r="D416">
        <v>3.5</v>
      </c>
      <c r="F416">
        <v>54</v>
      </c>
      <c r="G416" t="s">
        <v>34</v>
      </c>
      <c r="H416">
        <v>0</v>
      </c>
      <c r="I416">
        <v>0</v>
      </c>
      <c r="J416">
        <v>0</v>
      </c>
      <c r="K416">
        <v>0</v>
      </c>
      <c r="L416">
        <v>10.914702213848701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3">
      <c r="A417">
        <v>38</v>
      </c>
      <c r="B417" t="s">
        <v>10</v>
      </c>
      <c r="C417">
        <v>117.061168739823</v>
      </c>
      <c r="D417">
        <v>1.37083993660855</v>
      </c>
      <c r="F417">
        <v>54</v>
      </c>
      <c r="G417" t="s">
        <v>35</v>
      </c>
      <c r="H417">
        <v>0</v>
      </c>
      <c r="I417">
        <v>0</v>
      </c>
      <c r="J417">
        <v>0</v>
      </c>
      <c r="K417">
        <v>0</v>
      </c>
      <c r="L417">
        <v>10.914702213848701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3">
      <c r="A418">
        <v>38</v>
      </c>
      <c r="B418" t="s">
        <v>11</v>
      </c>
      <c r="C418">
        <v>273.57831438229903</v>
      </c>
      <c r="D418">
        <v>4.0464646464646403</v>
      </c>
      <c r="F418">
        <v>54</v>
      </c>
      <c r="G418" t="s">
        <v>36</v>
      </c>
      <c r="H418">
        <v>0</v>
      </c>
      <c r="I418">
        <v>0</v>
      </c>
      <c r="J418">
        <v>0</v>
      </c>
      <c r="K418">
        <v>0</v>
      </c>
      <c r="L418">
        <v>10.914702213848701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3">
      <c r="A419">
        <v>38</v>
      </c>
      <c r="B419" t="s">
        <v>12</v>
      </c>
      <c r="C419">
        <v>354.08150900392599</v>
      </c>
      <c r="D419">
        <v>4.5317647058823498</v>
      </c>
      <c r="F419">
        <v>55</v>
      </c>
      <c r="G419" t="s">
        <v>25</v>
      </c>
      <c r="H419">
        <v>730</v>
      </c>
      <c r="I419">
        <v>730</v>
      </c>
      <c r="J419">
        <v>25.658904109588999</v>
      </c>
      <c r="K419">
        <v>102.617327448548</v>
      </c>
      <c r="L419">
        <v>10.8999620433051</v>
      </c>
      <c r="M419">
        <v>246.211045142643</v>
      </c>
      <c r="N419">
        <v>0</v>
      </c>
      <c r="O419">
        <v>0</v>
      </c>
      <c r="P419">
        <v>1405.053559</v>
      </c>
      <c r="Q419">
        <v>1219.0213387700001</v>
      </c>
    </row>
    <row r="420" spans="1:17" x14ac:dyDescent="0.3">
      <c r="A420">
        <v>38</v>
      </c>
      <c r="B420" t="s">
        <v>13</v>
      </c>
      <c r="C420">
        <v>354.21630781773899</v>
      </c>
      <c r="D420">
        <v>1.3518373729476101</v>
      </c>
      <c r="F420">
        <v>55</v>
      </c>
      <c r="G420" t="s">
        <v>26</v>
      </c>
      <c r="H420">
        <v>718</v>
      </c>
      <c r="I420">
        <v>718</v>
      </c>
      <c r="J420">
        <v>25.268802228412198</v>
      </c>
      <c r="K420">
        <v>100.71926984047499</v>
      </c>
      <c r="L420">
        <v>10.8999620433051</v>
      </c>
      <c r="M420">
        <v>239.466710747571</v>
      </c>
      <c r="N420">
        <v>0</v>
      </c>
      <c r="O420">
        <v>0</v>
      </c>
      <c r="P420">
        <v>1375.79151999999</v>
      </c>
      <c r="Q420">
        <v>1189.56023400399</v>
      </c>
    </row>
    <row r="421" spans="1:17" x14ac:dyDescent="0.3">
      <c r="A421">
        <v>39</v>
      </c>
      <c r="B421" t="s">
        <v>3</v>
      </c>
      <c r="C421">
        <v>15.1426137126446</v>
      </c>
      <c r="D421">
        <v>4</v>
      </c>
      <c r="F421">
        <v>55</v>
      </c>
      <c r="G421" t="s">
        <v>27</v>
      </c>
      <c r="H421">
        <v>711</v>
      </c>
      <c r="I421">
        <v>711</v>
      </c>
      <c r="J421">
        <v>24.992967651195499</v>
      </c>
      <c r="K421">
        <v>99.996423870390998</v>
      </c>
      <c r="L421">
        <v>10.8999620433051</v>
      </c>
      <c r="M421">
        <v>241.733515642773</v>
      </c>
      <c r="N421">
        <v>0</v>
      </c>
      <c r="O421">
        <v>0</v>
      </c>
      <c r="P421">
        <v>1378.54262499999</v>
      </c>
      <c r="Q421">
        <v>1195.4278867549999</v>
      </c>
    </row>
    <row r="422" spans="1:17" x14ac:dyDescent="0.3">
      <c r="A422">
        <v>39</v>
      </c>
      <c r="B422" t="s">
        <v>4</v>
      </c>
      <c r="C422">
        <v>15.112475237421901</v>
      </c>
      <c r="D422">
        <v>4</v>
      </c>
      <c r="F422">
        <v>55</v>
      </c>
      <c r="G422" t="s">
        <v>28</v>
      </c>
      <c r="H422">
        <v>476</v>
      </c>
      <c r="I422">
        <v>476</v>
      </c>
      <c r="J422">
        <v>23.716386554621799</v>
      </c>
      <c r="K422">
        <v>69.148576360539593</v>
      </c>
      <c r="L422">
        <v>10.8999620433051</v>
      </c>
      <c r="M422">
        <v>160.16972189459301</v>
      </c>
      <c r="N422">
        <v>0</v>
      </c>
      <c r="O422">
        <v>0</v>
      </c>
      <c r="P422">
        <v>936.39505099999894</v>
      </c>
      <c r="Q422">
        <v>805.13045311199903</v>
      </c>
    </row>
    <row r="423" spans="1:17" x14ac:dyDescent="0.3">
      <c r="A423">
        <v>39</v>
      </c>
      <c r="B423" t="s">
        <v>5</v>
      </c>
      <c r="C423">
        <v>19.7168005303222</v>
      </c>
      <c r="D423">
        <v>4.5</v>
      </c>
      <c r="F423">
        <v>55</v>
      </c>
      <c r="G423" t="s">
        <v>29</v>
      </c>
      <c r="H423">
        <v>476</v>
      </c>
      <c r="I423">
        <v>476</v>
      </c>
      <c r="J423">
        <v>23.716386554621799</v>
      </c>
      <c r="K423">
        <v>68.593310733509099</v>
      </c>
      <c r="L423">
        <v>10.8999620433051</v>
      </c>
      <c r="M423">
        <v>160.950598077873</v>
      </c>
      <c r="N423">
        <v>0</v>
      </c>
      <c r="O423">
        <v>0</v>
      </c>
      <c r="P423">
        <v>891.05132700000001</v>
      </c>
      <c r="Q423">
        <v>767.88410789299996</v>
      </c>
    </row>
    <row r="424" spans="1:17" x14ac:dyDescent="0.3">
      <c r="A424">
        <v>39</v>
      </c>
      <c r="B424" t="s">
        <v>6</v>
      </c>
      <c r="C424">
        <v>64.986159561060305</v>
      </c>
      <c r="D424">
        <v>4.0171428571428498</v>
      </c>
      <c r="F424">
        <v>55</v>
      </c>
      <c r="G424" t="s">
        <v>30</v>
      </c>
      <c r="H424">
        <v>476</v>
      </c>
      <c r="I424">
        <v>476</v>
      </c>
      <c r="J424">
        <v>23.716386554621799</v>
      </c>
      <c r="K424">
        <v>68.161353574948805</v>
      </c>
      <c r="L424">
        <v>10.8999620433051</v>
      </c>
      <c r="M424">
        <v>161.36419530141399</v>
      </c>
      <c r="N424">
        <v>0</v>
      </c>
      <c r="O424">
        <v>0</v>
      </c>
      <c r="P424">
        <v>885.35399700000005</v>
      </c>
      <c r="Q424">
        <v>763.38817379900001</v>
      </c>
    </row>
    <row r="425" spans="1:17" x14ac:dyDescent="0.3">
      <c r="A425">
        <v>39</v>
      </c>
      <c r="B425" t="s">
        <v>7</v>
      </c>
      <c r="C425">
        <v>65.920013409153398</v>
      </c>
      <c r="D425">
        <v>3.5</v>
      </c>
      <c r="F425">
        <v>55</v>
      </c>
      <c r="G425" t="s">
        <v>31</v>
      </c>
      <c r="H425">
        <v>0</v>
      </c>
      <c r="I425">
        <v>0</v>
      </c>
      <c r="J425">
        <v>0</v>
      </c>
      <c r="K425">
        <v>0</v>
      </c>
      <c r="L425">
        <v>10.8999620433051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3">
      <c r="A426">
        <v>39</v>
      </c>
      <c r="B426" t="s">
        <v>8</v>
      </c>
      <c r="C426">
        <v>79.070811151156207</v>
      </c>
      <c r="D426">
        <v>4</v>
      </c>
      <c r="F426">
        <v>55</v>
      </c>
      <c r="G426" t="s">
        <v>32</v>
      </c>
      <c r="H426">
        <v>0</v>
      </c>
      <c r="I426">
        <v>0</v>
      </c>
      <c r="J426">
        <v>0</v>
      </c>
      <c r="K426">
        <v>0</v>
      </c>
      <c r="L426">
        <v>10.8999620433051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3">
      <c r="A427">
        <v>39</v>
      </c>
      <c r="B427" t="s">
        <v>9</v>
      </c>
      <c r="C427">
        <v>81.641565080820996</v>
      </c>
      <c r="D427">
        <v>3.5</v>
      </c>
      <c r="F427">
        <v>55</v>
      </c>
      <c r="G427" t="s">
        <v>33</v>
      </c>
      <c r="H427">
        <v>0</v>
      </c>
      <c r="I427">
        <v>0</v>
      </c>
      <c r="J427">
        <v>0</v>
      </c>
      <c r="K427">
        <v>0</v>
      </c>
      <c r="L427">
        <v>10.8999620433051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3">
      <c r="A428">
        <v>39</v>
      </c>
      <c r="B428" t="s">
        <v>10</v>
      </c>
      <c r="C428">
        <v>117.364894790368</v>
      </c>
      <c r="D428">
        <v>1.37083993660855</v>
      </c>
      <c r="F428">
        <v>55</v>
      </c>
      <c r="G428" t="s">
        <v>34</v>
      </c>
      <c r="H428">
        <v>0</v>
      </c>
      <c r="I428">
        <v>0</v>
      </c>
      <c r="J428">
        <v>0</v>
      </c>
      <c r="K428">
        <v>0</v>
      </c>
      <c r="L428">
        <v>10.8999620433051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">
      <c r="A429">
        <v>39</v>
      </c>
      <c r="B429" t="s">
        <v>11</v>
      </c>
      <c r="C429">
        <v>274.18430484779901</v>
      </c>
      <c r="D429">
        <v>4.0464646464646403</v>
      </c>
      <c r="F429">
        <v>55</v>
      </c>
      <c r="G429" t="s">
        <v>35</v>
      </c>
      <c r="H429">
        <v>0</v>
      </c>
      <c r="I429">
        <v>0</v>
      </c>
      <c r="J429">
        <v>0</v>
      </c>
      <c r="K429">
        <v>0</v>
      </c>
      <c r="L429">
        <v>10.8999620433051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3">
      <c r="A430">
        <v>39</v>
      </c>
      <c r="B430" t="s">
        <v>12</v>
      </c>
      <c r="C430">
        <v>352.95568530711398</v>
      </c>
      <c r="D430">
        <v>4.5317647058823498</v>
      </c>
      <c r="F430">
        <v>55</v>
      </c>
      <c r="G430" t="s">
        <v>36</v>
      </c>
      <c r="H430">
        <v>0</v>
      </c>
      <c r="I430">
        <v>0</v>
      </c>
      <c r="J430">
        <v>0</v>
      </c>
      <c r="K430">
        <v>0</v>
      </c>
      <c r="L430">
        <v>10.8999620433051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">
      <c r="A431">
        <v>39</v>
      </c>
      <c r="B431" t="s">
        <v>13</v>
      </c>
      <c r="C431">
        <v>353.539256387325</v>
      </c>
      <c r="D431">
        <v>1.3518373729476101</v>
      </c>
      <c r="F431">
        <v>56</v>
      </c>
      <c r="G431" t="s">
        <v>25</v>
      </c>
      <c r="H431">
        <v>1287</v>
      </c>
      <c r="I431">
        <v>1210</v>
      </c>
      <c r="J431">
        <v>77.160062160062097</v>
      </c>
      <c r="K431">
        <v>199.25405062598</v>
      </c>
      <c r="L431">
        <v>6.70247266245216</v>
      </c>
      <c r="M431">
        <v>423.18892666502302</v>
      </c>
      <c r="N431">
        <v>0</v>
      </c>
      <c r="O431">
        <v>0</v>
      </c>
      <c r="P431">
        <v>2796.6273999999898</v>
      </c>
      <c r="Q431">
        <v>2397.97229246699</v>
      </c>
    </row>
    <row r="432" spans="1:17" x14ac:dyDescent="0.3">
      <c r="A432">
        <v>40</v>
      </c>
      <c r="B432" t="s">
        <v>3</v>
      </c>
      <c r="C432">
        <v>15.3360376038755</v>
      </c>
      <c r="D432">
        <v>4</v>
      </c>
      <c r="F432">
        <v>56</v>
      </c>
      <c r="G432" t="s">
        <v>26</v>
      </c>
      <c r="H432">
        <v>1122</v>
      </c>
      <c r="I432">
        <v>1122</v>
      </c>
      <c r="J432">
        <v>69.804812834224606</v>
      </c>
      <c r="K432">
        <v>193.07528556601801</v>
      </c>
      <c r="L432">
        <v>6.70247266245216</v>
      </c>
      <c r="M432">
        <v>385.39176429084699</v>
      </c>
      <c r="N432">
        <v>0</v>
      </c>
      <c r="O432">
        <v>0</v>
      </c>
      <c r="P432">
        <v>2637.9782489999998</v>
      </c>
      <c r="Q432">
        <v>2243.0269019719999</v>
      </c>
    </row>
    <row r="433" spans="1:17" x14ac:dyDescent="0.3">
      <c r="A433">
        <v>40</v>
      </c>
      <c r="B433" t="s">
        <v>4</v>
      </c>
      <c r="C433">
        <v>15.0490965869574</v>
      </c>
      <c r="D433">
        <v>3.5</v>
      </c>
      <c r="F433">
        <v>56</v>
      </c>
      <c r="G433" t="s">
        <v>27</v>
      </c>
      <c r="H433">
        <v>699</v>
      </c>
      <c r="I433">
        <v>699</v>
      </c>
      <c r="J433">
        <v>88.349070100142995</v>
      </c>
      <c r="K433">
        <v>110.41558610919</v>
      </c>
      <c r="L433">
        <v>6.70247266245216</v>
      </c>
      <c r="M433">
        <v>188.51230828405701</v>
      </c>
      <c r="N433">
        <v>0</v>
      </c>
      <c r="O433">
        <v>0</v>
      </c>
      <c r="P433">
        <v>1246.3093669999901</v>
      </c>
      <c r="Q433">
        <v>1049.8969207159901</v>
      </c>
    </row>
    <row r="434" spans="1:17" x14ac:dyDescent="0.3">
      <c r="A434">
        <v>40</v>
      </c>
      <c r="B434" t="s">
        <v>5</v>
      </c>
      <c r="C434">
        <v>20.001848230132101</v>
      </c>
      <c r="D434">
        <v>5</v>
      </c>
      <c r="F434">
        <v>56</v>
      </c>
      <c r="G434" t="s">
        <v>28</v>
      </c>
      <c r="H434">
        <v>694</v>
      </c>
      <c r="I434">
        <v>694</v>
      </c>
      <c r="J434">
        <v>87.746397694524404</v>
      </c>
      <c r="K434">
        <v>111.080852645322</v>
      </c>
      <c r="L434">
        <v>6.70247266245216</v>
      </c>
      <c r="M434">
        <v>189.24466201410601</v>
      </c>
      <c r="N434">
        <v>0</v>
      </c>
      <c r="O434">
        <v>0</v>
      </c>
      <c r="P434">
        <v>1243.37557699999</v>
      </c>
      <c r="Q434">
        <v>1050.2895027110001</v>
      </c>
    </row>
    <row r="435" spans="1:17" x14ac:dyDescent="0.3">
      <c r="A435">
        <v>40</v>
      </c>
      <c r="B435" t="s">
        <v>6</v>
      </c>
      <c r="C435">
        <v>65.194055223213098</v>
      </c>
      <c r="D435">
        <v>3.4067796610169401</v>
      </c>
      <c r="F435">
        <v>57</v>
      </c>
      <c r="G435" t="s">
        <v>25</v>
      </c>
      <c r="H435">
        <v>1291</v>
      </c>
      <c r="I435">
        <v>1214</v>
      </c>
      <c r="J435">
        <v>77.536018590240104</v>
      </c>
      <c r="K435">
        <v>199.256295361924</v>
      </c>
      <c r="L435">
        <v>6.72274555396198</v>
      </c>
      <c r="M435">
        <v>424.94119007911502</v>
      </c>
      <c r="N435">
        <v>0</v>
      </c>
      <c r="O435">
        <v>0</v>
      </c>
      <c r="P435">
        <v>2784.7733559999901</v>
      </c>
      <c r="Q435">
        <v>2385.9450779569902</v>
      </c>
    </row>
    <row r="436" spans="1:17" x14ac:dyDescent="0.3">
      <c r="A436">
        <v>40</v>
      </c>
      <c r="B436" t="s">
        <v>7</v>
      </c>
      <c r="C436">
        <v>66.059569359318502</v>
      </c>
      <c r="D436">
        <v>3.6583333333333301</v>
      </c>
      <c r="F436">
        <v>57</v>
      </c>
      <c r="G436" t="s">
        <v>26</v>
      </c>
      <c r="H436">
        <v>1126</v>
      </c>
      <c r="I436">
        <v>1126</v>
      </c>
      <c r="J436">
        <v>70.258436944937799</v>
      </c>
      <c r="K436">
        <v>192.97565888820199</v>
      </c>
      <c r="L436">
        <v>6.72274555396198</v>
      </c>
      <c r="M436">
        <v>385.10612706470801</v>
      </c>
      <c r="N436">
        <v>0</v>
      </c>
      <c r="O436">
        <v>0</v>
      </c>
      <c r="P436">
        <v>2647.5367509999901</v>
      </c>
      <c r="Q436">
        <v>2251.4746884789902</v>
      </c>
    </row>
    <row r="437" spans="1:17" x14ac:dyDescent="0.3">
      <c r="A437">
        <v>40</v>
      </c>
      <c r="B437" t="s">
        <v>8</v>
      </c>
      <c r="C437">
        <v>78.352963861781205</v>
      </c>
      <c r="D437">
        <v>4</v>
      </c>
      <c r="F437">
        <v>57</v>
      </c>
      <c r="G437" t="s">
        <v>27</v>
      </c>
      <c r="H437">
        <v>699</v>
      </c>
      <c r="I437">
        <v>699</v>
      </c>
      <c r="J437">
        <v>88.343347639484904</v>
      </c>
      <c r="K437">
        <v>110.063007768083</v>
      </c>
      <c r="L437">
        <v>6.72274555396198</v>
      </c>
      <c r="M437">
        <v>190.16924073913299</v>
      </c>
      <c r="N437">
        <v>0</v>
      </c>
      <c r="O437">
        <v>0</v>
      </c>
      <c r="P437">
        <v>1247.9888109999899</v>
      </c>
      <c r="Q437">
        <v>1053.6579651919899</v>
      </c>
    </row>
    <row r="438" spans="1:17" x14ac:dyDescent="0.3">
      <c r="A438">
        <v>40</v>
      </c>
      <c r="B438" t="s">
        <v>9</v>
      </c>
      <c r="C438">
        <v>81.805185967864205</v>
      </c>
      <c r="D438">
        <v>3.5</v>
      </c>
      <c r="F438">
        <v>57</v>
      </c>
      <c r="G438" t="s">
        <v>28</v>
      </c>
      <c r="H438">
        <v>694</v>
      </c>
      <c r="I438">
        <v>694</v>
      </c>
      <c r="J438">
        <v>87.703170028818406</v>
      </c>
      <c r="K438">
        <v>110.219263000149</v>
      </c>
      <c r="L438">
        <v>6.72274555396198</v>
      </c>
      <c r="M438">
        <v>189.709405168312</v>
      </c>
      <c r="N438">
        <v>0</v>
      </c>
      <c r="O438">
        <v>0</v>
      </c>
      <c r="P438">
        <v>1247.1771759999899</v>
      </c>
      <c r="Q438">
        <v>1053.608558057</v>
      </c>
    </row>
    <row r="439" spans="1:17" x14ac:dyDescent="0.3">
      <c r="A439">
        <v>40</v>
      </c>
      <c r="B439" t="s">
        <v>10</v>
      </c>
      <c r="C439">
        <v>116.323832327639</v>
      </c>
      <c r="D439">
        <v>1.7093425605536301</v>
      </c>
      <c r="F439">
        <v>58</v>
      </c>
      <c r="G439" t="s">
        <v>25</v>
      </c>
      <c r="H439">
        <v>1291</v>
      </c>
      <c r="I439">
        <v>1214</v>
      </c>
      <c r="J439">
        <v>77.536018590240104</v>
      </c>
      <c r="K439">
        <v>198.463687846055</v>
      </c>
      <c r="L439">
        <v>6.6638581393257397</v>
      </c>
      <c r="M439">
        <v>423.52029075444199</v>
      </c>
      <c r="N439">
        <v>0</v>
      </c>
      <c r="O439">
        <v>0</v>
      </c>
      <c r="P439">
        <v>2783.0896349999998</v>
      </c>
      <c r="Q439">
        <v>2385.84834373899</v>
      </c>
    </row>
    <row r="440" spans="1:17" x14ac:dyDescent="0.3">
      <c r="A440">
        <v>40</v>
      </c>
      <c r="B440" t="s">
        <v>11</v>
      </c>
      <c r="C440">
        <v>275.61062018685902</v>
      </c>
      <c r="D440">
        <v>3.98174442190669</v>
      </c>
      <c r="F440">
        <v>58</v>
      </c>
      <c r="G440" t="s">
        <v>26</v>
      </c>
      <c r="H440">
        <v>1126</v>
      </c>
      <c r="I440">
        <v>1126</v>
      </c>
      <c r="J440">
        <v>70.254884547069196</v>
      </c>
      <c r="K440">
        <v>192.981969073946</v>
      </c>
      <c r="L440">
        <v>6.6638581393257397</v>
      </c>
      <c r="M440">
        <v>382.48775451534902</v>
      </c>
      <c r="N440">
        <v>0</v>
      </c>
      <c r="O440">
        <v>0</v>
      </c>
      <c r="P440">
        <v>2664.6139560000001</v>
      </c>
      <c r="Q440">
        <v>2265.0323310640001</v>
      </c>
    </row>
    <row r="441" spans="1:17" x14ac:dyDescent="0.3">
      <c r="A441">
        <v>40</v>
      </c>
      <c r="B441" t="s">
        <v>12</v>
      </c>
      <c r="C441">
        <v>354.03385669588602</v>
      </c>
      <c r="D441">
        <v>4.5198135198135097</v>
      </c>
      <c r="F441">
        <v>58</v>
      </c>
      <c r="G441" t="s">
        <v>27</v>
      </c>
      <c r="H441">
        <v>695</v>
      </c>
      <c r="I441">
        <v>695</v>
      </c>
      <c r="J441">
        <v>87.772661870503597</v>
      </c>
      <c r="K441">
        <v>110.88160685383799</v>
      </c>
      <c r="L441">
        <v>6.6638581393257397</v>
      </c>
      <c r="M441">
        <v>190.724212899582</v>
      </c>
      <c r="N441">
        <v>0</v>
      </c>
      <c r="O441">
        <v>0</v>
      </c>
      <c r="P441">
        <v>1247.1573020000001</v>
      </c>
      <c r="Q441">
        <v>1052.1056742369999</v>
      </c>
    </row>
    <row r="442" spans="1:17" x14ac:dyDescent="0.3">
      <c r="A442">
        <v>40</v>
      </c>
      <c r="B442" t="s">
        <v>13</v>
      </c>
      <c r="C442">
        <v>354.99630486841301</v>
      </c>
      <c r="D442">
        <v>1.33877233877233</v>
      </c>
      <c r="F442">
        <v>58</v>
      </c>
      <c r="G442" t="s">
        <v>28</v>
      </c>
      <c r="H442">
        <v>691</v>
      </c>
      <c r="I442">
        <v>691</v>
      </c>
      <c r="J442">
        <v>87.309696092619305</v>
      </c>
      <c r="K442">
        <v>109.938030600009</v>
      </c>
      <c r="L442">
        <v>6.6638581393257397</v>
      </c>
      <c r="M442">
        <v>189.434490630608</v>
      </c>
      <c r="N442">
        <v>0</v>
      </c>
      <c r="O442">
        <v>0</v>
      </c>
      <c r="P442">
        <v>1246.4768199999901</v>
      </c>
      <c r="Q442">
        <v>1051.112303782</v>
      </c>
    </row>
    <row r="443" spans="1:17" x14ac:dyDescent="0.3">
      <c r="A443">
        <v>41</v>
      </c>
      <c r="B443" t="s">
        <v>3</v>
      </c>
      <c r="C443">
        <v>15.4046520631448</v>
      </c>
      <c r="D443">
        <v>4</v>
      </c>
      <c r="F443">
        <v>59</v>
      </c>
      <c r="G443" t="s">
        <v>25</v>
      </c>
      <c r="H443">
        <v>730</v>
      </c>
      <c r="I443">
        <v>730</v>
      </c>
      <c r="J443">
        <v>25.658904109588999</v>
      </c>
      <c r="K443">
        <v>101.997340666962</v>
      </c>
      <c r="L443">
        <v>10.919400573729201</v>
      </c>
      <c r="M443">
        <v>248.35989591829099</v>
      </c>
      <c r="N443">
        <v>0</v>
      </c>
      <c r="O443">
        <v>0</v>
      </c>
      <c r="P443">
        <v>1400.8653220000001</v>
      </c>
      <c r="Q443">
        <v>1215.976294495</v>
      </c>
    </row>
    <row r="444" spans="1:17" x14ac:dyDescent="0.3">
      <c r="A444">
        <v>41</v>
      </c>
      <c r="B444" t="s">
        <v>4</v>
      </c>
      <c r="C444">
        <v>15.0093658509823</v>
      </c>
      <c r="D444">
        <v>4</v>
      </c>
      <c r="F444">
        <v>59</v>
      </c>
      <c r="G444" t="s">
        <v>26</v>
      </c>
      <c r="H444">
        <v>718</v>
      </c>
      <c r="I444">
        <v>718</v>
      </c>
      <c r="J444">
        <v>25.268802228412198</v>
      </c>
      <c r="K444">
        <v>100.93217290490701</v>
      </c>
      <c r="L444">
        <v>10.919400573729201</v>
      </c>
      <c r="M444">
        <v>239.74651257533</v>
      </c>
      <c r="N444">
        <v>0</v>
      </c>
      <c r="O444">
        <v>0</v>
      </c>
      <c r="P444">
        <v>1374.8907789999901</v>
      </c>
      <c r="Q444">
        <v>1188.5434638459899</v>
      </c>
    </row>
    <row r="445" spans="1:17" x14ac:dyDescent="0.3">
      <c r="A445">
        <v>41</v>
      </c>
      <c r="B445" t="s">
        <v>5</v>
      </c>
      <c r="C445">
        <v>19.378476951123499</v>
      </c>
      <c r="D445">
        <v>4.5</v>
      </c>
      <c r="F445">
        <v>59</v>
      </c>
      <c r="G445" t="s">
        <v>27</v>
      </c>
      <c r="H445">
        <v>711</v>
      </c>
      <c r="I445">
        <v>711</v>
      </c>
      <c r="J445">
        <v>24.992967651195499</v>
      </c>
      <c r="K445">
        <v>100.771485973365</v>
      </c>
      <c r="L445">
        <v>10.919400573729201</v>
      </c>
      <c r="M445">
        <v>241.62393822371601</v>
      </c>
      <c r="N445">
        <v>0</v>
      </c>
      <c r="O445">
        <v>0</v>
      </c>
      <c r="P445">
        <v>1382.0815129999901</v>
      </c>
      <c r="Q445">
        <v>1198.6133759899999</v>
      </c>
    </row>
    <row r="446" spans="1:17" x14ac:dyDescent="0.3">
      <c r="A446">
        <v>41</v>
      </c>
      <c r="B446" t="s">
        <v>6</v>
      </c>
      <c r="C446">
        <v>64.219493002662702</v>
      </c>
      <c r="D446">
        <v>4.0171428571428498</v>
      </c>
      <c r="F446">
        <v>59</v>
      </c>
      <c r="G446" t="s">
        <v>28</v>
      </c>
      <c r="H446">
        <v>476</v>
      </c>
      <c r="I446">
        <v>476</v>
      </c>
      <c r="J446">
        <v>23.716386554621799</v>
      </c>
      <c r="K446">
        <v>69.167874211567707</v>
      </c>
      <c r="L446">
        <v>10.919400573729201</v>
      </c>
      <c r="M446">
        <v>160.157347995376</v>
      </c>
      <c r="N446">
        <v>0</v>
      </c>
      <c r="O446">
        <v>0</v>
      </c>
      <c r="P446">
        <v>935.09771799999896</v>
      </c>
      <c r="Q446">
        <v>804.52223679500003</v>
      </c>
    </row>
    <row r="447" spans="1:17" x14ac:dyDescent="0.3">
      <c r="A447">
        <v>41</v>
      </c>
      <c r="B447" t="s">
        <v>7</v>
      </c>
      <c r="C447">
        <v>67.226936536368001</v>
      </c>
      <c r="D447">
        <v>3.5</v>
      </c>
      <c r="F447">
        <v>59</v>
      </c>
      <c r="G447" t="s">
        <v>29</v>
      </c>
      <c r="H447">
        <v>476</v>
      </c>
      <c r="I447">
        <v>476</v>
      </c>
      <c r="J447">
        <v>23.716386554621799</v>
      </c>
      <c r="K447">
        <v>68.309855799987105</v>
      </c>
      <c r="L447">
        <v>10.919400573729201</v>
      </c>
      <c r="M447">
        <v>161.81285739422</v>
      </c>
      <c r="N447">
        <v>0</v>
      </c>
      <c r="O447">
        <v>0</v>
      </c>
      <c r="P447">
        <v>896.22492899999997</v>
      </c>
      <c r="Q447">
        <v>771.28637716100002</v>
      </c>
    </row>
    <row r="448" spans="1:17" x14ac:dyDescent="0.3">
      <c r="A448">
        <v>41</v>
      </c>
      <c r="B448" t="s">
        <v>8</v>
      </c>
      <c r="C448">
        <v>79.379914775041996</v>
      </c>
      <c r="D448">
        <v>4</v>
      </c>
      <c r="F448">
        <v>59</v>
      </c>
      <c r="G448" t="s">
        <v>30</v>
      </c>
      <c r="H448">
        <v>476</v>
      </c>
      <c r="I448">
        <v>476</v>
      </c>
      <c r="J448">
        <v>23.716386554621799</v>
      </c>
      <c r="K448">
        <v>68.277625390969604</v>
      </c>
      <c r="L448">
        <v>10.919400573729201</v>
      </c>
      <c r="M448">
        <v>160.352911577008</v>
      </c>
      <c r="N448">
        <v>0</v>
      </c>
      <c r="O448">
        <v>0</v>
      </c>
      <c r="P448">
        <v>885.41430500000001</v>
      </c>
      <c r="Q448">
        <v>762.47503891500003</v>
      </c>
    </row>
    <row r="449" spans="1:17" x14ac:dyDescent="0.3">
      <c r="A449">
        <v>41</v>
      </c>
      <c r="B449" t="s">
        <v>9</v>
      </c>
      <c r="C449">
        <v>80.679025901662996</v>
      </c>
      <c r="D449">
        <v>3.5</v>
      </c>
      <c r="F449">
        <v>59</v>
      </c>
      <c r="G449" t="s">
        <v>31</v>
      </c>
      <c r="H449">
        <v>0</v>
      </c>
      <c r="I449">
        <v>0</v>
      </c>
      <c r="J449">
        <v>0</v>
      </c>
      <c r="K449">
        <v>0</v>
      </c>
      <c r="L449">
        <v>10.919400573729201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3">
      <c r="A450">
        <v>41</v>
      </c>
      <c r="B450" t="s">
        <v>10</v>
      </c>
      <c r="C450">
        <v>117.12010653432201</v>
      </c>
      <c r="D450">
        <v>1.37083993660855</v>
      </c>
      <c r="F450">
        <v>59</v>
      </c>
      <c r="G450" t="s">
        <v>32</v>
      </c>
      <c r="H450">
        <v>0</v>
      </c>
      <c r="I450">
        <v>0</v>
      </c>
      <c r="J450">
        <v>0</v>
      </c>
      <c r="K450">
        <v>0</v>
      </c>
      <c r="L450">
        <v>10.919400573729201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3">
      <c r="A451">
        <v>41</v>
      </c>
      <c r="B451" t="s">
        <v>11</v>
      </c>
      <c r="C451">
        <v>273.242443127233</v>
      </c>
      <c r="D451">
        <v>4.0464646464646403</v>
      </c>
      <c r="F451">
        <v>59</v>
      </c>
      <c r="G451" t="s">
        <v>33</v>
      </c>
      <c r="H451">
        <v>0</v>
      </c>
      <c r="I451">
        <v>0</v>
      </c>
      <c r="J451">
        <v>0</v>
      </c>
      <c r="K451">
        <v>0</v>
      </c>
      <c r="L451">
        <v>10.919400573729201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3">
      <c r="A452">
        <v>41</v>
      </c>
      <c r="B452" t="s">
        <v>12</v>
      </c>
      <c r="C452">
        <v>353.02103620642202</v>
      </c>
      <c r="D452">
        <v>4.5317647058823498</v>
      </c>
      <c r="F452">
        <v>59</v>
      </c>
      <c r="G452" t="s">
        <v>34</v>
      </c>
      <c r="H452">
        <v>0</v>
      </c>
      <c r="I452">
        <v>0</v>
      </c>
      <c r="J452">
        <v>0</v>
      </c>
      <c r="K452">
        <v>0</v>
      </c>
      <c r="L452">
        <v>10.919400573729201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3">
      <c r="A453">
        <v>41</v>
      </c>
      <c r="B453" t="s">
        <v>13</v>
      </c>
      <c r="C453">
        <v>353.23543025947498</v>
      </c>
      <c r="D453">
        <v>1.3518373729476101</v>
      </c>
      <c r="F453">
        <v>59</v>
      </c>
      <c r="G453" t="s">
        <v>35</v>
      </c>
      <c r="H453">
        <v>0</v>
      </c>
      <c r="I453">
        <v>0</v>
      </c>
      <c r="J453">
        <v>0</v>
      </c>
      <c r="K453">
        <v>0</v>
      </c>
      <c r="L453">
        <v>10.919400573729201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">
      <c r="A454">
        <v>42</v>
      </c>
      <c r="B454" t="s">
        <v>3</v>
      </c>
      <c r="C454">
        <v>15.280687226119399</v>
      </c>
      <c r="D454">
        <v>4</v>
      </c>
      <c r="F454">
        <v>59</v>
      </c>
      <c r="G454" t="s">
        <v>36</v>
      </c>
      <c r="H454">
        <v>0</v>
      </c>
      <c r="I454">
        <v>0</v>
      </c>
      <c r="J454">
        <v>0</v>
      </c>
      <c r="K454">
        <v>0</v>
      </c>
      <c r="L454">
        <v>10.919400573729201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3">
      <c r="A455">
        <v>42</v>
      </c>
      <c r="B455" t="s">
        <v>4</v>
      </c>
      <c r="C455">
        <v>15.416770696968999</v>
      </c>
      <c r="D455">
        <v>4</v>
      </c>
      <c r="F455">
        <v>60</v>
      </c>
      <c r="G455" t="s">
        <v>25</v>
      </c>
      <c r="H455">
        <v>1296</v>
      </c>
      <c r="I455">
        <v>1219</v>
      </c>
      <c r="J455">
        <v>78.009259259259196</v>
      </c>
      <c r="K455">
        <v>200.34045948466701</v>
      </c>
      <c r="L455">
        <v>6.7306785344749098</v>
      </c>
      <c r="M455">
        <v>423.88928145997301</v>
      </c>
      <c r="N455">
        <v>0</v>
      </c>
      <c r="O455">
        <v>0</v>
      </c>
      <c r="P455">
        <v>2811.131582</v>
      </c>
      <c r="Q455">
        <v>2408.72784546499</v>
      </c>
    </row>
    <row r="456" spans="1:17" x14ac:dyDescent="0.3">
      <c r="A456">
        <v>42</v>
      </c>
      <c r="B456" t="s">
        <v>5</v>
      </c>
      <c r="C456">
        <v>19.658232030639301</v>
      </c>
      <c r="D456">
        <v>4.5</v>
      </c>
      <c r="F456">
        <v>60</v>
      </c>
      <c r="G456" t="s">
        <v>26</v>
      </c>
      <c r="H456">
        <v>1131</v>
      </c>
      <c r="I456">
        <v>1131</v>
      </c>
      <c r="J456">
        <v>70.822281167108699</v>
      </c>
      <c r="K456">
        <v>193.344457277846</v>
      </c>
      <c r="L456">
        <v>6.7306785344749098</v>
      </c>
      <c r="M456">
        <v>386.54741547712098</v>
      </c>
      <c r="N456">
        <v>0</v>
      </c>
      <c r="O456">
        <v>0</v>
      </c>
      <c r="P456">
        <v>2643.8544819999902</v>
      </c>
      <c r="Q456">
        <v>2250.6237350659999</v>
      </c>
    </row>
    <row r="457" spans="1:17" x14ac:dyDescent="0.3">
      <c r="A457">
        <v>42</v>
      </c>
      <c r="B457" t="s">
        <v>6</v>
      </c>
      <c r="C457">
        <v>63.769826576172598</v>
      </c>
      <c r="D457">
        <v>4.0171428571428498</v>
      </c>
      <c r="F457">
        <v>60</v>
      </c>
      <c r="G457" t="s">
        <v>27</v>
      </c>
      <c r="H457">
        <v>699</v>
      </c>
      <c r="I457">
        <v>699</v>
      </c>
      <c r="J457">
        <v>88.349070100142995</v>
      </c>
      <c r="K457">
        <v>111.979213480656</v>
      </c>
      <c r="L457">
        <v>6.7306785344749098</v>
      </c>
      <c r="M457">
        <v>189.46910423396901</v>
      </c>
      <c r="N457">
        <v>0</v>
      </c>
      <c r="O457">
        <v>0</v>
      </c>
      <c r="P457">
        <v>1265.1494619999901</v>
      </c>
      <c r="Q457">
        <v>1067.513490629</v>
      </c>
    </row>
    <row r="458" spans="1:17" x14ac:dyDescent="0.3">
      <c r="A458">
        <v>42</v>
      </c>
      <c r="B458" t="s">
        <v>7</v>
      </c>
      <c r="C458">
        <v>66.096154297242506</v>
      </c>
      <c r="D458">
        <v>3.5</v>
      </c>
      <c r="F458">
        <v>60</v>
      </c>
      <c r="G458" t="s">
        <v>28</v>
      </c>
      <c r="H458">
        <v>694</v>
      </c>
      <c r="I458">
        <v>694</v>
      </c>
      <c r="J458">
        <v>87.707492795389001</v>
      </c>
      <c r="K458">
        <v>110.66825487471399</v>
      </c>
      <c r="L458">
        <v>6.7306785344749098</v>
      </c>
      <c r="M458">
        <v>191.42429943099501</v>
      </c>
      <c r="N458">
        <v>0</v>
      </c>
      <c r="O458">
        <v>0</v>
      </c>
      <c r="P458">
        <v>1251.92416999999</v>
      </c>
      <c r="Q458">
        <v>1056.821999155</v>
      </c>
    </row>
    <row r="459" spans="1:17" x14ac:dyDescent="0.3">
      <c r="A459">
        <v>42</v>
      </c>
      <c r="B459" t="s">
        <v>8</v>
      </c>
      <c r="C459">
        <v>79.311819684846498</v>
      </c>
      <c r="D459">
        <v>4</v>
      </c>
      <c r="F459">
        <v>61</v>
      </c>
      <c r="G459" t="s">
        <v>25</v>
      </c>
      <c r="H459">
        <v>1078</v>
      </c>
      <c r="I459">
        <v>1078</v>
      </c>
      <c r="J459">
        <v>37.6669758812615</v>
      </c>
      <c r="K459">
        <v>138.63573380206901</v>
      </c>
      <c r="L459">
        <v>15.7587441614931</v>
      </c>
      <c r="M459">
        <v>366.94188375641602</v>
      </c>
      <c r="N459">
        <v>0</v>
      </c>
      <c r="O459">
        <v>0</v>
      </c>
      <c r="P459">
        <v>1861.8367479999899</v>
      </c>
      <c r="Q459">
        <v>1641.405454815</v>
      </c>
    </row>
    <row r="460" spans="1:17" x14ac:dyDescent="0.3">
      <c r="A460">
        <v>42</v>
      </c>
      <c r="B460" t="s">
        <v>9</v>
      </c>
      <c r="C460">
        <v>80.542270563909995</v>
      </c>
      <c r="D460">
        <v>3.5</v>
      </c>
      <c r="F460">
        <v>61</v>
      </c>
      <c r="G460" t="s">
        <v>26</v>
      </c>
      <c r="H460">
        <v>1067</v>
      </c>
      <c r="I460">
        <v>1067</v>
      </c>
      <c r="J460">
        <v>37.233364573570697</v>
      </c>
      <c r="K460">
        <v>136.909903000931</v>
      </c>
      <c r="L460">
        <v>15.7587441614931</v>
      </c>
      <c r="M460">
        <v>362.78622658955101</v>
      </c>
      <c r="N460">
        <v>0</v>
      </c>
      <c r="O460">
        <v>0</v>
      </c>
      <c r="P460">
        <v>1852.12397499999</v>
      </c>
      <c r="Q460">
        <v>1628.9261435649901</v>
      </c>
    </row>
    <row r="461" spans="1:17" x14ac:dyDescent="0.3">
      <c r="A461">
        <v>42</v>
      </c>
      <c r="B461" t="s">
        <v>10</v>
      </c>
      <c r="C461">
        <v>117.14769468337499</v>
      </c>
      <c r="D461">
        <v>1.37083993660855</v>
      </c>
      <c r="F461">
        <v>61</v>
      </c>
      <c r="G461" t="s">
        <v>27</v>
      </c>
      <c r="H461">
        <v>714</v>
      </c>
      <c r="I461">
        <v>714</v>
      </c>
      <c r="J461">
        <v>35.275910364145602</v>
      </c>
      <c r="K461">
        <v>93.081237252451402</v>
      </c>
      <c r="L461">
        <v>15.7587441614931</v>
      </c>
      <c r="M461">
        <v>240.227930500714</v>
      </c>
      <c r="N461">
        <v>0</v>
      </c>
      <c r="O461">
        <v>0</v>
      </c>
      <c r="P461">
        <v>1262.54422799999</v>
      </c>
      <c r="Q461">
        <v>1101.89449820299</v>
      </c>
    </row>
    <row r="462" spans="1:17" x14ac:dyDescent="0.3">
      <c r="A462">
        <v>42</v>
      </c>
      <c r="B462" t="s">
        <v>11</v>
      </c>
      <c r="C462">
        <v>275.059109395544</v>
      </c>
      <c r="D462">
        <v>4.0464646464646403</v>
      </c>
      <c r="F462">
        <v>61</v>
      </c>
      <c r="G462" t="s">
        <v>28</v>
      </c>
      <c r="H462">
        <v>714</v>
      </c>
      <c r="I462">
        <v>714</v>
      </c>
      <c r="J462">
        <v>35.275910364145602</v>
      </c>
      <c r="K462">
        <v>91.833532562491698</v>
      </c>
      <c r="L462">
        <v>15.7587441614931</v>
      </c>
      <c r="M462">
        <v>243.467259588291</v>
      </c>
      <c r="N462">
        <v>0</v>
      </c>
      <c r="O462">
        <v>0</v>
      </c>
      <c r="P462">
        <v>1169.6562269999999</v>
      </c>
      <c r="Q462">
        <v>1018.713535313</v>
      </c>
    </row>
    <row r="463" spans="1:17" x14ac:dyDescent="0.3">
      <c r="A463">
        <v>42</v>
      </c>
      <c r="B463" t="s">
        <v>12</v>
      </c>
      <c r="C463">
        <v>352.89849737625201</v>
      </c>
      <c r="D463">
        <v>4.5317647058823498</v>
      </c>
      <c r="F463">
        <v>61</v>
      </c>
      <c r="G463" t="s">
        <v>29</v>
      </c>
      <c r="H463">
        <v>0</v>
      </c>
      <c r="I463">
        <v>0</v>
      </c>
      <c r="J463">
        <v>0</v>
      </c>
      <c r="K463">
        <v>0</v>
      </c>
      <c r="L463">
        <v>15.7587441614931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3">
      <c r="A464">
        <v>42</v>
      </c>
      <c r="B464" t="s">
        <v>13</v>
      </c>
      <c r="C464">
        <v>352.435071324989</v>
      </c>
      <c r="D464">
        <v>1.3518373729476101</v>
      </c>
      <c r="F464">
        <v>61</v>
      </c>
      <c r="G464" t="s">
        <v>30</v>
      </c>
      <c r="H464">
        <v>0</v>
      </c>
      <c r="I464">
        <v>0</v>
      </c>
      <c r="J464">
        <v>0</v>
      </c>
      <c r="K464">
        <v>0</v>
      </c>
      <c r="L464">
        <v>15.7587441614931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3">
      <c r="A465">
        <v>43</v>
      </c>
      <c r="B465" t="s">
        <v>3</v>
      </c>
      <c r="C465">
        <v>15.453507969323701</v>
      </c>
      <c r="D465">
        <v>4</v>
      </c>
      <c r="F465">
        <v>61</v>
      </c>
      <c r="G465" t="s">
        <v>31</v>
      </c>
      <c r="H465">
        <v>0</v>
      </c>
      <c r="I465">
        <v>0</v>
      </c>
      <c r="J465">
        <v>0</v>
      </c>
      <c r="K465">
        <v>0</v>
      </c>
      <c r="L465">
        <v>15.7587441614931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3">
      <c r="A466">
        <v>43</v>
      </c>
      <c r="B466" t="s">
        <v>4</v>
      </c>
      <c r="C466">
        <v>15.5415107907895</v>
      </c>
      <c r="D466">
        <v>4</v>
      </c>
      <c r="F466">
        <v>61</v>
      </c>
      <c r="G466" t="s">
        <v>32</v>
      </c>
      <c r="H466">
        <v>0</v>
      </c>
      <c r="I466">
        <v>0</v>
      </c>
      <c r="J466">
        <v>0</v>
      </c>
      <c r="K466">
        <v>0</v>
      </c>
      <c r="L466">
        <v>15.7587441614931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3">
      <c r="A467">
        <v>43</v>
      </c>
      <c r="B467" t="s">
        <v>5</v>
      </c>
      <c r="C467">
        <v>19.7240958435046</v>
      </c>
      <c r="D467">
        <v>4.5</v>
      </c>
      <c r="F467">
        <v>62</v>
      </c>
      <c r="G467" t="s">
        <v>25</v>
      </c>
      <c r="H467">
        <v>1078</v>
      </c>
      <c r="I467">
        <v>1078</v>
      </c>
      <c r="J467">
        <v>37.6669758812615</v>
      </c>
      <c r="K467">
        <v>138.583541185511</v>
      </c>
      <c r="L467">
        <v>15.7621924807393</v>
      </c>
      <c r="M467">
        <v>368.21147848293202</v>
      </c>
      <c r="N467">
        <v>0</v>
      </c>
      <c r="O467">
        <v>0</v>
      </c>
      <c r="P467">
        <v>1859.77234999999</v>
      </c>
      <c r="Q467">
        <v>1638.179336421</v>
      </c>
    </row>
    <row r="468" spans="1:17" x14ac:dyDescent="0.3">
      <c r="A468">
        <v>43</v>
      </c>
      <c r="B468" t="s">
        <v>6</v>
      </c>
      <c r="C468">
        <v>64.688702585027798</v>
      </c>
      <c r="D468">
        <v>4.0171428571428498</v>
      </c>
      <c r="F468">
        <v>62</v>
      </c>
      <c r="G468" t="s">
        <v>26</v>
      </c>
      <c r="H468">
        <v>1067</v>
      </c>
      <c r="I468">
        <v>1067</v>
      </c>
      <c r="J468">
        <v>37.233364573570697</v>
      </c>
      <c r="K468">
        <v>137.50321592109799</v>
      </c>
      <c r="L468">
        <v>15.7621924807393</v>
      </c>
      <c r="M468">
        <v>361.88405557347301</v>
      </c>
      <c r="N468">
        <v>0</v>
      </c>
      <c r="O468">
        <v>0</v>
      </c>
      <c r="P468">
        <v>1848.0990819999899</v>
      </c>
      <c r="Q468">
        <v>1624.7455635449901</v>
      </c>
    </row>
    <row r="469" spans="1:17" x14ac:dyDescent="0.3">
      <c r="A469">
        <v>43</v>
      </c>
      <c r="B469" t="s">
        <v>7</v>
      </c>
      <c r="C469">
        <v>65.357656645216593</v>
      </c>
      <c r="D469">
        <v>3.5</v>
      </c>
      <c r="F469">
        <v>62</v>
      </c>
      <c r="G469" t="s">
        <v>27</v>
      </c>
      <c r="H469">
        <v>714</v>
      </c>
      <c r="I469">
        <v>714</v>
      </c>
      <c r="J469">
        <v>35.275910364145602</v>
      </c>
      <c r="K469">
        <v>93.589120998938498</v>
      </c>
      <c r="L469">
        <v>15.7621924807393</v>
      </c>
      <c r="M469">
        <v>240.88455356021001</v>
      </c>
      <c r="N469">
        <v>0</v>
      </c>
      <c r="O469">
        <v>0</v>
      </c>
      <c r="P469">
        <v>1262.2996129999899</v>
      </c>
      <c r="Q469">
        <v>1101.8620424189901</v>
      </c>
    </row>
    <row r="470" spans="1:17" x14ac:dyDescent="0.3">
      <c r="A470">
        <v>43</v>
      </c>
      <c r="B470" t="s">
        <v>8</v>
      </c>
      <c r="C470">
        <v>79.042763881041097</v>
      </c>
      <c r="D470">
        <v>4</v>
      </c>
      <c r="F470">
        <v>62</v>
      </c>
      <c r="G470" t="s">
        <v>28</v>
      </c>
      <c r="H470">
        <v>714</v>
      </c>
      <c r="I470">
        <v>714</v>
      </c>
      <c r="J470">
        <v>35.275910364145602</v>
      </c>
      <c r="K470">
        <v>91.803513057612506</v>
      </c>
      <c r="L470">
        <v>15.7621924807393</v>
      </c>
      <c r="M470">
        <v>242.70873340031</v>
      </c>
      <c r="N470">
        <v>0</v>
      </c>
      <c r="O470">
        <v>0</v>
      </c>
      <c r="P470">
        <v>1158.3100889999901</v>
      </c>
      <c r="Q470">
        <v>1009.264127249</v>
      </c>
    </row>
    <row r="471" spans="1:17" x14ac:dyDescent="0.3">
      <c r="A471">
        <v>43</v>
      </c>
      <c r="B471" t="s">
        <v>9</v>
      </c>
      <c r="C471">
        <v>80.3328122291217</v>
      </c>
      <c r="D471">
        <v>3.5</v>
      </c>
      <c r="F471">
        <v>62</v>
      </c>
      <c r="G471" t="s">
        <v>29</v>
      </c>
      <c r="H471">
        <v>0</v>
      </c>
      <c r="I471">
        <v>0</v>
      </c>
      <c r="J471">
        <v>0</v>
      </c>
      <c r="K471">
        <v>0</v>
      </c>
      <c r="L471">
        <v>15.7621924807393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3">
      <c r="A472">
        <v>43</v>
      </c>
      <c r="B472" t="s">
        <v>10</v>
      </c>
      <c r="C472">
        <v>117.295197115636</v>
      </c>
      <c r="D472">
        <v>1.37083993660855</v>
      </c>
      <c r="F472">
        <v>62</v>
      </c>
      <c r="G472" t="s">
        <v>30</v>
      </c>
      <c r="H472">
        <v>0</v>
      </c>
      <c r="I472">
        <v>0</v>
      </c>
      <c r="J472">
        <v>0</v>
      </c>
      <c r="K472">
        <v>0</v>
      </c>
      <c r="L472">
        <v>15.7621924807393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">
      <c r="A473">
        <v>43</v>
      </c>
      <c r="B473" t="s">
        <v>11</v>
      </c>
      <c r="C473">
        <v>274.57036672868099</v>
      </c>
      <c r="D473">
        <v>4.0464646464646403</v>
      </c>
      <c r="F473">
        <v>62</v>
      </c>
      <c r="G473" t="s">
        <v>31</v>
      </c>
      <c r="H473">
        <v>0</v>
      </c>
      <c r="I473">
        <v>0</v>
      </c>
      <c r="J473">
        <v>0</v>
      </c>
      <c r="K473">
        <v>0</v>
      </c>
      <c r="L473">
        <v>15.7621924807393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">
      <c r="A474">
        <v>43</v>
      </c>
      <c r="B474" t="s">
        <v>12</v>
      </c>
      <c r="C474">
        <v>351.03208225316303</v>
      </c>
      <c r="D474">
        <v>4.5317647058823498</v>
      </c>
      <c r="F474">
        <v>62</v>
      </c>
      <c r="G474" t="s">
        <v>32</v>
      </c>
      <c r="H474">
        <v>0</v>
      </c>
      <c r="I474">
        <v>0</v>
      </c>
      <c r="J474">
        <v>0</v>
      </c>
      <c r="K474">
        <v>0</v>
      </c>
      <c r="L474">
        <v>15.7621924807393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3">
      <c r="A475">
        <v>43</v>
      </c>
      <c r="B475" t="s">
        <v>13</v>
      </c>
      <c r="C475">
        <v>352.81788797624699</v>
      </c>
      <c r="D475">
        <v>1.3518373729476101</v>
      </c>
      <c r="F475">
        <v>63</v>
      </c>
      <c r="G475" t="s">
        <v>25</v>
      </c>
      <c r="H475">
        <v>1290</v>
      </c>
      <c r="I475">
        <v>1213</v>
      </c>
      <c r="J475">
        <v>77.444186046511604</v>
      </c>
      <c r="K475">
        <v>198.55450578635001</v>
      </c>
      <c r="L475">
        <v>6.6642265014248201</v>
      </c>
      <c r="M475">
        <v>422.58762970319901</v>
      </c>
      <c r="N475">
        <v>0</v>
      </c>
      <c r="O475">
        <v>0</v>
      </c>
      <c r="P475">
        <v>2774.586937</v>
      </c>
      <c r="Q475">
        <v>2377.3887450329898</v>
      </c>
    </row>
    <row r="476" spans="1:17" x14ac:dyDescent="0.3">
      <c r="A476">
        <v>44</v>
      </c>
      <c r="B476" t="s">
        <v>3</v>
      </c>
      <c r="C476">
        <v>15.1299873782106</v>
      </c>
      <c r="D476">
        <v>4</v>
      </c>
      <c r="F476">
        <v>63</v>
      </c>
      <c r="G476" t="s">
        <v>26</v>
      </c>
      <c r="H476">
        <v>1127</v>
      </c>
      <c r="I476">
        <v>1127</v>
      </c>
      <c r="J476">
        <v>70.373558118899695</v>
      </c>
      <c r="K476">
        <v>196.542839557935</v>
      </c>
      <c r="L476">
        <v>6.6642265014248201</v>
      </c>
      <c r="M476">
        <v>385.96537164566098</v>
      </c>
      <c r="N476">
        <v>0</v>
      </c>
      <c r="O476">
        <v>0</v>
      </c>
      <c r="P476">
        <v>2672.8602089999999</v>
      </c>
      <c r="Q476">
        <v>2270.8575071</v>
      </c>
    </row>
    <row r="477" spans="1:17" x14ac:dyDescent="0.3">
      <c r="A477">
        <v>44</v>
      </c>
      <c r="B477" t="s">
        <v>4</v>
      </c>
      <c r="C477">
        <v>15.568817915029401</v>
      </c>
      <c r="D477">
        <v>4</v>
      </c>
      <c r="F477">
        <v>63</v>
      </c>
      <c r="G477" t="s">
        <v>27</v>
      </c>
      <c r="H477">
        <v>698</v>
      </c>
      <c r="I477">
        <v>698</v>
      </c>
      <c r="J477">
        <v>88.210601719197697</v>
      </c>
      <c r="K477">
        <v>110.536429858476</v>
      </c>
      <c r="L477">
        <v>6.6642265014248201</v>
      </c>
      <c r="M477">
        <v>189.047659011061</v>
      </c>
      <c r="N477">
        <v>0</v>
      </c>
      <c r="O477">
        <v>0</v>
      </c>
      <c r="P477">
        <v>1249.987768</v>
      </c>
      <c r="Q477">
        <v>1053.4956382539899</v>
      </c>
    </row>
    <row r="478" spans="1:17" x14ac:dyDescent="0.3">
      <c r="A478">
        <v>44</v>
      </c>
      <c r="B478" t="s">
        <v>5</v>
      </c>
      <c r="C478">
        <v>19.8989338655865</v>
      </c>
      <c r="D478">
        <v>4.5</v>
      </c>
      <c r="F478">
        <v>63</v>
      </c>
      <c r="G478" t="s">
        <v>28</v>
      </c>
      <c r="H478">
        <v>693</v>
      </c>
      <c r="I478">
        <v>693</v>
      </c>
      <c r="J478">
        <v>87.5772005772005</v>
      </c>
      <c r="K478">
        <v>109.171463302821</v>
      </c>
      <c r="L478">
        <v>6.6642265014248201</v>
      </c>
      <c r="M478">
        <v>188.631656893697</v>
      </c>
      <c r="N478">
        <v>0</v>
      </c>
      <c r="O478">
        <v>0</v>
      </c>
      <c r="P478">
        <v>1241.4408469999901</v>
      </c>
      <c r="Q478">
        <v>1048.1252781769999</v>
      </c>
    </row>
    <row r="479" spans="1:17" x14ac:dyDescent="0.3">
      <c r="A479">
        <v>44</v>
      </c>
      <c r="B479" t="s">
        <v>6</v>
      </c>
      <c r="C479">
        <v>63.967257430848697</v>
      </c>
      <c r="D479">
        <v>4.0171428571428498</v>
      </c>
      <c r="F479">
        <v>64</v>
      </c>
      <c r="G479" t="s">
        <v>25</v>
      </c>
      <c r="H479">
        <v>1078</v>
      </c>
      <c r="I479">
        <v>1078</v>
      </c>
      <c r="J479">
        <v>37.6669758812615</v>
      </c>
      <c r="K479">
        <v>138.80150601440801</v>
      </c>
      <c r="L479">
        <v>16.024290706082599</v>
      </c>
      <c r="M479">
        <v>370.395044112981</v>
      </c>
      <c r="N479">
        <v>0</v>
      </c>
      <c r="O479">
        <v>0</v>
      </c>
      <c r="P479">
        <v>1860.81541899999</v>
      </c>
      <c r="Q479">
        <v>1641.591244577</v>
      </c>
    </row>
    <row r="480" spans="1:17" x14ac:dyDescent="0.3">
      <c r="A480">
        <v>44</v>
      </c>
      <c r="B480" t="s">
        <v>7</v>
      </c>
      <c r="C480">
        <v>65.468375408993197</v>
      </c>
      <c r="D480">
        <v>3.5</v>
      </c>
      <c r="F480">
        <v>64</v>
      </c>
      <c r="G480" t="s">
        <v>26</v>
      </c>
      <c r="H480">
        <v>1067</v>
      </c>
      <c r="I480">
        <v>1067</v>
      </c>
      <c r="J480">
        <v>37.233364573570697</v>
      </c>
      <c r="K480">
        <v>136.29036512075299</v>
      </c>
      <c r="L480">
        <v>16.024290706082599</v>
      </c>
      <c r="M480">
        <v>360.87316545146098</v>
      </c>
      <c r="N480">
        <v>0</v>
      </c>
      <c r="O480">
        <v>0</v>
      </c>
      <c r="P480">
        <v>1838.43469799999</v>
      </c>
      <c r="Q480">
        <v>1618.50552889699</v>
      </c>
    </row>
    <row r="481" spans="1:17" x14ac:dyDescent="0.3">
      <c r="A481">
        <v>44</v>
      </c>
      <c r="B481" t="s">
        <v>8</v>
      </c>
      <c r="C481">
        <v>79.232636464184907</v>
      </c>
      <c r="D481">
        <v>4</v>
      </c>
      <c r="F481">
        <v>64</v>
      </c>
      <c r="G481" t="s">
        <v>27</v>
      </c>
      <c r="H481">
        <v>714</v>
      </c>
      <c r="I481">
        <v>714</v>
      </c>
      <c r="J481">
        <v>35.275910364145602</v>
      </c>
      <c r="K481">
        <v>93.508004867779107</v>
      </c>
      <c r="L481">
        <v>16.024290706082599</v>
      </c>
      <c r="M481">
        <v>243.228846357468</v>
      </c>
      <c r="N481">
        <v>0</v>
      </c>
      <c r="O481">
        <v>0</v>
      </c>
      <c r="P481">
        <v>1263.4446209999901</v>
      </c>
      <c r="Q481">
        <v>1104.28569347999</v>
      </c>
    </row>
    <row r="482" spans="1:17" x14ac:dyDescent="0.3">
      <c r="A482">
        <v>44</v>
      </c>
      <c r="B482" t="s">
        <v>9</v>
      </c>
      <c r="C482">
        <v>80.8886398976328</v>
      </c>
      <c r="D482">
        <v>3.5</v>
      </c>
      <c r="F482">
        <v>64</v>
      </c>
      <c r="G482" t="s">
        <v>28</v>
      </c>
      <c r="H482">
        <v>714</v>
      </c>
      <c r="I482">
        <v>714</v>
      </c>
      <c r="J482">
        <v>35.275910364145602</v>
      </c>
      <c r="K482">
        <v>92.101460325930105</v>
      </c>
      <c r="L482">
        <v>16.024290706082599</v>
      </c>
      <c r="M482">
        <v>243.34903774037201</v>
      </c>
      <c r="N482">
        <v>0</v>
      </c>
      <c r="O482">
        <v>0</v>
      </c>
      <c r="P482">
        <v>1167.572741</v>
      </c>
      <c r="Q482">
        <v>1016.816652415</v>
      </c>
    </row>
    <row r="483" spans="1:17" x14ac:dyDescent="0.3">
      <c r="A483">
        <v>44</v>
      </c>
      <c r="B483" t="s">
        <v>10</v>
      </c>
      <c r="C483">
        <v>116.894145132441</v>
      </c>
      <c r="D483">
        <v>1.37083993660855</v>
      </c>
      <c r="F483">
        <v>64</v>
      </c>
      <c r="G483" t="s">
        <v>29</v>
      </c>
      <c r="H483">
        <v>0</v>
      </c>
      <c r="I483">
        <v>0</v>
      </c>
      <c r="J483">
        <v>0</v>
      </c>
      <c r="K483">
        <v>0</v>
      </c>
      <c r="L483">
        <v>16.024290706082599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3">
      <c r="A484">
        <v>44</v>
      </c>
      <c r="B484" t="s">
        <v>11</v>
      </c>
      <c r="C484">
        <v>274.95110969652501</v>
      </c>
      <c r="D484">
        <v>4.0464646464646403</v>
      </c>
      <c r="F484">
        <v>64</v>
      </c>
      <c r="G484" t="s">
        <v>30</v>
      </c>
      <c r="H484">
        <v>0</v>
      </c>
      <c r="I484">
        <v>0</v>
      </c>
      <c r="J484">
        <v>0</v>
      </c>
      <c r="K484">
        <v>0</v>
      </c>
      <c r="L484">
        <v>16.024290706082599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3">
      <c r="A485">
        <v>44</v>
      </c>
      <c r="B485" t="s">
        <v>12</v>
      </c>
      <c r="C485">
        <v>349.34651917931399</v>
      </c>
      <c r="D485">
        <v>4.5317647058823498</v>
      </c>
      <c r="F485">
        <v>64</v>
      </c>
      <c r="G485" t="s">
        <v>31</v>
      </c>
      <c r="H485">
        <v>0</v>
      </c>
      <c r="I485">
        <v>0</v>
      </c>
      <c r="J485">
        <v>0</v>
      </c>
      <c r="K485">
        <v>0</v>
      </c>
      <c r="L485">
        <v>16.024290706082599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3">
      <c r="A486">
        <v>44</v>
      </c>
      <c r="B486" t="s">
        <v>13</v>
      </c>
      <c r="C486">
        <v>352.59043099214301</v>
      </c>
      <c r="D486">
        <v>1.3518373729476101</v>
      </c>
      <c r="F486">
        <v>64</v>
      </c>
      <c r="G486" t="s">
        <v>32</v>
      </c>
      <c r="H486">
        <v>0</v>
      </c>
      <c r="I486">
        <v>0</v>
      </c>
      <c r="J486">
        <v>0</v>
      </c>
      <c r="K486">
        <v>0</v>
      </c>
      <c r="L486">
        <v>16.024290706082599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3">
      <c r="A487">
        <v>45</v>
      </c>
      <c r="B487" t="s">
        <v>3</v>
      </c>
      <c r="C487">
        <v>15.6052552113742</v>
      </c>
      <c r="D487">
        <v>4.32</v>
      </c>
      <c r="F487">
        <v>65</v>
      </c>
      <c r="G487" t="s">
        <v>25</v>
      </c>
      <c r="H487">
        <v>1078</v>
      </c>
      <c r="I487">
        <v>1078</v>
      </c>
      <c r="J487">
        <v>37.6669758812615</v>
      </c>
      <c r="K487">
        <v>138.37150633170799</v>
      </c>
      <c r="L487">
        <v>15.7783949191129</v>
      </c>
      <c r="M487">
        <v>370.04219253176501</v>
      </c>
      <c r="N487">
        <v>0</v>
      </c>
      <c r="O487">
        <v>0</v>
      </c>
      <c r="P487">
        <v>1859.26716299999</v>
      </c>
      <c r="Q487">
        <v>1641.295409069</v>
      </c>
    </row>
    <row r="488" spans="1:17" x14ac:dyDescent="0.3">
      <c r="A488">
        <v>45</v>
      </c>
      <c r="B488" t="s">
        <v>4</v>
      </c>
      <c r="C488">
        <v>15.5392699389648</v>
      </c>
      <c r="D488">
        <v>4.3846153846153797</v>
      </c>
      <c r="F488">
        <v>65</v>
      </c>
      <c r="G488" t="s">
        <v>26</v>
      </c>
      <c r="H488">
        <v>1067</v>
      </c>
      <c r="I488">
        <v>1067</v>
      </c>
      <c r="J488">
        <v>37.233364573570697</v>
      </c>
      <c r="K488">
        <v>137.45655972980401</v>
      </c>
      <c r="L488">
        <v>15.7783949191129</v>
      </c>
      <c r="M488">
        <v>360.42907617152503</v>
      </c>
      <c r="N488">
        <v>0</v>
      </c>
      <c r="O488">
        <v>0</v>
      </c>
      <c r="P488">
        <v>1849.6486379999899</v>
      </c>
      <c r="Q488">
        <v>1624.1616489139899</v>
      </c>
    </row>
    <row r="489" spans="1:17" x14ac:dyDescent="0.3">
      <c r="A489">
        <v>45</v>
      </c>
      <c r="B489" t="s">
        <v>5</v>
      </c>
      <c r="C489">
        <v>19.315280462660901</v>
      </c>
      <c r="D489">
        <v>4.5</v>
      </c>
      <c r="F489">
        <v>65</v>
      </c>
      <c r="G489" t="s">
        <v>27</v>
      </c>
      <c r="H489">
        <v>714</v>
      </c>
      <c r="I489">
        <v>714</v>
      </c>
      <c r="J489">
        <v>35.275910364145602</v>
      </c>
      <c r="K489">
        <v>93.604290760565206</v>
      </c>
      <c r="L489">
        <v>15.7783949191129</v>
      </c>
      <c r="M489">
        <v>241.494910054195</v>
      </c>
      <c r="N489">
        <v>0</v>
      </c>
      <c r="O489">
        <v>0</v>
      </c>
      <c r="P489">
        <v>1263.4446209999901</v>
      </c>
      <c r="Q489">
        <v>1102.41064679999</v>
      </c>
    </row>
    <row r="490" spans="1:17" x14ac:dyDescent="0.3">
      <c r="A490">
        <v>45</v>
      </c>
      <c r="B490" t="s">
        <v>6</v>
      </c>
      <c r="C490">
        <v>65.313959373687695</v>
      </c>
      <c r="D490">
        <v>4.0862068965517198</v>
      </c>
      <c r="F490">
        <v>65</v>
      </c>
      <c r="G490" t="s">
        <v>28</v>
      </c>
      <c r="H490">
        <v>714</v>
      </c>
      <c r="I490">
        <v>714</v>
      </c>
      <c r="J490">
        <v>35.275910364145602</v>
      </c>
      <c r="K490">
        <v>92.902143242193404</v>
      </c>
      <c r="L490">
        <v>15.7783949191129</v>
      </c>
      <c r="M490">
        <v>242.970230014208</v>
      </c>
      <c r="N490">
        <v>0</v>
      </c>
      <c r="O490">
        <v>0</v>
      </c>
      <c r="P490">
        <v>1170.38692499999</v>
      </c>
      <c r="Q490">
        <v>1019.7482389960001</v>
      </c>
    </row>
    <row r="491" spans="1:17" x14ac:dyDescent="0.3">
      <c r="A491">
        <v>45</v>
      </c>
      <c r="B491" t="s">
        <v>7</v>
      </c>
      <c r="C491">
        <v>65.980385645219201</v>
      </c>
      <c r="D491">
        <v>3.5</v>
      </c>
      <c r="F491">
        <v>65</v>
      </c>
      <c r="G491" t="s">
        <v>29</v>
      </c>
      <c r="H491">
        <v>0</v>
      </c>
      <c r="I491">
        <v>0</v>
      </c>
      <c r="J491">
        <v>0</v>
      </c>
      <c r="K491">
        <v>0</v>
      </c>
      <c r="L491">
        <v>15.7783949191129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3">
      <c r="A492">
        <v>45</v>
      </c>
      <c r="B492" t="s">
        <v>8</v>
      </c>
      <c r="C492">
        <v>78.851852209188493</v>
      </c>
      <c r="D492">
        <v>4</v>
      </c>
      <c r="F492">
        <v>65</v>
      </c>
      <c r="G492" t="s">
        <v>30</v>
      </c>
      <c r="H492">
        <v>0</v>
      </c>
      <c r="I492">
        <v>0</v>
      </c>
      <c r="J492">
        <v>0</v>
      </c>
      <c r="K492">
        <v>0</v>
      </c>
      <c r="L492">
        <v>15.7783949191129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3">
      <c r="A493">
        <v>45</v>
      </c>
      <c r="B493" t="s">
        <v>9</v>
      </c>
      <c r="C493">
        <v>80.748410130790802</v>
      </c>
      <c r="D493">
        <v>3.5448275862068899</v>
      </c>
      <c r="F493">
        <v>65</v>
      </c>
      <c r="G493" t="s">
        <v>31</v>
      </c>
      <c r="H493">
        <v>0</v>
      </c>
      <c r="I493">
        <v>0</v>
      </c>
      <c r="J493">
        <v>0</v>
      </c>
      <c r="K493">
        <v>0</v>
      </c>
      <c r="L493">
        <v>15.7783949191129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3">
      <c r="A494">
        <v>45</v>
      </c>
      <c r="B494" t="s">
        <v>10</v>
      </c>
      <c r="C494">
        <v>116.040109954383</v>
      </c>
      <c r="D494">
        <v>1.3891547049441699</v>
      </c>
      <c r="F494">
        <v>65</v>
      </c>
      <c r="G494" t="s">
        <v>32</v>
      </c>
      <c r="H494">
        <v>0</v>
      </c>
      <c r="I494">
        <v>0</v>
      </c>
      <c r="J494">
        <v>0</v>
      </c>
      <c r="K494">
        <v>0</v>
      </c>
      <c r="L494">
        <v>15.7783949191129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3">
      <c r="A495">
        <v>45</v>
      </c>
      <c r="B495" t="s">
        <v>11</v>
      </c>
      <c r="C495">
        <v>274.25583952893601</v>
      </c>
      <c r="D495">
        <v>4.0797546012269903</v>
      </c>
      <c r="F495">
        <v>66</v>
      </c>
      <c r="G495" t="s">
        <v>25</v>
      </c>
      <c r="H495">
        <v>1298</v>
      </c>
      <c r="I495">
        <v>1221</v>
      </c>
      <c r="J495">
        <v>78.199537750385204</v>
      </c>
      <c r="K495">
        <v>198.84557587198401</v>
      </c>
      <c r="L495">
        <v>6.6541676508182404</v>
      </c>
      <c r="M495">
        <v>421.04574887838498</v>
      </c>
      <c r="N495">
        <v>0</v>
      </c>
      <c r="O495">
        <v>0</v>
      </c>
      <c r="P495">
        <v>2793.5756529999999</v>
      </c>
      <c r="Q495">
        <v>2394.8997101159898</v>
      </c>
    </row>
    <row r="496" spans="1:17" x14ac:dyDescent="0.3">
      <c r="A496">
        <v>45</v>
      </c>
      <c r="B496" t="s">
        <v>12</v>
      </c>
      <c r="C496">
        <v>353.896749614876</v>
      </c>
      <c r="D496">
        <v>4.5510688836104496</v>
      </c>
      <c r="F496">
        <v>66</v>
      </c>
      <c r="G496" t="s">
        <v>26</v>
      </c>
      <c r="H496">
        <v>1135</v>
      </c>
      <c r="I496">
        <v>1135</v>
      </c>
      <c r="J496">
        <v>71.279295154184993</v>
      </c>
      <c r="K496">
        <v>195.559128620862</v>
      </c>
      <c r="L496">
        <v>6.6541676508182404</v>
      </c>
      <c r="M496">
        <v>385.22935614194802</v>
      </c>
      <c r="N496">
        <v>0</v>
      </c>
      <c r="O496">
        <v>0</v>
      </c>
      <c r="P496">
        <v>2674.8094839999999</v>
      </c>
      <c r="Q496">
        <v>2273.3888780329999</v>
      </c>
    </row>
    <row r="497" spans="1:17" x14ac:dyDescent="0.3">
      <c r="A497">
        <v>45</v>
      </c>
      <c r="B497" t="s">
        <v>13</v>
      </c>
      <c r="C497">
        <v>354.14390110321301</v>
      </c>
      <c r="D497">
        <v>1.36078431372549</v>
      </c>
      <c r="F497">
        <v>66</v>
      </c>
      <c r="G497" t="s">
        <v>27</v>
      </c>
      <c r="H497">
        <v>695</v>
      </c>
      <c r="I497">
        <v>695</v>
      </c>
      <c r="J497">
        <v>87.772661870503597</v>
      </c>
      <c r="K497">
        <v>110.445723174438</v>
      </c>
      <c r="L497">
        <v>6.6541676508182404</v>
      </c>
      <c r="M497">
        <v>189.000120827481</v>
      </c>
      <c r="N497">
        <v>0</v>
      </c>
      <c r="O497">
        <v>0</v>
      </c>
      <c r="P497">
        <v>1250.0713459999899</v>
      </c>
      <c r="Q497">
        <v>1055.4341030999999</v>
      </c>
    </row>
    <row r="498" spans="1:17" x14ac:dyDescent="0.3">
      <c r="A498">
        <v>46</v>
      </c>
      <c r="B498" t="s">
        <v>3</v>
      </c>
      <c r="C498">
        <v>15.686756690838701</v>
      </c>
      <c r="D498">
        <v>4.32</v>
      </c>
      <c r="F498">
        <v>66</v>
      </c>
      <c r="G498" t="s">
        <v>28</v>
      </c>
      <c r="H498">
        <v>690</v>
      </c>
      <c r="I498">
        <v>690</v>
      </c>
      <c r="J498">
        <v>87.136231884057906</v>
      </c>
      <c r="K498">
        <v>110.449829886898</v>
      </c>
      <c r="L498">
        <v>6.6541676508182404</v>
      </c>
      <c r="M498">
        <v>189.166615997832</v>
      </c>
      <c r="N498">
        <v>0</v>
      </c>
      <c r="O498">
        <v>0</v>
      </c>
      <c r="P498">
        <v>1244.2630609999901</v>
      </c>
      <c r="Q498">
        <v>1051.2285398189999</v>
      </c>
    </row>
    <row r="499" spans="1:17" x14ac:dyDescent="0.3">
      <c r="A499">
        <v>46</v>
      </c>
      <c r="B499" t="s">
        <v>4</v>
      </c>
      <c r="C499">
        <v>14.823001004509599</v>
      </c>
      <c r="D499">
        <v>4.3846153846153797</v>
      </c>
      <c r="F499">
        <v>67</v>
      </c>
      <c r="G499" t="s">
        <v>25</v>
      </c>
      <c r="H499">
        <v>1289</v>
      </c>
      <c r="I499">
        <v>1212</v>
      </c>
      <c r="J499">
        <v>77.346780449961201</v>
      </c>
      <c r="K499">
        <v>199.029954640445</v>
      </c>
      <c r="L499">
        <v>6.7502613916988796</v>
      </c>
      <c r="M499">
        <v>423.90245903115101</v>
      </c>
      <c r="N499">
        <v>0</v>
      </c>
      <c r="O499">
        <v>0</v>
      </c>
      <c r="P499">
        <v>2780.2630909999898</v>
      </c>
      <c r="Q499">
        <v>2383.38899829399</v>
      </c>
    </row>
    <row r="500" spans="1:17" x14ac:dyDescent="0.3">
      <c r="A500">
        <v>46</v>
      </c>
      <c r="B500" t="s">
        <v>5</v>
      </c>
      <c r="C500">
        <v>19.472057660272</v>
      </c>
      <c r="D500">
        <v>4.5</v>
      </c>
      <c r="F500">
        <v>67</v>
      </c>
      <c r="G500" t="s">
        <v>26</v>
      </c>
      <c r="H500">
        <v>1125</v>
      </c>
      <c r="I500">
        <v>1125</v>
      </c>
      <c r="J500">
        <v>70.140444444444398</v>
      </c>
      <c r="K500">
        <v>192.301996163463</v>
      </c>
      <c r="L500">
        <v>6.7502613916988796</v>
      </c>
      <c r="M500">
        <v>386.22265410782001</v>
      </c>
      <c r="N500">
        <v>0</v>
      </c>
      <c r="O500">
        <v>0</v>
      </c>
      <c r="P500">
        <v>2624.3834339999999</v>
      </c>
      <c r="Q500">
        <v>2231.0251825599998</v>
      </c>
    </row>
    <row r="501" spans="1:17" x14ac:dyDescent="0.3">
      <c r="A501">
        <v>46</v>
      </c>
      <c r="B501" t="s">
        <v>6</v>
      </c>
      <c r="C501">
        <v>64.660679785250196</v>
      </c>
      <c r="D501">
        <v>4.0862068965517198</v>
      </c>
      <c r="F501">
        <v>67</v>
      </c>
      <c r="G501" t="s">
        <v>27</v>
      </c>
      <c r="H501">
        <v>696</v>
      </c>
      <c r="I501">
        <v>696</v>
      </c>
      <c r="J501">
        <v>87.919540229885001</v>
      </c>
      <c r="K501">
        <v>109.953190031158</v>
      </c>
      <c r="L501">
        <v>6.7502613916988796</v>
      </c>
      <c r="M501">
        <v>187.714676158277</v>
      </c>
      <c r="N501">
        <v>0</v>
      </c>
      <c r="O501">
        <v>0</v>
      </c>
      <c r="P501">
        <v>1256.98127999999</v>
      </c>
      <c r="Q501">
        <v>1060.5556374569901</v>
      </c>
    </row>
    <row r="502" spans="1:17" x14ac:dyDescent="0.3">
      <c r="A502">
        <v>46</v>
      </c>
      <c r="B502" t="s">
        <v>7</v>
      </c>
      <c r="C502">
        <v>65.616391371512194</v>
      </c>
      <c r="D502">
        <v>3.5</v>
      </c>
      <c r="F502">
        <v>67</v>
      </c>
      <c r="G502" t="s">
        <v>28</v>
      </c>
      <c r="H502">
        <v>691</v>
      </c>
      <c r="I502">
        <v>691</v>
      </c>
      <c r="J502">
        <v>87.315484804630898</v>
      </c>
      <c r="K502">
        <v>109.349251556129</v>
      </c>
      <c r="L502">
        <v>6.7502613916988796</v>
      </c>
      <c r="M502">
        <v>190.206215641754</v>
      </c>
      <c r="N502">
        <v>0</v>
      </c>
      <c r="O502">
        <v>0</v>
      </c>
      <c r="P502">
        <v>1241.95428299999</v>
      </c>
      <c r="Q502">
        <v>1049.9408411110001</v>
      </c>
    </row>
    <row r="503" spans="1:17" x14ac:dyDescent="0.3">
      <c r="A503">
        <v>46</v>
      </c>
      <c r="B503" t="s">
        <v>8</v>
      </c>
      <c r="C503">
        <v>78.562128674407106</v>
      </c>
      <c r="D503">
        <v>4</v>
      </c>
      <c r="F503">
        <v>68</v>
      </c>
      <c r="G503" t="s">
        <v>25</v>
      </c>
      <c r="H503">
        <v>1078</v>
      </c>
      <c r="I503">
        <v>1078</v>
      </c>
      <c r="J503">
        <v>37.6669758812615</v>
      </c>
      <c r="K503">
        <v>137.97935026465601</v>
      </c>
      <c r="L503">
        <v>15.8101445500261</v>
      </c>
      <c r="M503">
        <v>370.26834927120802</v>
      </c>
      <c r="N503">
        <v>0</v>
      </c>
      <c r="O503">
        <v>0</v>
      </c>
      <c r="P503">
        <v>1858.45976899999</v>
      </c>
      <c r="Q503">
        <v>1636.4272365439999</v>
      </c>
    </row>
    <row r="504" spans="1:17" x14ac:dyDescent="0.3">
      <c r="A504">
        <v>46</v>
      </c>
      <c r="B504" t="s">
        <v>9</v>
      </c>
      <c r="C504">
        <v>81.529753434071097</v>
      </c>
      <c r="D504">
        <v>3.5448275862068899</v>
      </c>
      <c r="F504">
        <v>68</v>
      </c>
      <c r="G504" t="s">
        <v>26</v>
      </c>
      <c r="H504">
        <v>1067</v>
      </c>
      <c r="I504">
        <v>1067</v>
      </c>
      <c r="J504">
        <v>37.233364573570697</v>
      </c>
      <c r="K504">
        <v>137.28043615472299</v>
      </c>
      <c r="L504">
        <v>15.8101445500261</v>
      </c>
      <c r="M504">
        <v>362.81562681285402</v>
      </c>
      <c r="N504">
        <v>0</v>
      </c>
      <c r="O504">
        <v>0</v>
      </c>
      <c r="P504">
        <v>1851.0129689999901</v>
      </c>
      <c r="Q504">
        <v>1627.4188159350001</v>
      </c>
    </row>
    <row r="505" spans="1:17" x14ac:dyDescent="0.3">
      <c r="A505">
        <v>46</v>
      </c>
      <c r="B505" t="s">
        <v>10</v>
      </c>
      <c r="C505">
        <v>117.53334670241399</v>
      </c>
      <c r="D505">
        <v>1.3891547049441699</v>
      </c>
      <c r="F505">
        <v>68</v>
      </c>
      <c r="G505" t="s">
        <v>27</v>
      </c>
      <c r="H505">
        <v>714</v>
      </c>
      <c r="I505">
        <v>714</v>
      </c>
      <c r="J505">
        <v>35.275910364145602</v>
      </c>
      <c r="K505">
        <v>93.315909151436301</v>
      </c>
      <c r="L505">
        <v>15.8101445500261</v>
      </c>
      <c r="M505">
        <v>241.61518514700299</v>
      </c>
      <c r="N505">
        <v>0</v>
      </c>
      <c r="O505">
        <v>0</v>
      </c>
      <c r="P505">
        <v>1262.36828099999</v>
      </c>
      <c r="Q505">
        <v>1101.48127284099</v>
      </c>
    </row>
    <row r="506" spans="1:17" x14ac:dyDescent="0.3">
      <c r="A506">
        <v>46</v>
      </c>
      <c r="B506" t="s">
        <v>11</v>
      </c>
      <c r="C506">
        <v>274.03667602067497</v>
      </c>
      <c r="D506">
        <v>4.0797546012269903</v>
      </c>
      <c r="F506">
        <v>68</v>
      </c>
      <c r="G506" t="s">
        <v>28</v>
      </c>
      <c r="H506">
        <v>714</v>
      </c>
      <c r="I506">
        <v>714</v>
      </c>
      <c r="J506">
        <v>35.275910364145602</v>
      </c>
      <c r="K506">
        <v>92.141010986226206</v>
      </c>
      <c r="L506">
        <v>15.8101445500261</v>
      </c>
      <c r="M506">
        <v>242.68196912094899</v>
      </c>
      <c r="N506">
        <v>0</v>
      </c>
      <c r="O506">
        <v>0</v>
      </c>
      <c r="P506">
        <v>1167.0320079999899</v>
      </c>
      <c r="Q506">
        <v>1015.882297007</v>
      </c>
    </row>
    <row r="507" spans="1:17" x14ac:dyDescent="0.3">
      <c r="A507">
        <v>46</v>
      </c>
      <c r="B507" t="s">
        <v>12</v>
      </c>
      <c r="C507">
        <v>352.74443776715799</v>
      </c>
      <c r="D507">
        <v>4.5510688836104496</v>
      </c>
      <c r="F507">
        <v>68</v>
      </c>
      <c r="G507" t="s">
        <v>29</v>
      </c>
      <c r="H507">
        <v>0</v>
      </c>
      <c r="I507">
        <v>0</v>
      </c>
      <c r="J507">
        <v>0</v>
      </c>
      <c r="K507">
        <v>0</v>
      </c>
      <c r="L507">
        <v>15.8101445500261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3">
      <c r="A508">
        <v>46</v>
      </c>
      <c r="B508" t="s">
        <v>13</v>
      </c>
      <c r="C508">
        <v>352.64289871656098</v>
      </c>
      <c r="D508">
        <v>1.36078431372549</v>
      </c>
      <c r="F508">
        <v>68</v>
      </c>
      <c r="G508" t="s">
        <v>30</v>
      </c>
      <c r="H508">
        <v>0</v>
      </c>
      <c r="I508">
        <v>0</v>
      </c>
      <c r="J508">
        <v>0</v>
      </c>
      <c r="K508">
        <v>0</v>
      </c>
      <c r="L508">
        <v>15.8101445500261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3">
      <c r="A509">
        <v>47</v>
      </c>
      <c r="B509" t="s">
        <v>3</v>
      </c>
      <c r="C509">
        <v>15.586447065114999</v>
      </c>
      <c r="D509">
        <v>4.32</v>
      </c>
      <c r="F509">
        <v>68</v>
      </c>
      <c r="G509" t="s">
        <v>31</v>
      </c>
      <c r="H509">
        <v>0</v>
      </c>
      <c r="I509">
        <v>0</v>
      </c>
      <c r="J509">
        <v>0</v>
      </c>
      <c r="K509">
        <v>0</v>
      </c>
      <c r="L509">
        <v>15.8101445500261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3">
      <c r="A510">
        <v>47</v>
      </c>
      <c r="B510" t="s">
        <v>4</v>
      </c>
      <c r="C510">
        <v>15.205665324459201</v>
      </c>
      <c r="D510">
        <v>4.3846153846153797</v>
      </c>
      <c r="F510">
        <v>68</v>
      </c>
      <c r="G510" t="s">
        <v>32</v>
      </c>
      <c r="H510">
        <v>0</v>
      </c>
      <c r="I510">
        <v>0</v>
      </c>
      <c r="J510">
        <v>0</v>
      </c>
      <c r="K510">
        <v>0</v>
      </c>
      <c r="L510">
        <v>15.8101445500261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3">
      <c r="A511">
        <v>47</v>
      </c>
      <c r="B511" t="s">
        <v>5</v>
      </c>
      <c r="C511">
        <v>19.582508616645899</v>
      </c>
      <c r="D511">
        <v>4.5</v>
      </c>
      <c r="F511">
        <v>69</v>
      </c>
      <c r="G511" t="s">
        <v>25</v>
      </c>
      <c r="H511">
        <v>1078</v>
      </c>
      <c r="I511">
        <v>1078</v>
      </c>
      <c r="J511">
        <v>37.6669758812615</v>
      </c>
      <c r="K511">
        <v>138.56943125499899</v>
      </c>
      <c r="L511">
        <v>15.741695872723501</v>
      </c>
      <c r="M511">
        <v>368.19230483322798</v>
      </c>
      <c r="N511">
        <v>0</v>
      </c>
      <c r="O511">
        <v>0</v>
      </c>
      <c r="P511">
        <v>1859.2512829999901</v>
      </c>
      <c r="Q511">
        <v>1637.5248177829999</v>
      </c>
    </row>
    <row r="512" spans="1:17" x14ac:dyDescent="0.3">
      <c r="A512">
        <v>47</v>
      </c>
      <c r="B512" t="s">
        <v>6</v>
      </c>
      <c r="C512">
        <v>65.829586866953406</v>
      </c>
      <c r="D512">
        <v>4.0862068965517198</v>
      </c>
      <c r="F512">
        <v>69</v>
      </c>
      <c r="G512" t="s">
        <v>26</v>
      </c>
      <c r="H512">
        <v>1067</v>
      </c>
      <c r="I512">
        <v>1067</v>
      </c>
      <c r="J512">
        <v>37.233364573570697</v>
      </c>
      <c r="K512">
        <v>137.089053610733</v>
      </c>
      <c r="L512">
        <v>15.741695872723501</v>
      </c>
      <c r="M512">
        <v>359.65458280208298</v>
      </c>
      <c r="N512">
        <v>0</v>
      </c>
      <c r="O512">
        <v>0</v>
      </c>
      <c r="P512">
        <v>1847.81456599999</v>
      </c>
      <c r="Q512">
        <v>1623.6627548259901</v>
      </c>
    </row>
    <row r="513" spans="1:17" x14ac:dyDescent="0.3">
      <c r="A513">
        <v>47</v>
      </c>
      <c r="B513" t="s">
        <v>7</v>
      </c>
      <c r="C513">
        <v>66.034682553219596</v>
      </c>
      <c r="D513">
        <v>3.5</v>
      </c>
      <c r="F513">
        <v>69</v>
      </c>
      <c r="G513" t="s">
        <v>27</v>
      </c>
      <c r="H513">
        <v>714</v>
      </c>
      <c r="I513">
        <v>714</v>
      </c>
      <c r="J513">
        <v>35.275910364145602</v>
      </c>
      <c r="K513">
        <v>93.413583065205501</v>
      </c>
      <c r="L513">
        <v>15.741695872723501</v>
      </c>
      <c r="M513">
        <v>241.015448209417</v>
      </c>
      <c r="N513">
        <v>0</v>
      </c>
      <c r="O513">
        <v>0</v>
      </c>
      <c r="P513">
        <v>1263.7045109999899</v>
      </c>
      <c r="Q513">
        <v>1102.0237073539899</v>
      </c>
    </row>
    <row r="514" spans="1:17" x14ac:dyDescent="0.3">
      <c r="A514">
        <v>47</v>
      </c>
      <c r="B514" t="s">
        <v>8</v>
      </c>
      <c r="C514">
        <v>78.400177712577602</v>
      </c>
      <c r="D514">
        <v>4</v>
      </c>
      <c r="F514">
        <v>69</v>
      </c>
      <c r="G514" t="s">
        <v>28</v>
      </c>
      <c r="H514">
        <v>714</v>
      </c>
      <c r="I514">
        <v>714</v>
      </c>
      <c r="J514">
        <v>35.275910364145602</v>
      </c>
      <c r="K514">
        <v>92.125353097155994</v>
      </c>
      <c r="L514">
        <v>15.741695872723501</v>
      </c>
      <c r="M514">
        <v>243.24824635498101</v>
      </c>
      <c r="N514">
        <v>0</v>
      </c>
      <c r="O514">
        <v>0</v>
      </c>
      <c r="P514">
        <v>1167.4348069999901</v>
      </c>
      <c r="Q514">
        <v>1016.18271396</v>
      </c>
    </row>
    <row r="515" spans="1:17" x14ac:dyDescent="0.3">
      <c r="A515">
        <v>47</v>
      </c>
      <c r="B515" t="s">
        <v>9</v>
      </c>
      <c r="C515">
        <v>80.724292470052106</v>
      </c>
      <c r="D515">
        <v>3.5448275862068899</v>
      </c>
      <c r="F515">
        <v>69</v>
      </c>
      <c r="G515" t="s">
        <v>29</v>
      </c>
      <c r="H515">
        <v>0</v>
      </c>
      <c r="I515">
        <v>0</v>
      </c>
      <c r="J515">
        <v>0</v>
      </c>
      <c r="K515">
        <v>0</v>
      </c>
      <c r="L515">
        <v>15.741695872723501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3">
      <c r="A516">
        <v>47</v>
      </c>
      <c r="B516" t="s">
        <v>10</v>
      </c>
      <c r="C516">
        <v>116.963939648324</v>
      </c>
      <c r="D516">
        <v>1.3891547049441699</v>
      </c>
      <c r="F516">
        <v>69</v>
      </c>
      <c r="G516" t="s">
        <v>30</v>
      </c>
      <c r="H516">
        <v>0</v>
      </c>
      <c r="I516">
        <v>0</v>
      </c>
      <c r="J516">
        <v>0</v>
      </c>
      <c r="K516">
        <v>0</v>
      </c>
      <c r="L516">
        <v>15.741695872723501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3">
      <c r="A517">
        <v>47</v>
      </c>
      <c r="B517" t="s">
        <v>11</v>
      </c>
      <c r="C517">
        <v>274.11957000877902</v>
      </c>
      <c r="D517">
        <v>4.0797546012269903</v>
      </c>
      <c r="F517">
        <v>69</v>
      </c>
      <c r="G517" t="s">
        <v>31</v>
      </c>
      <c r="H517">
        <v>0</v>
      </c>
      <c r="I517">
        <v>0</v>
      </c>
      <c r="J517">
        <v>0</v>
      </c>
      <c r="K517">
        <v>0</v>
      </c>
      <c r="L517">
        <v>15.741695872723501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3">
      <c r="A518">
        <v>47</v>
      </c>
      <c r="B518" t="s">
        <v>12</v>
      </c>
      <c r="C518">
        <v>355.925158187335</v>
      </c>
      <c r="D518">
        <v>4.5510688836104496</v>
      </c>
      <c r="F518">
        <v>69</v>
      </c>
      <c r="G518" t="s">
        <v>32</v>
      </c>
      <c r="H518">
        <v>0</v>
      </c>
      <c r="I518">
        <v>0</v>
      </c>
      <c r="J518">
        <v>0</v>
      </c>
      <c r="K518">
        <v>0</v>
      </c>
      <c r="L518">
        <v>15.741695872723501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3">
      <c r="A519">
        <v>47</v>
      </c>
      <c r="B519" t="s">
        <v>13</v>
      </c>
      <c r="C519">
        <v>352.63762426256898</v>
      </c>
      <c r="D519">
        <v>1.36078431372549</v>
      </c>
      <c r="F519">
        <v>70</v>
      </c>
      <c r="G519" t="s">
        <v>25</v>
      </c>
      <c r="H519">
        <v>1078</v>
      </c>
      <c r="I519">
        <v>1078</v>
      </c>
      <c r="J519">
        <v>37.6669758812615</v>
      </c>
      <c r="K519">
        <v>138.66224869344001</v>
      </c>
      <c r="L519">
        <v>15.7647177630675</v>
      </c>
      <c r="M519">
        <v>369.59122458875402</v>
      </c>
      <c r="N519">
        <v>0</v>
      </c>
      <c r="O519">
        <v>0</v>
      </c>
      <c r="P519">
        <v>1860.64567699999</v>
      </c>
      <c r="Q519">
        <v>1641.8181107119999</v>
      </c>
    </row>
    <row r="520" spans="1:17" x14ac:dyDescent="0.3">
      <c r="A520">
        <v>48</v>
      </c>
      <c r="B520" t="s">
        <v>3</v>
      </c>
      <c r="C520">
        <v>15.6400704639913</v>
      </c>
      <c r="D520">
        <v>4.32</v>
      </c>
      <c r="F520">
        <v>70</v>
      </c>
      <c r="G520" t="s">
        <v>26</v>
      </c>
      <c r="H520">
        <v>1067</v>
      </c>
      <c r="I520">
        <v>1067</v>
      </c>
      <c r="J520">
        <v>37.233364573570697</v>
      </c>
      <c r="K520">
        <v>137.02569882960299</v>
      </c>
      <c r="L520">
        <v>15.7647177630675</v>
      </c>
      <c r="M520">
        <v>360.50987965670902</v>
      </c>
      <c r="N520">
        <v>0</v>
      </c>
      <c r="O520">
        <v>0</v>
      </c>
      <c r="P520">
        <v>1846.08384399999</v>
      </c>
      <c r="Q520">
        <v>1623.2671656939899</v>
      </c>
    </row>
    <row r="521" spans="1:17" x14ac:dyDescent="0.3">
      <c r="A521">
        <v>48</v>
      </c>
      <c r="B521" t="s">
        <v>4</v>
      </c>
      <c r="C521">
        <v>14.9605488462828</v>
      </c>
      <c r="D521">
        <v>4.3846153846153797</v>
      </c>
      <c r="F521">
        <v>70</v>
      </c>
      <c r="G521" t="s">
        <v>27</v>
      </c>
      <c r="H521">
        <v>714</v>
      </c>
      <c r="I521">
        <v>714</v>
      </c>
      <c r="J521">
        <v>35.275910364145602</v>
      </c>
      <c r="K521">
        <v>93.623892830093794</v>
      </c>
      <c r="L521">
        <v>15.7647177630675</v>
      </c>
      <c r="M521">
        <v>240.14035296258299</v>
      </c>
      <c r="N521">
        <v>0</v>
      </c>
      <c r="O521">
        <v>0</v>
      </c>
      <c r="P521">
        <v>1262.9581369999901</v>
      </c>
      <c r="Q521">
        <v>1102.55719066499</v>
      </c>
    </row>
    <row r="522" spans="1:17" x14ac:dyDescent="0.3">
      <c r="A522">
        <v>48</v>
      </c>
      <c r="B522" t="s">
        <v>5</v>
      </c>
      <c r="C522">
        <v>19.470009218536099</v>
      </c>
      <c r="D522">
        <v>4.5</v>
      </c>
      <c r="F522">
        <v>70</v>
      </c>
      <c r="G522" t="s">
        <v>28</v>
      </c>
      <c r="H522">
        <v>714</v>
      </c>
      <c r="I522">
        <v>714</v>
      </c>
      <c r="J522">
        <v>35.275910364145602</v>
      </c>
      <c r="K522">
        <v>92.047318345825104</v>
      </c>
      <c r="L522">
        <v>15.7647177630675</v>
      </c>
      <c r="M522">
        <v>243.64181054815501</v>
      </c>
      <c r="N522">
        <v>0</v>
      </c>
      <c r="O522">
        <v>0</v>
      </c>
      <c r="P522">
        <v>1166.465076</v>
      </c>
      <c r="Q522">
        <v>1014.451214028</v>
      </c>
    </row>
    <row r="523" spans="1:17" x14ac:dyDescent="0.3">
      <c r="A523">
        <v>48</v>
      </c>
      <c r="B523" t="s">
        <v>6</v>
      </c>
      <c r="C523">
        <v>65.475138661658207</v>
      </c>
      <c r="D523">
        <v>4.0862068965517198</v>
      </c>
      <c r="F523">
        <v>70</v>
      </c>
      <c r="G523" t="s">
        <v>29</v>
      </c>
      <c r="H523">
        <v>0</v>
      </c>
      <c r="I523">
        <v>0</v>
      </c>
      <c r="J523">
        <v>0</v>
      </c>
      <c r="K523">
        <v>0</v>
      </c>
      <c r="L523">
        <v>15.7647177630675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">
      <c r="A524">
        <v>48</v>
      </c>
      <c r="B524" t="s">
        <v>7</v>
      </c>
      <c r="C524">
        <v>65.838418612680698</v>
      </c>
      <c r="D524">
        <v>3.5</v>
      </c>
      <c r="F524">
        <v>70</v>
      </c>
      <c r="G524" t="s">
        <v>30</v>
      </c>
      <c r="H524">
        <v>0</v>
      </c>
      <c r="I524">
        <v>0</v>
      </c>
      <c r="J524">
        <v>0</v>
      </c>
      <c r="K524">
        <v>0</v>
      </c>
      <c r="L524">
        <v>15.7647177630675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3">
      <c r="A525">
        <v>48</v>
      </c>
      <c r="B525" t="s">
        <v>8</v>
      </c>
      <c r="C525">
        <v>78.327123792563597</v>
      </c>
      <c r="D525">
        <v>4</v>
      </c>
      <c r="F525">
        <v>70</v>
      </c>
      <c r="G525" t="s">
        <v>31</v>
      </c>
      <c r="H525">
        <v>0</v>
      </c>
      <c r="I525">
        <v>0</v>
      </c>
      <c r="J525">
        <v>0</v>
      </c>
      <c r="K525">
        <v>0</v>
      </c>
      <c r="L525">
        <v>15.7647177630675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3">
      <c r="A526">
        <v>48</v>
      </c>
      <c r="B526" t="s">
        <v>9</v>
      </c>
      <c r="C526">
        <v>80.682828529052799</v>
      </c>
      <c r="D526">
        <v>3.5448275862068899</v>
      </c>
      <c r="F526">
        <v>70</v>
      </c>
      <c r="G526" t="s">
        <v>32</v>
      </c>
      <c r="H526">
        <v>0</v>
      </c>
      <c r="I526">
        <v>0</v>
      </c>
      <c r="J526">
        <v>0</v>
      </c>
      <c r="K526">
        <v>0</v>
      </c>
      <c r="L526">
        <v>15.7647177630675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3">
      <c r="A527">
        <v>48</v>
      </c>
      <c r="B527" t="s">
        <v>10</v>
      </c>
      <c r="C527">
        <v>116.919294700561</v>
      </c>
      <c r="D527">
        <v>1.3891547049441699</v>
      </c>
      <c r="F527">
        <v>71</v>
      </c>
      <c r="G527" t="s">
        <v>25</v>
      </c>
      <c r="H527">
        <v>730</v>
      </c>
      <c r="I527">
        <v>730</v>
      </c>
      <c r="J527">
        <v>25.658904109588999</v>
      </c>
      <c r="K527">
        <v>101.532617888283</v>
      </c>
      <c r="L527">
        <v>12.1301578686115</v>
      </c>
      <c r="M527">
        <v>246.81488904083201</v>
      </c>
      <c r="N527">
        <v>0</v>
      </c>
      <c r="O527">
        <v>0</v>
      </c>
      <c r="P527">
        <v>1378.90985</v>
      </c>
      <c r="Q527">
        <v>1191.8451028009999</v>
      </c>
    </row>
    <row r="528" spans="1:17" x14ac:dyDescent="0.3">
      <c r="A528">
        <v>48</v>
      </c>
      <c r="B528" t="s">
        <v>11</v>
      </c>
      <c r="C528">
        <v>274.24725777321402</v>
      </c>
      <c r="D528">
        <v>4.0797546012269903</v>
      </c>
      <c r="F528">
        <v>71</v>
      </c>
      <c r="G528" t="s">
        <v>26</v>
      </c>
      <c r="H528">
        <v>718</v>
      </c>
      <c r="I528">
        <v>718</v>
      </c>
      <c r="J528">
        <v>25.268802228412198</v>
      </c>
      <c r="K528">
        <v>100.073264426893</v>
      </c>
      <c r="L528">
        <v>12.1301578686115</v>
      </c>
      <c r="M528">
        <v>241.119166704234</v>
      </c>
      <c r="N528">
        <v>0</v>
      </c>
      <c r="O528">
        <v>0</v>
      </c>
      <c r="P528">
        <v>1358.97846399999</v>
      </c>
      <c r="Q528">
        <v>1172.603680592</v>
      </c>
    </row>
    <row r="529" spans="1:17" x14ac:dyDescent="0.3">
      <c r="A529">
        <v>48</v>
      </c>
      <c r="B529" t="s">
        <v>12</v>
      </c>
      <c r="C529">
        <v>353.96979175021602</v>
      </c>
      <c r="D529">
        <v>4.5510688836104496</v>
      </c>
      <c r="F529">
        <v>71</v>
      </c>
      <c r="G529" t="s">
        <v>27</v>
      </c>
      <c r="H529">
        <v>711</v>
      </c>
      <c r="I529">
        <v>711</v>
      </c>
      <c r="J529">
        <v>24.992967651195499</v>
      </c>
      <c r="K529">
        <v>99.2201844150445</v>
      </c>
      <c r="L529">
        <v>12.1301578686115</v>
      </c>
      <c r="M529">
        <v>242.006488473031</v>
      </c>
      <c r="N529">
        <v>0</v>
      </c>
      <c r="O529">
        <v>0</v>
      </c>
      <c r="P529">
        <v>1357.43997499999</v>
      </c>
      <c r="Q529">
        <v>1171.500060286</v>
      </c>
    </row>
    <row r="530" spans="1:17" x14ac:dyDescent="0.3">
      <c r="A530">
        <v>48</v>
      </c>
      <c r="B530" t="s">
        <v>13</v>
      </c>
      <c r="C530">
        <v>352.61261009114003</v>
      </c>
      <c r="D530">
        <v>1.36078431372549</v>
      </c>
      <c r="F530">
        <v>71</v>
      </c>
      <c r="G530" t="s">
        <v>28</v>
      </c>
      <c r="H530">
        <v>476</v>
      </c>
      <c r="I530">
        <v>476</v>
      </c>
      <c r="J530">
        <v>23.716386554621799</v>
      </c>
      <c r="K530">
        <v>66.847442073257696</v>
      </c>
      <c r="L530">
        <v>12.1301578686115</v>
      </c>
      <c r="M530">
        <v>159.83416159694599</v>
      </c>
      <c r="N530">
        <v>0</v>
      </c>
      <c r="O530">
        <v>0</v>
      </c>
      <c r="P530">
        <v>894.44914799999901</v>
      </c>
      <c r="Q530">
        <v>772.61828055999899</v>
      </c>
    </row>
    <row r="531" spans="1:17" x14ac:dyDescent="0.3">
      <c r="A531">
        <v>49</v>
      </c>
      <c r="B531" t="s">
        <v>3</v>
      </c>
      <c r="C531">
        <v>15.3135078130819</v>
      </c>
      <c r="D531">
        <v>4</v>
      </c>
      <c r="F531">
        <v>71</v>
      </c>
      <c r="G531" t="s">
        <v>29</v>
      </c>
      <c r="H531">
        <v>476</v>
      </c>
      <c r="I531">
        <v>476</v>
      </c>
      <c r="J531">
        <v>23.716386554621799</v>
      </c>
      <c r="K531">
        <v>66.750742839632395</v>
      </c>
      <c r="L531">
        <v>12.1301578686115</v>
      </c>
      <c r="M531">
        <v>161.53614949213099</v>
      </c>
      <c r="N531">
        <v>0</v>
      </c>
      <c r="O531">
        <v>0</v>
      </c>
      <c r="P531">
        <v>856.92559800000004</v>
      </c>
      <c r="Q531">
        <v>741.61057031400003</v>
      </c>
    </row>
    <row r="532" spans="1:17" x14ac:dyDescent="0.3">
      <c r="A532">
        <v>49</v>
      </c>
      <c r="B532" t="s">
        <v>4</v>
      </c>
      <c r="C532">
        <v>15.3075374181384</v>
      </c>
      <c r="D532">
        <v>4</v>
      </c>
      <c r="F532">
        <v>71</v>
      </c>
      <c r="G532" t="s">
        <v>30</v>
      </c>
      <c r="H532">
        <v>476</v>
      </c>
      <c r="I532">
        <v>476</v>
      </c>
      <c r="J532">
        <v>23.716386554621799</v>
      </c>
      <c r="K532">
        <v>67.070891786629403</v>
      </c>
      <c r="L532">
        <v>12.1301578686115</v>
      </c>
      <c r="M532">
        <v>161.70493155398</v>
      </c>
      <c r="N532">
        <v>0</v>
      </c>
      <c r="O532">
        <v>0</v>
      </c>
      <c r="P532">
        <v>856.46256400000004</v>
      </c>
      <c r="Q532">
        <v>740.51705710800002</v>
      </c>
    </row>
    <row r="533" spans="1:17" x14ac:dyDescent="0.3">
      <c r="A533">
        <v>49</v>
      </c>
      <c r="B533" t="s">
        <v>5</v>
      </c>
      <c r="C533">
        <v>19.9122606215027</v>
      </c>
      <c r="D533">
        <v>4.5</v>
      </c>
      <c r="F533">
        <v>71</v>
      </c>
      <c r="G533" t="s">
        <v>31</v>
      </c>
      <c r="H533">
        <v>0</v>
      </c>
      <c r="I533">
        <v>0</v>
      </c>
      <c r="J533">
        <v>0</v>
      </c>
      <c r="K533">
        <v>0</v>
      </c>
      <c r="L533">
        <v>12.1301578686115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3">
      <c r="A534">
        <v>49</v>
      </c>
      <c r="B534" t="s">
        <v>6</v>
      </c>
      <c r="C534">
        <v>64.677485655230001</v>
      </c>
      <c r="D534">
        <v>4.0171428571428498</v>
      </c>
      <c r="F534">
        <v>71</v>
      </c>
      <c r="G534" t="s">
        <v>32</v>
      </c>
      <c r="H534">
        <v>0</v>
      </c>
      <c r="I534">
        <v>0</v>
      </c>
      <c r="J534">
        <v>0</v>
      </c>
      <c r="K534">
        <v>0</v>
      </c>
      <c r="L534">
        <v>12.1301578686115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">
      <c r="A535">
        <v>49</v>
      </c>
      <c r="B535" t="s">
        <v>7</v>
      </c>
      <c r="C535">
        <v>65.380134372712405</v>
      </c>
      <c r="D535">
        <v>3.5</v>
      </c>
      <c r="F535">
        <v>71</v>
      </c>
      <c r="G535" t="s">
        <v>33</v>
      </c>
      <c r="H535">
        <v>0</v>
      </c>
      <c r="I535">
        <v>0</v>
      </c>
      <c r="J535">
        <v>0</v>
      </c>
      <c r="K535">
        <v>0</v>
      </c>
      <c r="L535">
        <v>12.1301578686115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">
      <c r="A536">
        <v>49</v>
      </c>
      <c r="B536" t="s">
        <v>8</v>
      </c>
      <c r="C536">
        <v>79.299337123339498</v>
      </c>
      <c r="D536">
        <v>4</v>
      </c>
      <c r="F536">
        <v>71</v>
      </c>
      <c r="G536" t="s">
        <v>34</v>
      </c>
      <c r="H536">
        <v>0</v>
      </c>
      <c r="I536">
        <v>0</v>
      </c>
      <c r="J536">
        <v>0</v>
      </c>
      <c r="K536">
        <v>0</v>
      </c>
      <c r="L536">
        <v>12.1301578686115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3">
      <c r="A537">
        <v>49</v>
      </c>
      <c r="B537" t="s">
        <v>9</v>
      </c>
      <c r="C537">
        <v>80.811790178061997</v>
      </c>
      <c r="D537">
        <v>3.5</v>
      </c>
      <c r="F537">
        <v>71</v>
      </c>
      <c r="G537" t="s">
        <v>35</v>
      </c>
      <c r="H537">
        <v>0</v>
      </c>
      <c r="I537">
        <v>0</v>
      </c>
      <c r="J537">
        <v>0</v>
      </c>
      <c r="K537">
        <v>0</v>
      </c>
      <c r="L537">
        <v>12.1301578686115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3">
      <c r="A538">
        <v>49</v>
      </c>
      <c r="B538" t="s">
        <v>10</v>
      </c>
      <c r="C538">
        <v>116.24704407583199</v>
      </c>
      <c r="D538">
        <v>1.37083993660855</v>
      </c>
      <c r="F538">
        <v>71</v>
      </c>
      <c r="G538" t="s">
        <v>36</v>
      </c>
      <c r="H538">
        <v>0</v>
      </c>
      <c r="I538">
        <v>0</v>
      </c>
      <c r="J538">
        <v>0</v>
      </c>
      <c r="K538">
        <v>0</v>
      </c>
      <c r="L538">
        <v>12.1301578686115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3">
      <c r="A539">
        <v>49</v>
      </c>
      <c r="B539" t="s">
        <v>11</v>
      </c>
      <c r="C539">
        <v>272.05478976602598</v>
      </c>
      <c r="D539">
        <v>4.0464646464646403</v>
      </c>
      <c r="F539">
        <v>72</v>
      </c>
      <c r="G539" t="s">
        <v>25</v>
      </c>
      <c r="H539">
        <v>1078</v>
      </c>
      <c r="I539">
        <v>1078</v>
      </c>
      <c r="J539">
        <v>37.6669758812615</v>
      </c>
      <c r="K539">
        <v>138.49393693409399</v>
      </c>
      <c r="L539">
        <v>15.7524119289097</v>
      </c>
      <c r="M539">
        <v>367.910115935644</v>
      </c>
      <c r="N539">
        <v>0</v>
      </c>
      <c r="O539">
        <v>0</v>
      </c>
      <c r="P539">
        <v>1859.1660379999901</v>
      </c>
      <c r="Q539">
        <v>1637.401183296</v>
      </c>
    </row>
    <row r="540" spans="1:17" x14ac:dyDescent="0.3">
      <c r="A540">
        <v>49</v>
      </c>
      <c r="B540" t="s">
        <v>12</v>
      </c>
      <c r="C540">
        <v>350.48324186725603</v>
      </c>
      <c r="D540">
        <v>4.5317647058823498</v>
      </c>
      <c r="F540">
        <v>72</v>
      </c>
      <c r="G540" t="s">
        <v>26</v>
      </c>
      <c r="H540">
        <v>1067</v>
      </c>
      <c r="I540">
        <v>1067</v>
      </c>
      <c r="J540">
        <v>37.233364573570697</v>
      </c>
      <c r="K540">
        <v>136.824764395476</v>
      </c>
      <c r="L540">
        <v>15.7524119289097</v>
      </c>
      <c r="M540">
        <v>362.31497624370797</v>
      </c>
      <c r="N540">
        <v>0</v>
      </c>
      <c r="O540">
        <v>0</v>
      </c>
      <c r="P540">
        <v>1846.8881919999901</v>
      </c>
      <c r="Q540">
        <v>1625.402163404</v>
      </c>
    </row>
    <row r="541" spans="1:17" x14ac:dyDescent="0.3">
      <c r="A541">
        <v>49</v>
      </c>
      <c r="B541" t="s">
        <v>13</v>
      </c>
      <c r="C541">
        <v>352.76916020825399</v>
      </c>
      <c r="D541">
        <v>1.3518373729476101</v>
      </c>
      <c r="F541">
        <v>72</v>
      </c>
      <c r="G541" t="s">
        <v>27</v>
      </c>
      <c r="H541">
        <v>714</v>
      </c>
      <c r="I541">
        <v>714</v>
      </c>
      <c r="J541">
        <v>35.275910364145602</v>
      </c>
      <c r="K541">
        <v>93.289641353870394</v>
      </c>
      <c r="L541">
        <v>15.7524119289097</v>
      </c>
      <c r="M541">
        <v>240.875426755501</v>
      </c>
      <c r="N541">
        <v>0</v>
      </c>
      <c r="O541">
        <v>0</v>
      </c>
      <c r="P541">
        <v>1263.4446209999901</v>
      </c>
      <c r="Q541">
        <v>1102.09914084099</v>
      </c>
    </row>
    <row r="542" spans="1:17" x14ac:dyDescent="0.3">
      <c r="A542">
        <v>50</v>
      </c>
      <c r="B542" t="s">
        <v>3</v>
      </c>
      <c r="C542">
        <v>15.276270571424799</v>
      </c>
      <c r="D542">
        <v>4.32</v>
      </c>
      <c r="F542">
        <v>72</v>
      </c>
      <c r="G542" t="s">
        <v>28</v>
      </c>
      <c r="H542">
        <v>714</v>
      </c>
      <c r="I542">
        <v>714</v>
      </c>
      <c r="J542">
        <v>35.275910364145602</v>
      </c>
      <c r="K542">
        <v>91.9710234669394</v>
      </c>
      <c r="L542">
        <v>15.7524119289097</v>
      </c>
      <c r="M542">
        <v>241.83519959119499</v>
      </c>
      <c r="N542">
        <v>0</v>
      </c>
      <c r="O542">
        <v>0</v>
      </c>
      <c r="P542">
        <v>1167.323257</v>
      </c>
      <c r="Q542">
        <v>1015.140484734</v>
      </c>
    </row>
    <row r="543" spans="1:17" x14ac:dyDescent="0.3">
      <c r="A543">
        <v>50</v>
      </c>
      <c r="B543" t="s">
        <v>4</v>
      </c>
      <c r="C543">
        <v>15.408355042674801</v>
      </c>
      <c r="D543">
        <v>4.3846153846153797</v>
      </c>
      <c r="F543">
        <v>72</v>
      </c>
      <c r="G543" t="s">
        <v>29</v>
      </c>
      <c r="H543">
        <v>0</v>
      </c>
      <c r="I543">
        <v>0</v>
      </c>
      <c r="J543">
        <v>0</v>
      </c>
      <c r="K543">
        <v>0</v>
      </c>
      <c r="L543">
        <v>15.7524119289097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3">
      <c r="A544">
        <v>50</v>
      </c>
      <c r="B544" t="s">
        <v>5</v>
      </c>
      <c r="C544">
        <v>19.887377651058799</v>
      </c>
      <c r="D544">
        <v>4.5</v>
      </c>
      <c r="F544">
        <v>72</v>
      </c>
      <c r="G544" t="s">
        <v>30</v>
      </c>
      <c r="H544">
        <v>0</v>
      </c>
      <c r="I544">
        <v>0</v>
      </c>
      <c r="J544">
        <v>0</v>
      </c>
      <c r="K544">
        <v>0</v>
      </c>
      <c r="L544">
        <v>15.7524119289097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3">
      <c r="A545">
        <v>50</v>
      </c>
      <c r="B545" t="s">
        <v>6</v>
      </c>
      <c r="C545">
        <v>64.861985413955296</v>
      </c>
      <c r="D545">
        <v>4.0862068965517198</v>
      </c>
      <c r="F545">
        <v>72</v>
      </c>
      <c r="G545" t="s">
        <v>31</v>
      </c>
      <c r="H545">
        <v>0</v>
      </c>
      <c r="I545">
        <v>0</v>
      </c>
      <c r="J545">
        <v>0</v>
      </c>
      <c r="K545">
        <v>0</v>
      </c>
      <c r="L545">
        <v>15.7524119289097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3">
      <c r="A546">
        <v>50</v>
      </c>
      <c r="B546" t="s">
        <v>7</v>
      </c>
      <c r="C546">
        <v>66.070596352047204</v>
      </c>
      <c r="D546">
        <v>3.5</v>
      </c>
      <c r="F546">
        <v>72</v>
      </c>
      <c r="G546" t="s">
        <v>32</v>
      </c>
      <c r="H546">
        <v>0</v>
      </c>
      <c r="I546">
        <v>0</v>
      </c>
      <c r="J546">
        <v>0</v>
      </c>
      <c r="K546">
        <v>0</v>
      </c>
      <c r="L546">
        <v>15.7524119289097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3">
      <c r="A547">
        <v>50</v>
      </c>
      <c r="B547" t="s">
        <v>8</v>
      </c>
      <c r="C547">
        <v>78.895934751190097</v>
      </c>
      <c r="D547">
        <v>4</v>
      </c>
      <c r="F547">
        <v>73</v>
      </c>
      <c r="G547" t="s">
        <v>25</v>
      </c>
      <c r="H547">
        <v>730</v>
      </c>
      <c r="I547">
        <v>730</v>
      </c>
      <c r="J547">
        <v>25.658904109588999</v>
      </c>
      <c r="K547">
        <v>101.532851113992</v>
      </c>
      <c r="L547">
        <v>12.126618158062699</v>
      </c>
      <c r="M547">
        <v>246.51592601791501</v>
      </c>
      <c r="N547">
        <v>0</v>
      </c>
      <c r="O547">
        <v>0</v>
      </c>
      <c r="P547">
        <v>1377.5243390000001</v>
      </c>
      <c r="Q547">
        <v>1190.6801343259999</v>
      </c>
    </row>
    <row r="548" spans="1:17" x14ac:dyDescent="0.3">
      <c r="A548">
        <v>50</v>
      </c>
      <c r="B548" t="s">
        <v>9</v>
      </c>
      <c r="C548">
        <v>81.370879806264497</v>
      </c>
      <c r="D548">
        <v>3.5448275862068899</v>
      </c>
      <c r="F548">
        <v>73</v>
      </c>
      <c r="G548" t="s">
        <v>26</v>
      </c>
      <c r="H548">
        <v>718</v>
      </c>
      <c r="I548">
        <v>718</v>
      </c>
      <c r="J548">
        <v>25.268802228412198</v>
      </c>
      <c r="K548">
        <v>100.33310882895201</v>
      </c>
      <c r="L548">
        <v>12.126618158062699</v>
      </c>
      <c r="M548">
        <v>239.96884415245299</v>
      </c>
      <c r="N548">
        <v>0</v>
      </c>
      <c r="O548">
        <v>0</v>
      </c>
      <c r="P548">
        <v>1358.15065199999</v>
      </c>
      <c r="Q548">
        <v>1171.2499152360001</v>
      </c>
    </row>
    <row r="549" spans="1:17" x14ac:dyDescent="0.3">
      <c r="A549">
        <v>50</v>
      </c>
      <c r="B549" t="s">
        <v>10</v>
      </c>
      <c r="C549">
        <v>116.591569982482</v>
      </c>
      <c r="D549">
        <v>1.3891547049441699</v>
      </c>
      <c r="F549">
        <v>73</v>
      </c>
      <c r="G549" t="s">
        <v>27</v>
      </c>
      <c r="H549">
        <v>711</v>
      </c>
      <c r="I549">
        <v>711</v>
      </c>
      <c r="J549">
        <v>24.992967651195499</v>
      </c>
      <c r="K549">
        <v>100.13683122497299</v>
      </c>
      <c r="L549">
        <v>12.126618158062699</v>
      </c>
      <c r="M549">
        <v>242.132510022953</v>
      </c>
      <c r="N549">
        <v>0</v>
      </c>
      <c r="O549">
        <v>0</v>
      </c>
      <c r="P549">
        <v>1357.43997499999</v>
      </c>
      <c r="Q549">
        <v>1170.7995777789999</v>
      </c>
    </row>
    <row r="550" spans="1:17" x14ac:dyDescent="0.3">
      <c r="A550">
        <v>50</v>
      </c>
      <c r="B550" t="s">
        <v>11</v>
      </c>
      <c r="C550">
        <v>275.24792855850899</v>
      </c>
      <c r="D550">
        <v>4.0797546012269903</v>
      </c>
      <c r="F550">
        <v>73</v>
      </c>
      <c r="G550" t="s">
        <v>28</v>
      </c>
      <c r="H550">
        <v>476</v>
      </c>
      <c r="I550">
        <v>476</v>
      </c>
      <c r="J550">
        <v>23.716386554621799</v>
      </c>
      <c r="K550">
        <v>67.336596566565902</v>
      </c>
      <c r="L550">
        <v>12.126618158062699</v>
      </c>
      <c r="M550">
        <v>160.62072383032901</v>
      </c>
      <c r="N550">
        <v>0</v>
      </c>
      <c r="O550">
        <v>0</v>
      </c>
      <c r="P550">
        <v>893.80479699999898</v>
      </c>
      <c r="Q550">
        <v>771.87575246199901</v>
      </c>
    </row>
    <row r="551" spans="1:17" x14ac:dyDescent="0.3">
      <c r="A551">
        <v>50</v>
      </c>
      <c r="B551" t="s">
        <v>12</v>
      </c>
      <c r="C551">
        <v>352.548571388825</v>
      </c>
      <c r="D551">
        <v>4.5510688836104496</v>
      </c>
      <c r="F551">
        <v>73</v>
      </c>
      <c r="G551" t="s">
        <v>29</v>
      </c>
      <c r="H551">
        <v>476</v>
      </c>
      <c r="I551">
        <v>476</v>
      </c>
      <c r="J551">
        <v>23.716386554621799</v>
      </c>
      <c r="K551">
        <v>67.470454774088395</v>
      </c>
      <c r="L551">
        <v>12.126618158062699</v>
      </c>
      <c r="M551">
        <v>161.986497972525</v>
      </c>
      <c r="N551">
        <v>0</v>
      </c>
      <c r="O551">
        <v>0</v>
      </c>
      <c r="P551">
        <v>875.17303400000003</v>
      </c>
      <c r="Q551">
        <v>755.68352951500003</v>
      </c>
    </row>
    <row r="552" spans="1:17" x14ac:dyDescent="0.3">
      <c r="A552">
        <v>50</v>
      </c>
      <c r="B552" t="s">
        <v>13</v>
      </c>
      <c r="C552">
        <v>354.143789421929</v>
      </c>
      <c r="D552">
        <v>1.36078431372549</v>
      </c>
      <c r="F552">
        <v>73</v>
      </c>
      <c r="G552" t="s">
        <v>30</v>
      </c>
      <c r="H552">
        <v>476</v>
      </c>
      <c r="I552">
        <v>476</v>
      </c>
      <c r="J552">
        <v>23.716386554621799</v>
      </c>
      <c r="K552">
        <v>66.485771087729205</v>
      </c>
      <c r="L552">
        <v>12.126618158062699</v>
      </c>
      <c r="M552">
        <v>161.43731381009499</v>
      </c>
      <c r="N552">
        <v>0</v>
      </c>
      <c r="O552">
        <v>0</v>
      </c>
      <c r="P552">
        <v>834.20448899999997</v>
      </c>
      <c r="Q552">
        <v>720.21105172199998</v>
      </c>
    </row>
    <row r="553" spans="1:17" x14ac:dyDescent="0.3">
      <c r="A553">
        <v>51</v>
      </c>
      <c r="B553" t="s">
        <v>3</v>
      </c>
      <c r="C553">
        <v>15.2374579330689</v>
      </c>
      <c r="D553">
        <v>4.32</v>
      </c>
      <c r="F553">
        <v>73</v>
      </c>
      <c r="G553" t="s">
        <v>31</v>
      </c>
      <c r="H553">
        <v>0</v>
      </c>
      <c r="I553">
        <v>0</v>
      </c>
      <c r="J553">
        <v>0</v>
      </c>
      <c r="K553">
        <v>0</v>
      </c>
      <c r="L553">
        <v>12.126618158062699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3">
      <c r="A554">
        <v>51</v>
      </c>
      <c r="B554" t="s">
        <v>4</v>
      </c>
      <c r="C554">
        <v>15.142188779936101</v>
      </c>
      <c r="D554">
        <v>4.3846153846153797</v>
      </c>
      <c r="F554">
        <v>73</v>
      </c>
      <c r="G554" t="s">
        <v>32</v>
      </c>
      <c r="H554">
        <v>0</v>
      </c>
      <c r="I554">
        <v>0</v>
      </c>
      <c r="J554">
        <v>0</v>
      </c>
      <c r="K554">
        <v>0</v>
      </c>
      <c r="L554">
        <v>12.126618158062699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3">
      <c r="A555">
        <v>51</v>
      </c>
      <c r="B555" t="s">
        <v>5</v>
      </c>
      <c r="C555">
        <v>19.7630986671758</v>
      </c>
      <c r="D555">
        <v>4.5</v>
      </c>
      <c r="F555">
        <v>73</v>
      </c>
      <c r="G555" t="s">
        <v>33</v>
      </c>
      <c r="H555">
        <v>0</v>
      </c>
      <c r="I555">
        <v>0</v>
      </c>
      <c r="J555">
        <v>0</v>
      </c>
      <c r="K555">
        <v>0</v>
      </c>
      <c r="L555">
        <v>12.126618158062699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3">
      <c r="A556">
        <v>51</v>
      </c>
      <c r="B556" t="s">
        <v>6</v>
      </c>
      <c r="C556">
        <v>64.529720004799003</v>
      </c>
      <c r="D556">
        <v>4.0862068965517198</v>
      </c>
      <c r="F556">
        <v>73</v>
      </c>
      <c r="G556" t="s">
        <v>34</v>
      </c>
      <c r="H556">
        <v>0</v>
      </c>
      <c r="I556">
        <v>0</v>
      </c>
      <c r="J556">
        <v>0</v>
      </c>
      <c r="K556">
        <v>0</v>
      </c>
      <c r="L556">
        <v>12.126618158062699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3">
      <c r="A557">
        <v>51</v>
      </c>
      <c r="B557" t="s">
        <v>7</v>
      </c>
      <c r="C557">
        <v>65.607836271855703</v>
      </c>
      <c r="D557">
        <v>3.5</v>
      </c>
      <c r="F557">
        <v>73</v>
      </c>
      <c r="G557" t="s">
        <v>35</v>
      </c>
      <c r="H557">
        <v>0</v>
      </c>
      <c r="I557">
        <v>0</v>
      </c>
      <c r="J557">
        <v>0</v>
      </c>
      <c r="K557">
        <v>0</v>
      </c>
      <c r="L557">
        <v>12.126618158062699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3">
      <c r="A558">
        <v>51</v>
      </c>
      <c r="B558" t="s">
        <v>8</v>
      </c>
      <c r="C558">
        <v>79.0842754870622</v>
      </c>
      <c r="D558">
        <v>4</v>
      </c>
      <c r="F558">
        <v>73</v>
      </c>
      <c r="G558" t="s">
        <v>36</v>
      </c>
      <c r="H558">
        <v>0</v>
      </c>
      <c r="I558">
        <v>0</v>
      </c>
      <c r="J558">
        <v>0</v>
      </c>
      <c r="K558">
        <v>0</v>
      </c>
      <c r="L558">
        <v>12.126618158062699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3">
      <c r="A559">
        <v>51</v>
      </c>
      <c r="B559" t="s">
        <v>9</v>
      </c>
      <c r="C559">
        <v>82.062826817331995</v>
      </c>
      <c r="D559">
        <v>3.5448275862068899</v>
      </c>
      <c r="F559">
        <v>74</v>
      </c>
      <c r="G559" t="s">
        <v>25</v>
      </c>
      <c r="H559">
        <v>730</v>
      </c>
      <c r="I559">
        <v>730</v>
      </c>
      <c r="J559">
        <v>25.658904109588999</v>
      </c>
      <c r="K559">
        <v>101.51323851838001</v>
      </c>
      <c r="L559">
        <v>12.2355172344312</v>
      </c>
      <c r="M559">
        <v>247.18357546047201</v>
      </c>
      <c r="N559">
        <v>0</v>
      </c>
      <c r="O559">
        <v>0</v>
      </c>
      <c r="P559">
        <v>1378.6178179999999</v>
      </c>
      <c r="Q559">
        <v>1192.8753060399999</v>
      </c>
    </row>
    <row r="560" spans="1:17" x14ac:dyDescent="0.3">
      <c r="A560">
        <v>51</v>
      </c>
      <c r="B560" t="s">
        <v>10</v>
      </c>
      <c r="C560">
        <v>117.4499831243</v>
      </c>
      <c r="D560">
        <v>1.3891547049441699</v>
      </c>
      <c r="F560">
        <v>74</v>
      </c>
      <c r="G560" t="s">
        <v>26</v>
      </c>
      <c r="H560">
        <v>718</v>
      </c>
      <c r="I560">
        <v>718</v>
      </c>
      <c r="J560">
        <v>25.268802228412198</v>
      </c>
      <c r="K560">
        <v>100.894490210919</v>
      </c>
      <c r="L560">
        <v>12.2355172344312</v>
      </c>
      <c r="M560">
        <v>240.627296444096</v>
      </c>
      <c r="N560">
        <v>0</v>
      </c>
      <c r="O560">
        <v>0</v>
      </c>
      <c r="P560">
        <v>1361.8337119999901</v>
      </c>
      <c r="Q560">
        <v>1175.424318549</v>
      </c>
    </row>
    <row r="561" spans="1:17" x14ac:dyDescent="0.3">
      <c r="A561">
        <v>51</v>
      </c>
      <c r="B561" t="s">
        <v>11</v>
      </c>
      <c r="C561">
        <v>274.93652886692001</v>
      </c>
      <c r="D561">
        <v>4.0797546012269903</v>
      </c>
      <c r="F561">
        <v>74</v>
      </c>
      <c r="G561" t="s">
        <v>27</v>
      </c>
      <c r="H561">
        <v>711</v>
      </c>
      <c r="I561">
        <v>711</v>
      </c>
      <c r="J561">
        <v>24.992967651195499</v>
      </c>
      <c r="K561">
        <v>99.128570922396904</v>
      </c>
      <c r="L561">
        <v>12.2355172344312</v>
      </c>
      <c r="M561">
        <v>240.081446726709</v>
      </c>
      <c r="N561">
        <v>0</v>
      </c>
      <c r="O561">
        <v>0</v>
      </c>
      <c r="P561">
        <v>1342.0808019999899</v>
      </c>
      <c r="Q561">
        <v>1159.296157989</v>
      </c>
    </row>
    <row r="562" spans="1:17" x14ac:dyDescent="0.3">
      <c r="A562">
        <v>51</v>
      </c>
      <c r="B562" t="s">
        <v>12</v>
      </c>
      <c r="C562">
        <v>351.61227237286801</v>
      </c>
      <c r="D562">
        <v>4.5510688836104496</v>
      </c>
      <c r="F562">
        <v>74</v>
      </c>
      <c r="G562" t="s">
        <v>28</v>
      </c>
      <c r="H562">
        <v>476</v>
      </c>
      <c r="I562">
        <v>476</v>
      </c>
      <c r="J562">
        <v>23.716386554621799</v>
      </c>
      <c r="K562">
        <v>67.441375652485306</v>
      </c>
      <c r="L562">
        <v>12.2355172344312</v>
      </c>
      <c r="M562">
        <v>159.93000419585599</v>
      </c>
      <c r="N562">
        <v>0</v>
      </c>
      <c r="O562">
        <v>0</v>
      </c>
      <c r="P562">
        <v>891.98153199999899</v>
      </c>
      <c r="Q562">
        <v>770.29817624499901</v>
      </c>
    </row>
    <row r="563" spans="1:17" x14ac:dyDescent="0.3">
      <c r="A563">
        <v>51</v>
      </c>
      <c r="B563" t="s">
        <v>13</v>
      </c>
      <c r="C563">
        <v>354.327822297772</v>
      </c>
      <c r="D563">
        <v>1.36078431372549</v>
      </c>
      <c r="F563">
        <v>74</v>
      </c>
      <c r="G563" t="s">
        <v>29</v>
      </c>
      <c r="H563">
        <v>476</v>
      </c>
      <c r="I563">
        <v>476</v>
      </c>
      <c r="J563">
        <v>23.716386554621799</v>
      </c>
      <c r="K563">
        <v>66.703461999640993</v>
      </c>
      <c r="L563">
        <v>12.2355172344312</v>
      </c>
      <c r="M563">
        <v>161.16772482476</v>
      </c>
      <c r="N563">
        <v>0</v>
      </c>
      <c r="O563">
        <v>0</v>
      </c>
      <c r="P563">
        <v>856.55660999999998</v>
      </c>
      <c r="Q563">
        <v>742.54218999</v>
      </c>
    </row>
    <row r="564" spans="1:17" x14ac:dyDescent="0.3">
      <c r="A564">
        <v>52</v>
      </c>
      <c r="B564" t="s">
        <v>3</v>
      </c>
      <c r="C564">
        <v>15.581970964197</v>
      </c>
      <c r="D564">
        <v>4</v>
      </c>
      <c r="F564">
        <v>74</v>
      </c>
      <c r="G564" t="s">
        <v>30</v>
      </c>
      <c r="H564">
        <v>476</v>
      </c>
      <c r="I564">
        <v>476</v>
      </c>
      <c r="J564">
        <v>23.716386554621799</v>
      </c>
      <c r="K564">
        <v>67.076435678710396</v>
      </c>
      <c r="L564">
        <v>12.2355172344312</v>
      </c>
      <c r="M564">
        <v>162.32615855679799</v>
      </c>
      <c r="N564">
        <v>0</v>
      </c>
      <c r="O564">
        <v>0</v>
      </c>
      <c r="P564">
        <v>848.97318199999995</v>
      </c>
      <c r="Q564">
        <v>732.21279463400003</v>
      </c>
    </row>
    <row r="565" spans="1:17" x14ac:dyDescent="0.3">
      <c r="A565">
        <v>52</v>
      </c>
      <c r="B565" t="s">
        <v>4</v>
      </c>
      <c r="C565">
        <v>15.5482178573833</v>
      </c>
      <c r="D565">
        <v>3.5</v>
      </c>
      <c r="F565">
        <v>74</v>
      </c>
      <c r="G565" t="s">
        <v>31</v>
      </c>
      <c r="H565">
        <v>0</v>
      </c>
      <c r="I565">
        <v>0</v>
      </c>
      <c r="J565">
        <v>0</v>
      </c>
      <c r="K565">
        <v>0</v>
      </c>
      <c r="L565">
        <v>12.2355172344312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3">
      <c r="A566">
        <v>52</v>
      </c>
      <c r="B566" t="s">
        <v>5</v>
      </c>
      <c r="C566">
        <v>19.4158317409095</v>
      </c>
      <c r="D566">
        <v>4.9444444444444402</v>
      </c>
      <c r="F566">
        <v>74</v>
      </c>
      <c r="G566" t="s">
        <v>32</v>
      </c>
      <c r="H566">
        <v>0</v>
      </c>
      <c r="I566">
        <v>0</v>
      </c>
      <c r="J566">
        <v>0</v>
      </c>
      <c r="K566">
        <v>0</v>
      </c>
      <c r="L566">
        <v>12.2355172344312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3">
      <c r="A567">
        <v>52</v>
      </c>
      <c r="B567" t="s">
        <v>6</v>
      </c>
      <c r="C567">
        <v>64.880746370556096</v>
      </c>
      <c r="D567">
        <v>3.3135593220338899</v>
      </c>
      <c r="F567">
        <v>74</v>
      </c>
      <c r="G567" t="s">
        <v>33</v>
      </c>
      <c r="H567">
        <v>0</v>
      </c>
      <c r="I567">
        <v>0</v>
      </c>
      <c r="J567">
        <v>0</v>
      </c>
      <c r="K567">
        <v>0</v>
      </c>
      <c r="L567">
        <v>12.2355172344312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3">
      <c r="A568">
        <v>52</v>
      </c>
      <c r="B568" t="s">
        <v>7</v>
      </c>
      <c r="C568">
        <v>65.513341219175601</v>
      </c>
      <c r="D568">
        <v>3.6416666666666599</v>
      </c>
      <c r="F568">
        <v>74</v>
      </c>
      <c r="G568" t="s">
        <v>34</v>
      </c>
      <c r="H568">
        <v>0</v>
      </c>
      <c r="I568">
        <v>0</v>
      </c>
      <c r="J568">
        <v>0</v>
      </c>
      <c r="K568">
        <v>0</v>
      </c>
      <c r="L568">
        <v>12.2355172344312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3">
      <c r="A569">
        <v>52</v>
      </c>
      <c r="B569" t="s">
        <v>8</v>
      </c>
      <c r="C569">
        <v>79.193002849243896</v>
      </c>
      <c r="D569">
        <v>4</v>
      </c>
      <c r="F569">
        <v>74</v>
      </c>
      <c r="G569" t="s">
        <v>35</v>
      </c>
      <c r="H569">
        <v>0</v>
      </c>
      <c r="I569">
        <v>0</v>
      </c>
      <c r="J569">
        <v>0</v>
      </c>
      <c r="K569">
        <v>0</v>
      </c>
      <c r="L569">
        <v>12.2355172344312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3">
      <c r="A570">
        <v>52</v>
      </c>
      <c r="B570" t="s">
        <v>9</v>
      </c>
      <c r="C570">
        <v>80.909248342596101</v>
      </c>
      <c r="D570">
        <v>3.5</v>
      </c>
      <c r="F570">
        <v>74</v>
      </c>
      <c r="G570" t="s">
        <v>36</v>
      </c>
      <c r="H570">
        <v>0</v>
      </c>
      <c r="I570">
        <v>0</v>
      </c>
      <c r="J570">
        <v>0</v>
      </c>
      <c r="K570">
        <v>0</v>
      </c>
      <c r="L570">
        <v>12.2355172344312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3">
      <c r="A571">
        <v>52</v>
      </c>
      <c r="B571" t="s">
        <v>10</v>
      </c>
      <c r="C571">
        <v>117.803670549137</v>
      </c>
      <c r="D571">
        <v>1.6833046471600599</v>
      </c>
      <c r="F571">
        <v>75</v>
      </c>
      <c r="G571" t="s">
        <v>25</v>
      </c>
      <c r="H571">
        <v>1078</v>
      </c>
      <c r="I571">
        <v>1078</v>
      </c>
      <c r="J571">
        <v>37.6669758812615</v>
      </c>
      <c r="K571">
        <v>138.43806968731599</v>
      </c>
      <c r="L571">
        <v>15.757551112882</v>
      </c>
      <c r="M571">
        <v>368.54915257285802</v>
      </c>
      <c r="N571">
        <v>0</v>
      </c>
      <c r="O571">
        <v>0</v>
      </c>
      <c r="P571">
        <v>1860.9155599999899</v>
      </c>
      <c r="Q571">
        <v>1641.320534472</v>
      </c>
    </row>
    <row r="572" spans="1:17" x14ac:dyDescent="0.3">
      <c r="A572">
        <v>52</v>
      </c>
      <c r="B572" t="s">
        <v>11</v>
      </c>
      <c r="C572">
        <v>274.549218246902</v>
      </c>
      <c r="D572">
        <v>3.9858299595141702</v>
      </c>
      <c r="F572">
        <v>75</v>
      </c>
      <c r="G572" t="s">
        <v>26</v>
      </c>
      <c r="H572">
        <v>1067</v>
      </c>
      <c r="I572">
        <v>1067</v>
      </c>
      <c r="J572">
        <v>37.233364573570697</v>
      </c>
      <c r="K572">
        <v>136.98920652305901</v>
      </c>
      <c r="L572">
        <v>15.757551112882</v>
      </c>
      <c r="M572">
        <v>360.26614995875298</v>
      </c>
      <c r="N572">
        <v>0</v>
      </c>
      <c r="O572">
        <v>0</v>
      </c>
      <c r="P572">
        <v>1847.3857519999899</v>
      </c>
      <c r="Q572">
        <v>1624.62028894799</v>
      </c>
    </row>
    <row r="573" spans="1:17" x14ac:dyDescent="0.3">
      <c r="A573">
        <v>52</v>
      </c>
      <c r="B573" t="s">
        <v>12</v>
      </c>
      <c r="C573">
        <v>353.23028268469398</v>
      </c>
      <c r="D573">
        <v>4.5128205128205101</v>
      </c>
      <c r="F573">
        <v>75</v>
      </c>
      <c r="G573" t="s">
        <v>27</v>
      </c>
      <c r="H573">
        <v>714</v>
      </c>
      <c r="I573">
        <v>714</v>
      </c>
      <c r="J573">
        <v>35.275910364145602</v>
      </c>
      <c r="K573">
        <v>93.690606856092799</v>
      </c>
      <c r="L573">
        <v>15.757551112882</v>
      </c>
      <c r="M573">
        <v>241.93541955620501</v>
      </c>
      <c r="N573">
        <v>0</v>
      </c>
      <c r="O573">
        <v>0</v>
      </c>
      <c r="P573">
        <v>1263.6672659999899</v>
      </c>
      <c r="Q573">
        <v>1102.46619882499</v>
      </c>
    </row>
    <row r="574" spans="1:17" x14ac:dyDescent="0.3">
      <c r="A574">
        <v>52</v>
      </c>
      <c r="B574" t="s">
        <v>13</v>
      </c>
      <c r="C574">
        <v>352.21750175866799</v>
      </c>
      <c r="D574">
        <v>1.33877233877233</v>
      </c>
      <c r="F574">
        <v>75</v>
      </c>
      <c r="G574" t="s">
        <v>28</v>
      </c>
      <c r="H574">
        <v>714</v>
      </c>
      <c r="I574">
        <v>714</v>
      </c>
      <c r="J574">
        <v>35.275910364145602</v>
      </c>
      <c r="K574">
        <v>92.4285526010772</v>
      </c>
      <c r="L574">
        <v>15.757551112882</v>
      </c>
      <c r="M574">
        <v>242.5807136041</v>
      </c>
      <c r="N574">
        <v>0</v>
      </c>
      <c r="O574">
        <v>0</v>
      </c>
      <c r="P574">
        <v>1170.2600479999901</v>
      </c>
      <c r="Q574">
        <v>1018.952494395</v>
      </c>
    </row>
    <row r="575" spans="1:17" x14ac:dyDescent="0.3">
      <c r="A575">
        <v>53</v>
      </c>
      <c r="B575" t="s">
        <v>3</v>
      </c>
      <c r="C575">
        <v>15.255244147746501</v>
      </c>
      <c r="D575">
        <v>4</v>
      </c>
      <c r="F575">
        <v>75</v>
      </c>
      <c r="G575" t="s">
        <v>29</v>
      </c>
      <c r="H575">
        <v>0</v>
      </c>
      <c r="I575">
        <v>0</v>
      </c>
      <c r="J575">
        <v>0</v>
      </c>
      <c r="K575">
        <v>0</v>
      </c>
      <c r="L575">
        <v>15.757551112882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3">
      <c r="A576">
        <v>53</v>
      </c>
      <c r="B576" t="s">
        <v>4</v>
      </c>
      <c r="C576">
        <v>15.4385886782343</v>
      </c>
      <c r="D576">
        <v>3.5</v>
      </c>
      <c r="F576">
        <v>75</v>
      </c>
      <c r="G576" t="s">
        <v>30</v>
      </c>
      <c r="H576">
        <v>0</v>
      </c>
      <c r="I576">
        <v>0</v>
      </c>
      <c r="J576">
        <v>0</v>
      </c>
      <c r="K576">
        <v>0</v>
      </c>
      <c r="L576">
        <v>15.757551112882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3">
      <c r="A577">
        <v>53</v>
      </c>
      <c r="B577" t="s">
        <v>5</v>
      </c>
      <c r="C577">
        <v>19.687451619640999</v>
      </c>
      <c r="D577">
        <v>4.9722222222222197</v>
      </c>
      <c r="F577">
        <v>75</v>
      </c>
      <c r="G577" t="s">
        <v>31</v>
      </c>
      <c r="H577">
        <v>0</v>
      </c>
      <c r="I577">
        <v>0</v>
      </c>
      <c r="J577">
        <v>0</v>
      </c>
      <c r="K577">
        <v>0</v>
      </c>
      <c r="L577">
        <v>15.757551112882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3">
      <c r="A578">
        <v>53</v>
      </c>
      <c r="B578" t="s">
        <v>6</v>
      </c>
      <c r="C578">
        <v>64.859258784840407</v>
      </c>
      <c r="D578">
        <v>3.34745762711864</v>
      </c>
      <c r="F578">
        <v>75</v>
      </c>
      <c r="G578" t="s">
        <v>32</v>
      </c>
      <c r="H578">
        <v>0</v>
      </c>
      <c r="I578">
        <v>0</v>
      </c>
      <c r="J578">
        <v>0</v>
      </c>
      <c r="K578">
        <v>0</v>
      </c>
      <c r="L578">
        <v>15.757551112882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3">
      <c r="A579">
        <v>53</v>
      </c>
      <c r="B579" t="s">
        <v>7</v>
      </c>
      <c r="C579">
        <v>65.439050717461299</v>
      </c>
      <c r="D579">
        <v>3.625</v>
      </c>
      <c r="F579">
        <v>76</v>
      </c>
      <c r="G579" t="s">
        <v>25</v>
      </c>
      <c r="H579">
        <v>730</v>
      </c>
      <c r="I579">
        <v>730</v>
      </c>
      <c r="J579">
        <v>25.658904109588999</v>
      </c>
      <c r="K579">
        <v>101.085898075377</v>
      </c>
      <c r="L579">
        <v>12.376835865046401</v>
      </c>
      <c r="M579">
        <v>246.366798744844</v>
      </c>
      <c r="N579">
        <v>0</v>
      </c>
      <c r="O579">
        <v>0</v>
      </c>
      <c r="P579">
        <v>1361.1433919999999</v>
      </c>
      <c r="Q579">
        <v>1178.010827611</v>
      </c>
    </row>
    <row r="580" spans="1:17" x14ac:dyDescent="0.3">
      <c r="A580">
        <v>53</v>
      </c>
      <c r="B580" t="s">
        <v>8</v>
      </c>
      <c r="C580">
        <v>79.156692416320993</v>
      </c>
      <c r="D580">
        <v>4</v>
      </c>
      <c r="F580">
        <v>76</v>
      </c>
      <c r="G580" t="s">
        <v>26</v>
      </c>
      <c r="H580">
        <v>718</v>
      </c>
      <c r="I580">
        <v>718</v>
      </c>
      <c r="J580">
        <v>25.268802228412198</v>
      </c>
      <c r="K580">
        <v>100.214802636622</v>
      </c>
      <c r="L580">
        <v>12.376835865046401</v>
      </c>
      <c r="M580">
        <v>240.359089095108</v>
      </c>
      <c r="N580">
        <v>0</v>
      </c>
      <c r="O580">
        <v>0</v>
      </c>
      <c r="P580">
        <v>1360.0108579999901</v>
      </c>
      <c r="Q580">
        <v>1172.3155494590001</v>
      </c>
    </row>
    <row r="581" spans="1:17" x14ac:dyDescent="0.3">
      <c r="A581">
        <v>53</v>
      </c>
      <c r="B581" t="s">
        <v>9</v>
      </c>
      <c r="C581">
        <v>80.897430899313903</v>
      </c>
      <c r="D581">
        <v>3.5</v>
      </c>
      <c r="F581">
        <v>76</v>
      </c>
      <c r="G581" t="s">
        <v>27</v>
      </c>
      <c r="H581">
        <v>711</v>
      </c>
      <c r="I581">
        <v>711</v>
      </c>
      <c r="J581">
        <v>24.992967651195499</v>
      </c>
      <c r="K581">
        <v>99.618113972389096</v>
      </c>
      <c r="L581">
        <v>12.376835865046401</v>
      </c>
      <c r="M581">
        <v>242.36979002897701</v>
      </c>
      <c r="N581">
        <v>0</v>
      </c>
      <c r="O581">
        <v>0</v>
      </c>
      <c r="P581">
        <v>1356.7369209999899</v>
      </c>
      <c r="Q581">
        <v>1169.849186636</v>
      </c>
    </row>
    <row r="582" spans="1:17" x14ac:dyDescent="0.3">
      <c r="A582">
        <v>53</v>
      </c>
      <c r="B582" t="s">
        <v>10</v>
      </c>
      <c r="C582">
        <v>117.164802356789</v>
      </c>
      <c r="D582">
        <v>1.6712328767123199</v>
      </c>
      <c r="F582">
        <v>76</v>
      </c>
      <c r="G582" t="s">
        <v>28</v>
      </c>
      <c r="H582">
        <v>476</v>
      </c>
      <c r="I582">
        <v>476</v>
      </c>
      <c r="J582">
        <v>23.716386554621799</v>
      </c>
      <c r="K582">
        <v>67.456428950427807</v>
      </c>
      <c r="L582">
        <v>12.376835865046401</v>
      </c>
      <c r="M582">
        <v>160.39021274570999</v>
      </c>
      <c r="N582">
        <v>0</v>
      </c>
      <c r="O582">
        <v>0</v>
      </c>
      <c r="P582">
        <v>891.98153199999899</v>
      </c>
      <c r="Q582">
        <v>770.45336699099903</v>
      </c>
    </row>
    <row r="583" spans="1:17" x14ac:dyDescent="0.3">
      <c r="A583">
        <v>53</v>
      </c>
      <c r="B583" t="s">
        <v>11</v>
      </c>
      <c r="C583">
        <v>273.64425352869199</v>
      </c>
      <c r="D583">
        <v>3.9898989898989901</v>
      </c>
      <c r="F583">
        <v>76</v>
      </c>
      <c r="G583" t="s">
        <v>29</v>
      </c>
      <c r="H583">
        <v>476</v>
      </c>
      <c r="I583">
        <v>476</v>
      </c>
      <c r="J583">
        <v>23.716386554621799</v>
      </c>
      <c r="K583">
        <v>66.680553705546103</v>
      </c>
      <c r="L583">
        <v>12.376835865046401</v>
      </c>
      <c r="M583">
        <v>162.204330853442</v>
      </c>
      <c r="N583">
        <v>0</v>
      </c>
      <c r="O583">
        <v>0</v>
      </c>
      <c r="P583">
        <v>858.17208000000005</v>
      </c>
      <c r="Q583">
        <v>744.48316561499996</v>
      </c>
    </row>
    <row r="584" spans="1:17" x14ac:dyDescent="0.3">
      <c r="A584">
        <v>53</v>
      </c>
      <c r="B584" t="s">
        <v>12</v>
      </c>
      <c r="C584">
        <v>353.56234473048698</v>
      </c>
      <c r="D584">
        <v>4.5128205128205101</v>
      </c>
      <c r="F584">
        <v>76</v>
      </c>
      <c r="G584" t="s">
        <v>30</v>
      </c>
      <c r="H584">
        <v>476</v>
      </c>
      <c r="I584">
        <v>476</v>
      </c>
      <c r="J584">
        <v>23.716386554621799</v>
      </c>
      <c r="K584">
        <v>66.577150804911696</v>
      </c>
      <c r="L584">
        <v>12.376835865046401</v>
      </c>
      <c r="M584">
        <v>161.239693306465</v>
      </c>
      <c r="N584">
        <v>0</v>
      </c>
      <c r="O584">
        <v>0</v>
      </c>
      <c r="P584">
        <v>841.69387099999994</v>
      </c>
      <c r="Q584">
        <v>728.50125716599996</v>
      </c>
    </row>
    <row r="585" spans="1:17" x14ac:dyDescent="0.3">
      <c r="A585">
        <v>53</v>
      </c>
      <c r="B585" t="s">
        <v>13</v>
      </c>
      <c r="C585">
        <v>352.59849257446001</v>
      </c>
      <c r="D585">
        <v>1.33877233877233</v>
      </c>
      <c r="F585">
        <v>76</v>
      </c>
      <c r="G585" t="s">
        <v>31</v>
      </c>
      <c r="H585">
        <v>0</v>
      </c>
      <c r="I585">
        <v>0</v>
      </c>
      <c r="J585">
        <v>0</v>
      </c>
      <c r="K585">
        <v>0</v>
      </c>
      <c r="L585">
        <v>12.376835865046401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3">
      <c r="A586">
        <v>54</v>
      </c>
      <c r="B586" t="s">
        <v>3</v>
      </c>
      <c r="C586">
        <v>15.2867065372266</v>
      </c>
      <c r="D586">
        <v>4.32</v>
      </c>
      <c r="F586">
        <v>76</v>
      </c>
      <c r="G586" t="s">
        <v>32</v>
      </c>
      <c r="H586">
        <v>0</v>
      </c>
      <c r="I586">
        <v>0</v>
      </c>
      <c r="J586">
        <v>0</v>
      </c>
      <c r="K586">
        <v>0</v>
      </c>
      <c r="L586">
        <v>12.376835865046401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3">
      <c r="A587">
        <v>54</v>
      </c>
      <c r="B587" t="s">
        <v>4</v>
      </c>
      <c r="C587">
        <v>15.015127464654</v>
      </c>
      <c r="D587">
        <v>4.3846153846153797</v>
      </c>
      <c r="F587">
        <v>76</v>
      </c>
      <c r="G587" t="s">
        <v>33</v>
      </c>
      <c r="H587">
        <v>0</v>
      </c>
      <c r="I587">
        <v>0</v>
      </c>
      <c r="J587">
        <v>0</v>
      </c>
      <c r="K587">
        <v>0</v>
      </c>
      <c r="L587">
        <v>12.376835865046401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3">
      <c r="A588">
        <v>54</v>
      </c>
      <c r="B588" t="s">
        <v>5</v>
      </c>
      <c r="C588">
        <v>19.729471839205399</v>
      </c>
      <c r="D588">
        <v>4.5</v>
      </c>
      <c r="F588">
        <v>76</v>
      </c>
      <c r="G588" t="s">
        <v>34</v>
      </c>
      <c r="H588">
        <v>0</v>
      </c>
      <c r="I588">
        <v>0</v>
      </c>
      <c r="J588">
        <v>0</v>
      </c>
      <c r="K588">
        <v>0</v>
      </c>
      <c r="L588">
        <v>12.376835865046401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3">
      <c r="A589">
        <v>54</v>
      </c>
      <c r="B589" t="s">
        <v>6</v>
      </c>
      <c r="C589">
        <v>64.249906369119003</v>
      </c>
      <c r="D589">
        <v>4.0862068965517198</v>
      </c>
      <c r="F589">
        <v>76</v>
      </c>
      <c r="G589" t="s">
        <v>35</v>
      </c>
      <c r="H589">
        <v>0</v>
      </c>
      <c r="I589">
        <v>0</v>
      </c>
      <c r="J589">
        <v>0</v>
      </c>
      <c r="K589">
        <v>0</v>
      </c>
      <c r="L589">
        <v>12.376835865046401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3">
      <c r="A590">
        <v>54</v>
      </c>
      <c r="B590" t="s">
        <v>7</v>
      </c>
      <c r="C590">
        <v>65.991945645810304</v>
      </c>
      <c r="D590">
        <v>3.5</v>
      </c>
      <c r="F590">
        <v>76</v>
      </c>
      <c r="G590" t="s">
        <v>36</v>
      </c>
      <c r="H590">
        <v>0</v>
      </c>
      <c r="I590">
        <v>0</v>
      </c>
      <c r="J590">
        <v>0</v>
      </c>
      <c r="K590">
        <v>0</v>
      </c>
      <c r="L590">
        <v>12.376835865046401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3">
      <c r="A591">
        <v>54</v>
      </c>
      <c r="B591" t="s">
        <v>8</v>
      </c>
      <c r="C591">
        <v>79.246224853025296</v>
      </c>
      <c r="D591">
        <v>4</v>
      </c>
      <c r="F591">
        <v>77</v>
      </c>
      <c r="G591" t="s">
        <v>25</v>
      </c>
      <c r="H591">
        <v>730</v>
      </c>
      <c r="I591">
        <v>730</v>
      </c>
      <c r="J591">
        <v>25.658904109588999</v>
      </c>
      <c r="K591">
        <v>101.82639719287999</v>
      </c>
      <c r="L591">
        <v>12.118137413198699</v>
      </c>
      <c r="M591">
        <v>246.62938339717101</v>
      </c>
      <c r="N591">
        <v>0</v>
      </c>
      <c r="O591">
        <v>0</v>
      </c>
      <c r="P591">
        <v>1376.9399980000001</v>
      </c>
      <c r="Q591">
        <v>1192.029432821</v>
      </c>
    </row>
    <row r="592" spans="1:17" x14ac:dyDescent="0.3">
      <c r="A592">
        <v>54</v>
      </c>
      <c r="B592" t="s">
        <v>9</v>
      </c>
      <c r="C592">
        <v>81.171126318424101</v>
      </c>
      <c r="D592">
        <v>3.5448275862068899</v>
      </c>
      <c r="F592">
        <v>77</v>
      </c>
      <c r="G592" t="s">
        <v>26</v>
      </c>
      <c r="H592">
        <v>718</v>
      </c>
      <c r="I592">
        <v>718</v>
      </c>
      <c r="J592">
        <v>25.268802228412198</v>
      </c>
      <c r="K592">
        <v>100.196080693996</v>
      </c>
      <c r="L592">
        <v>12.118137413198699</v>
      </c>
      <c r="M592">
        <v>241.70199185735299</v>
      </c>
      <c r="N592">
        <v>0</v>
      </c>
      <c r="O592">
        <v>0</v>
      </c>
      <c r="P592">
        <v>1362.2630799999899</v>
      </c>
      <c r="Q592">
        <v>1173.6272464379999</v>
      </c>
    </row>
    <row r="593" spans="1:17" x14ac:dyDescent="0.3">
      <c r="A593">
        <v>54</v>
      </c>
      <c r="B593" t="s">
        <v>10</v>
      </c>
      <c r="C593">
        <v>118.039482980842</v>
      </c>
      <c r="D593">
        <v>1.3891547049441699</v>
      </c>
      <c r="F593">
        <v>77</v>
      </c>
      <c r="G593" t="s">
        <v>27</v>
      </c>
      <c r="H593">
        <v>711</v>
      </c>
      <c r="I593">
        <v>711</v>
      </c>
      <c r="J593">
        <v>24.992967651195499</v>
      </c>
      <c r="K593">
        <v>99.747733351959496</v>
      </c>
      <c r="L593">
        <v>12.118137413198699</v>
      </c>
      <c r="M593">
        <v>241.54090222214501</v>
      </c>
      <c r="N593">
        <v>0</v>
      </c>
      <c r="O593">
        <v>0</v>
      </c>
      <c r="P593">
        <v>1356.7343919999901</v>
      </c>
      <c r="Q593">
        <v>1171.15041776</v>
      </c>
    </row>
    <row r="594" spans="1:17" x14ac:dyDescent="0.3">
      <c r="A594">
        <v>54</v>
      </c>
      <c r="B594" t="s">
        <v>11</v>
      </c>
      <c r="C594">
        <v>275.10233275327198</v>
      </c>
      <c r="D594">
        <v>4.0797546012269903</v>
      </c>
      <c r="F594">
        <v>77</v>
      </c>
      <c r="G594" t="s">
        <v>28</v>
      </c>
      <c r="H594">
        <v>476</v>
      </c>
      <c r="I594">
        <v>476</v>
      </c>
      <c r="J594">
        <v>23.716386554621799</v>
      </c>
      <c r="K594">
        <v>67.257361991191502</v>
      </c>
      <c r="L594">
        <v>12.118137413198699</v>
      </c>
      <c r="M594">
        <v>159.757070106291</v>
      </c>
      <c r="N594">
        <v>0</v>
      </c>
      <c r="O594">
        <v>0</v>
      </c>
      <c r="P594">
        <v>893.60305199999902</v>
      </c>
      <c r="Q594">
        <v>771.55962119999901</v>
      </c>
    </row>
    <row r="595" spans="1:17" x14ac:dyDescent="0.3">
      <c r="A595">
        <v>54</v>
      </c>
      <c r="B595" t="s">
        <v>12</v>
      </c>
      <c r="C595">
        <v>353.03598764904399</v>
      </c>
      <c r="D595">
        <v>4.5510688836104496</v>
      </c>
      <c r="F595">
        <v>77</v>
      </c>
      <c r="G595" t="s">
        <v>29</v>
      </c>
      <c r="H595">
        <v>476</v>
      </c>
      <c r="I595">
        <v>476</v>
      </c>
      <c r="J595">
        <v>23.716386554621799</v>
      </c>
      <c r="K595">
        <v>66.655889199147893</v>
      </c>
      <c r="L595">
        <v>12.118137413198699</v>
      </c>
      <c r="M595">
        <v>161.05078975018901</v>
      </c>
      <c r="N595">
        <v>0</v>
      </c>
      <c r="O595">
        <v>0</v>
      </c>
      <c r="P595">
        <v>858.17208000000005</v>
      </c>
      <c r="Q595">
        <v>744.11920679499997</v>
      </c>
    </row>
    <row r="596" spans="1:17" x14ac:dyDescent="0.3">
      <c r="A596">
        <v>54</v>
      </c>
      <c r="B596" t="s">
        <v>13</v>
      </c>
      <c r="C596">
        <v>351.33405167945199</v>
      </c>
      <c r="D596">
        <v>1.36078431372549</v>
      </c>
      <c r="F596">
        <v>77</v>
      </c>
      <c r="G596" t="s">
        <v>30</v>
      </c>
      <c r="H596">
        <v>476</v>
      </c>
      <c r="I596">
        <v>476</v>
      </c>
      <c r="J596">
        <v>23.716386554621799</v>
      </c>
      <c r="K596">
        <v>66.966115272153104</v>
      </c>
      <c r="L596">
        <v>12.118137413198699</v>
      </c>
      <c r="M596">
        <v>161.13360398671699</v>
      </c>
      <c r="N596">
        <v>0</v>
      </c>
      <c r="O596">
        <v>0</v>
      </c>
      <c r="P596">
        <v>848.97318199999995</v>
      </c>
      <c r="Q596">
        <v>732.02845712800001</v>
      </c>
    </row>
    <row r="597" spans="1:17" x14ac:dyDescent="0.3">
      <c r="A597">
        <v>55</v>
      </c>
      <c r="B597" t="s">
        <v>3</v>
      </c>
      <c r="C597">
        <v>15.372979076396801</v>
      </c>
      <c r="D597">
        <v>4.32</v>
      </c>
      <c r="F597">
        <v>77</v>
      </c>
      <c r="G597" t="s">
        <v>31</v>
      </c>
      <c r="H597">
        <v>0</v>
      </c>
      <c r="I597">
        <v>0</v>
      </c>
      <c r="J597">
        <v>0</v>
      </c>
      <c r="K597">
        <v>0</v>
      </c>
      <c r="L597">
        <v>12.118137413198699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3">
      <c r="A598">
        <v>55</v>
      </c>
      <c r="B598" t="s">
        <v>4</v>
      </c>
      <c r="C598">
        <v>15.3020427343489</v>
      </c>
      <c r="D598">
        <v>4.3846153846153797</v>
      </c>
      <c r="F598">
        <v>77</v>
      </c>
      <c r="G598" t="s">
        <v>32</v>
      </c>
      <c r="H598">
        <v>0</v>
      </c>
      <c r="I598">
        <v>0</v>
      </c>
      <c r="J598">
        <v>0</v>
      </c>
      <c r="K598">
        <v>0</v>
      </c>
      <c r="L598">
        <v>12.118137413198699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3">
      <c r="A599">
        <v>55</v>
      </c>
      <c r="B599" t="s">
        <v>5</v>
      </c>
      <c r="C599">
        <v>19.3098516403169</v>
      </c>
      <c r="D599">
        <v>4.5</v>
      </c>
      <c r="F599">
        <v>77</v>
      </c>
      <c r="G599" t="s">
        <v>33</v>
      </c>
      <c r="H599">
        <v>0</v>
      </c>
      <c r="I599">
        <v>0</v>
      </c>
      <c r="J599">
        <v>0</v>
      </c>
      <c r="K599">
        <v>0</v>
      </c>
      <c r="L599">
        <v>12.118137413198699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3">
      <c r="A600">
        <v>55</v>
      </c>
      <c r="B600" t="s">
        <v>6</v>
      </c>
      <c r="C600">
        <v>64.564162051277805</v>
      </c>
      <c r="D600">
        <v>4.0862068965517198</v>
      </c>
      <c r="F600">
        <v>77</v>
      </c>
      <c r="G600" t="s">
        <v>34</v>
      </c>
      <c r="H600">
        <v>0</v>
      </c>
      <c r="I600">
        <v>0</v>
      </c>
      <c r="J600">
        <v>0</v>
      </c>
      <c r="K600">
        <v>0</v>
      </c>
      <c r="L600">
        <v>12.118137413198699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3">
      <c r="A601">
        <v>55</v>
      </c>
      <c r="B601" t="s">
        <v>7</v>
      </c>
      <c r="C601">
        <v>64.924155839045397</v>
      </c>
      <c r="D601">
        <v>3.5</v>
      </c>
      <c r="F601">
        <v>77</v>
      </c>
      <c r="G601" t="s">
        <v>35</v>
      </c>
      <c r="H601">
        <v>0</v>
      </c>
      <c r="I601">
        <v>0</v>
      </c>
      <c r="J601">
        <v>0</v>
      </c>
      <c r="K601">
        <v>0</v>
      </c>
      <c r="L601">
        <v>12.118137413198699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3">
      <c r="A602">
        <v>55</v>
      </c>
      <c r="B602" t="s">
        <v>8</v>
      </c>
      <c r="C602">
        <v>78.851394248504803</v>
      </c>
      <c r="D602">
        <v>4</v>
      </c>
      <c r="F602">
        <v>77</v>
      </c>
      <c r="G602" t="s">
        <v>36</v>
      </c>
      <c r="H602">
        <v>0</v>
      </c>
      <c r="I602">
        <v>0</v>
      </c>
      <c r="J602">
        <v>0</v>
      </c>
      <c r="K602">
        <v>0</v>
      </c>
      <c r="L602">
        <v>12.118137413198699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">
      <c r="A603">
        <v>55</v>
      </c>
      <c r="B603" t="s">
        <v>9</v>
      </c>
      <c r="C603">
        <v>81.7287768208502</v>
      </c>
      <c r="D603">
        <v>3.5448275862068899</v>
      </c>
      <c r="F603">
        <v>78</v>
      </c>
      <c r="G603" t="s">
        <v>25</v>
      </c>
      <c r="H603">
        <v>730</v>
      </c>
      <c r="I603">
        <v>730</v>
      </c>
      <c r="J603">
        <v>25.658904109588999</v>
      </c>
      <c r="K603">
        <v>101.05541134766599</v>
      </c>
      <c r="L603">
        <v>12.267244964281099</v>
      </c>
      <c r="M603">
        <v>245.24938871238101</v>
      </c>
      <c r="N603">
        <v>0</v>
      </c>
      <c r="O603">
        <v>0</v>
      </c>
      <c r="P603">
        <v>1362.5289029999999</v>
      </c>
      <c r="Q603">
        <v>1180.506163218</v>
      </c>
    </row>
    <row r="604" spans="1:17" x14ac:dyDescent="0.3">
      <c r="A604">
        <v>55</v>
      </c>
      <c r="B604" t="s">
        <v>10</v>
      </c>
      <c r="C604">
        <v>117.597668470833</v>
      </c>
      <c r="D604">
        <v>1.3891547049441699</v>
      </c>
      <c r="F604">
        <v>78</v>
      </c>
      <c r="G604" t="s">
        <v>26</v>
      </c>
      <c r="H604">
        <v>718</v>
      </c>
      <c r="I604">
        <v>718</v>
      </c>
      <c r="J604">
        <v>25.268802228412198</v>
      </c>
      <c r="K604">
        <v>100.522969225922</v>
      </c>
      <c r="L604">
        <v>12.267244964281099</v>
      </c>
      <c r="M604">
        <v>241.32580645285699</v>
      </c>
      <c r="N604">
        <v>0</v>
      </c>
      <c r="O604">
        <v>0</v>
      </c>
      <c r="P604">
        <v>1361.0148489999899</v>
      </c>
      <c r="Q604">
        <v>1174.191490228</v>
      </c>
    </row>
    <row r="605" spans="1:17" x14ac:dyDescent="0.3">
      <c r="A605">
        <v>55</v>
      </c>
      <c r="B605" t="s">
        <v>11</v>
      </c>
      <c r="C605">
        <v>273.516085602045</v>
      </c>
      <c r="D605">
        <v>4.0797546012269903</v>
      </c>
      <c r="F605">
        <v>78</v>
      </c>
      <c r="G605" t="s">
        <v>27</v>
      </c>
      <c r="H605">
        <v>711</v>
      </c>
      <c r="I605">
        <v>711</v>
      </c>
      <c r="J605">
        <v>24.992967651195499</v>
      </c>
      <c r="K605">
        <v>100.023245737407</v>
      </c>
      <c r="L605">
        <v>12.267244964281099</v>
      </c>
      <c r="M605">
        <v>242.902855752086</v>
      </c>
      <c r="N605">
        <v>0</v>
      </c>
      <c r="O605">
        <v>0</v>
      </c>
      <c r="P605">
        <v>1356.9762599999899</v>
      </c>
      <c r="Q605">
        <v>1171.0569828160001</v>
      </c>
    </row>
    <row r="606" spans="1:17" x14ac:dyDescent="0.3">
      <c r="A606">
        <v>55</v>
      </c>
      <c r="B606" t="s">
        <v>12</v>
      </c>
      <c r="C606">
        <v>353.55013956523698</v>
      </c>
      <c r="D606">
        <v>4.5510688836104496</v>
      </c>
      <c r="F606">
        <v>78</v>
      </c>
      <c r="G606" t="s">
        <v>28</v>
      </c>
      <c r="H606">
        <v>476</v>
      </c>
      <c r="I606">
        <v>476</v>
      </c>
      <c r="J606">
        <v>23.716386554621799</v>
      </c>
      <c r="K606">
        <v>67.388636137212899</v>
      </c>
      <c r="L606">
        <v>12.267244964281099</v>
      </c>
      <c r="M606">
        <v>161.75020204295399</v>
      </c>
      <c r="N606">
        <v>0</v>
      </c>
      <c r="O606">
        <v>0</v>
      </c>
      <c r="P606">
        <v>891.77978699999903</v>
      </c>
      <c r="Q606">
        <v>770.44947739299903</v>
      </c>
    </row>
    <row r="607" spans="1:17" x14ac:dyDescent="0.3">
      <c r="A607">
        <v>55</v>
      </c>
      <c r="B607" t="s">
        <v>13</v>
      </c>
      <c r="C607">
        <v>353.60116420341302</v>
      </c>
      <c r="D607">
        <v>1.36078431372549</v>
      </c>
      <c r="F607">
        <v>78</v>
      </c>
      <c r="G607" t="s">
        <v>29</v>
      </c>
      <c r="H607">
        <v>476</v>
      </c>
      <c r="I607">
        <v>476</v>
      </c>
      <c r="J607">
        <v>23.716386554621799</v>
      </c>
      <c r="K607">
        <v>66.884479780123101</v>
      </c>
      <c r="L607">
        <v>12.267244964281099</v>
      </c>
      <c r="M607">
        <v>161.27803466022999</v>
      </c>
      <c r="N607">
        <v>0</v>
      </c>
      <c r="O607">
        <v>0</v>
      </c>
      <c r="P607">
        <v>856.92559800000004</v>
      </c>
      <c r="Q607">
        <v>743.25230834700005</v>
      </c>
    </row>
    <row r="608" spans="1:17" x14ac:dyDescent="0.3">
      <c r="A608">
        <v>56</v>
      </c>
      <c r="B608" t="s">
        <v>3</v>
      </c>
      <c r="C608">
        <v>15.1358884087806</v>
      </c>
      <c r="D608">
        <v>4</v>
      </c>
      <c r="F608">
        <v>78</v>
      </c>
      <c r="G608" t="s">
        <v>30</v>
      </c>
      <c r="H608">
        <v>476</v>
      </c>
      <c r="I608">
        <v>476</v>
      </c>
      <c r="J608">
        <v>23.716386554621799</v>
      </c>
      <c r="K608">
        <v>66.951023642243797</v>
      </c>
      <c r="L608">
        <v>12.267244964281099</v>
      </c>
      <c r="M608">
        <v>161.95096384331899</v>
      </c>
      <c r="N608">
        <v>0</v>
      </c>
      <c r="O608">
        <v>0</v>
      </c>
      <c r="P608">
        <v>847.18018600000005</v>
      </c>
      <c r="Q608">
        <v>730.59027601000003</v>
      </c>
    </row>
    <row r="609" spans="1:17" x14ac:dyDescent="0.3">
      <c r="A609">
        <v>56</v>
      </c>
      <c r="B609" t="s">
        <v>4</v>
      </c>
      <c r="C609">
        <v>15.732465767053901</v>
      </c>
      <c r="D609">
        <v>3.5</v>
      </c>
      <c r="F609">
        <v>78</v>
      </c>
      <c r="G609" t="s">
        <v>31</v>
      </c>
      <c r="H609">
        <v>0</v>
      </c>
      <c r="I609">
        <v>0</v>
      </c>
      <c r="J609">
        <v>0</v>
      </c>
      <c r="K609">
        <v>0</v>
      </c>
      <c r="L609">
        <v>12.267244964281099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3">
      <c r="A610">
        <v>56</v>
      </c>
      <c r="B610" t="s">
        <v>5</v>
      </c>
      <c r="C610">
        <v>19.798258395965799</v>
      </c>
      <c r="D610">
        <v>5</v>
      </c>
      <c r="F610">
        <v>78</v>
      </c>
      <c r="G610" t="s">
        <v>32</v>
      </c>
      <c r="H610">
        <v>0</v>
      </c>
      <c r="I610">
        <v>0</v>
      </c>
      <c r="J610">
        <v>0</v>
      </c>
      <c r="K610">
        <v>0</v>
      </c>
      <c r="L610">
        <v>12.267244964281099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3">
      <c r="A611">
        <v>56</v>
      </c>
      <c r="B611" t="s">
        <v>6</v>
      </c>
      <c r="C611">
        <v>64.308812678462104</v>
      </c>
      <c r="D611">
        <v>3.3135593220338899</v>
      </c>
      <c r="F611">
        <v>78</v>
      </c>
      <c r="G611" t="s">
        <v>33</v>
      </c>
      <c r="H611">
        <v>0</v>
      </c>
      <c r="I611">
        <v>0</v>
      </c>
      <c r="J611">
        <v>0</v>
      </c>
      <c r="K611">
        <v>0</v>
      </c>
      <c r="L611">
        <v>12.267244964281099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3">
      <c r="A612">
        <v>56</v>
      </c>
      <c r="B612" t="s">
        <v>7</v>
      </c>
      <c r="C612">
        <v>65.7515387032566</v>
      </c>
      <c r="D612">
        <v>3.6083333333333298</v>
      </c>
      <c r="F612">
        <v>78</v>
      </c>
      <c r="G612" t="s">
        <v>34</v>
      </c>
      <c r="H612">
        <v>0</v>
      </c>
      <c r="I612">
        <v>0</v>
      </c>
      <c r="J612">
        <v>0</v>
      </c>
      <c r="K612">
        <v>0</v>
      </c>
      <c r="L612">
        <v>12.267244964281099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3">
      <c r="A613">
        <v>56</v>
      </c>
      <c r="B613" t="s">
        <v>8</v>
      </c>
      <c r="C613">
        <v>78.5488149699069</v>
      </c>
      <c r="D613">
        <v>4</v>
      </c>
      <c r="F613">
        <v>78</v>
      </c>
      <c r="G613" t="s">
        <v>35</v>
      </c>
      <c r="H613">
        <v>0</v>
      </c>
      <c r="I613">
        <v>0</v>
      </c>
      <c r="J613">
        <v>0</v>
      </c>
      <c r="K613">
        <v>0</v>
      </c>
      <c r="L613">
        <v>12.267244964281099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3">
      <c r="A614">
        <v>56</v>
      </c>
      <c r="B614" t="s">
        <v>9</v>
      </c>
      <c r="C614">
        <v>81.059424266776006</v>
      </c>
      <c r="D614">
        <v>3.5</v>
      </c>
      <c r="F614">
        <v>78</v>
      </c>
      <c r="G614" t="s">
        <v>36</v>
      </c>
      <c r="H614">
        <v>0</v>
      </c>
      <c r="I614">
        <v>0</v>
      </c>
      <c r="J614">
        <v>0</v>
      </c>
      <c r="K614">
        <v>0</v>
      </c>
      <c r="L614">
        <v>12.267244964281099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3">
      <c r="A615">
        <v>56</v>
      </c>
      <c r="B615" t="s">
        <v>10</v>
      </c>
      <c r="C615">
        <v>117.38205294875701</v>
      </c>
      <c r="D615">
        <v>1.66156462585034</v>
      </c>
      <c r="F615">
        <v>79</v>
      </c>
      <c r="G615" t="s">
        <v>25</v>
      </c>
      <c r="H615">
        <v>730</v>
      </c>
      <c r="I615">
        <v>730</v>
      </c>
      <c r="J615">
        <v>25.658904109588999</v>
      </c>
      <c r="K615">
        <v>101.066899534569</v>
      </c>
      <c r="L615">
        <v>12.1322592201583</v>
      </c>
      <c r="M615">
        <v>246.14016155861</v>
      </c>
      <c r="N615">
        <v>0</v>
      </c>
      <c r="O615">
        <v>0</v>
      </c>
      <c r="P615">
        <v>1369.8508650000001</v>
      </c>
      <c r="Q615">
        <v>1189.9729322210001</v>
      </c>
    </row>
    <row r="616" spans="1:17" x14ac:dyDescent="0.3">
      <c r="A616">
        <v>56</v>
      </c>
      <c r="B616" t="s">
        <v>11</v>
      </c>
      <c r="C616">
        <v>273.246418844792</v>
      </c>
      <c r="D616">
        <v>3.9898989898989901</v>
      </c>
      <c r="F616">
        <v>79</v>
      </c>
      <c r="G616" t="s">
        <v>26</v>
      </c>
      <c r="H616">
        <v>718</v>
      </c>
      <c r="I616">
        <v>718</v>
      </c>
      <c r="J616">
        <v>25.268802228412198</v>
      </c>
      <c r="K616">
        <v>100.05322925206799</v>
      </c>
      <c r="L616">
        <v>12.1322592201583</v>
      </c>
      <c r="M616">
        <v>240.34770477005301</v>
      </c>
      <c r="N616">
        <v>0</v>
      </c>
      <c r="O616">
        <v>0</v>
      </c>
      <c r="P616">
        <v>1360.0108579999901</v>
      </c>
      <c r="Q616">
        <v>1171.8842210580001</v>
      </c>
    </row>
    <row r="617" spans="1:17" x14ac:dyDescent="0.3">
      <c r="A617">
        <v>56</v>
      </c>
      <c r="B617" t="s">
        <v>12</v>
      </c>
      <c r="C617">
        <v>352.38916559772201</v>
      </c>
      <c r="D617">
        <v>4.5244755244755197</v>
      </c>
      <c r="F617">
        <v>79</v>
      </c>
      <c r="G617" t="s">
        <v>27</v>
      </c>
      <c r="H617">
        <v>711</v>
      </c>
      <c r="I617">
        <v>711</v>
      </c>
      <c r="J617">
        <v>24.992967651195499</v>
      </c>
      <c r="K617">
        <v>99.652950707214401</v>
      </c>
      <c r="L617">
        <v>12.1322592201583</v>
      </c>
      <c r="M617">
        <v>240.71223686188301</v>
      </c>
      <c r="N617">
        <v>0</v>
      </c>
      <c r="O617">
        <v>0</v>
      </c>
      <c r="P617">
        <v>1357.51275099999</v>
      </c>
      <c r="Q617">
        <v>1171.2328859249999</v>
      </c>
    </row>
    <row r="618" spans="1:17" x14ac:dyDescent="0.3">
      <c r="A618">
        <v>56</v>
      </c>
      <c r="B618" t="s">
        <v>13</v>
      </c>
      <c r="C618">
        <v>352.47682810752002</v>
      </c>
      <c r="D618">
        <v>1.33877233877233</v>
      </c>
      <c r="F618">
        <v>79</v>
      </c>
      <c r="G618" t="s">
        <v>28</v>
      </c>
      <c r="H618">
        <v>476</v>
      </c>
      <c r="I618">
        <v>476</v>
      </c>
      <c r="J618">
        <v>23.716386554621799</v>
      </c>
      <c r="K618">
        <v>67.488199406561094</v>
      </c>
      <c r="L618">
        <v>12.1322592201583</v>
      </c>
      <c r="M618">
        <v>160.050319657481</v>
      </c>
      <c r="N618">
        <v>0</v>
      </c>
      <c r="O618">
        <v>0</v>
      </c>
      <c r="P618">
        <v>891.98153199999899</v>
      </c>
      <c r="Q618">
        <v>769.83253276399898</v>
      </c>
    </row>
    <row r="619" spans="1:17" x14ac:dyDescent="0.3">
      <c r="A619">
        <v>57</v>
      </c>
      <c r="B619" t="s">
        <v>3</v>
      </c>
      <c r="C619">
        <v>15.264526420971601</v>
      </c>
      <c r="D619">
        <v>4</v>
      </c>
      <c r="F619">
        <v>79</v>
      </c>
      <c r="G619" t="s">
        <v>29</v>
      </c>
      <c r="H619">
        <v>476</v>
      </c>
      <c r="I619">
        <v>476</v>
      </c>
      <c r="J619">
        <v>23.716386554621799</v>
      </c>
      <c r="K619">
        <v>67.369800284162096</v>
      </c>
      <c r="L619">
        <v>12.1322592201583</v>
      </c>
      <c r="M619">
        <v>162.83047094972</v>
      </c>
      <c r="N619">
        <v>0</v>
      </c>
      <c r="O619">
        <v>0</v>
      </c>
      <c r="P619">
        <v>876.41951600000004</v>
      </c>
      <c r="Q619">
        <v>758.51658738100002</v>
      </c>
    </row>
    <row r="620" spans="1:17" x14ac:dyDescent="0.3">
      <c r="A620">
        <v>57</v>
      </c>
      <c r="B620" t="s">
        <v>4</v>
      </c>
      <c r="C620">
        <v>15.4240661092875</v>
      </c>
      <c r="D620">
        <v>3.5</v>
      </c>
      <c r="F620">
        <v>79</v>
      </c>
      <c r="G620" t="s">
        <v>30</v>
      </c>
      <c r="H620">
        <v>476</v>
      </c>
      <c r="I620">
        <v>476</v>
      </c>
      <c r="J620">
        <v>23.716386554621799</v>
      </c>
      <c r="K620">
        <v>67.098730197779403</v>
      </c>
      <c r="L620">
        <v>12.1322592201583</v>
      </c>
      <c r="M620">
        <v>163.14502821808699</v>
      </c>
      <c r="N620">
        <v>0</v>
      </c>
      <c r="O620">
        <v>0</v>
      </c>
      <c r="P620">
        <v>848.95512699999995</v>
      </c>
      <c r="Q620">
        <v>732.35079726699996</v>
      </c>
    </row>
    <row r="621" spans="1:17" x14ac:dyDescent="0.3">
      <c r="A621">
        <v>57</v>
      </c>
      <c r="B621" t="s">
        <v>5</v>
      </c>
      <c r="C621">
        <v>19.343335032864601</v>
      </c>
      <c r="D621">
        <v>4.8888888888888804</v>
      </c>
      <c r="F621">
        <v>79</v>
      </c>
      <c r="G621" t="s">
        <v>31</v>
      </c>
      <c r="H621">
        <v>0</v>
      </c>
      <c r="I621">
        <v>0</v>
      </c>
      <c r="J621">
        <v>0</v>
      </c>
      <c r="K621">
        <v>0</v>
      </c>
      <c r="L621">
        <v>12.1322592201583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3">
      <c r="A622">
        <v>57</v>
      </c>
      <c r="B622" t="s">
        <v>6</v>
      </c>
      <c r="C622">
        <v>65.214888041396094</v>
      </c>
      <c r="D622">
        <v>3.3389830508474501</v>
      </c>
      <c r="F622">
        <v>79</v>
      </c>
      <c r="G622" t="s">
        <v>32</v>
      </c>
      <c r="H622">
        <v>0</v>
      </c>
      <c r="I622">
        <v>0</v>
      </c>
      <c r="J622">
        <v>0</v>
      </c>
      <c r="K622">
        <v>0</v>
      </c>
      <c r="L622">
        <v>12.1322592201583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3">
      <c r="A623">
        <v>57</v>
      </c>
      <c r="B623" t="s">
        <v>7</v>
      </c>
      <c r="C623">
        <v>65.139459156053803</v>
      </c>
      <c r="D623">
        <v>3.6083333333333298</v>
      </c>
      <c r="F623">
        <v>79</v>
      </c>
      <c r="G623" t="s">
        <v>33</v>
      </c>
      <c r="H623">
        <v>0</v>
      </c>
      <c r="I623">
        <v>0</v>
      </c>
      <c r="J623">
        <v>0</v>
      </c>
      <c r="K623">
        <v>0</v>
      </c>
      <c r="L623">
        <v>12.1322592201583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3">
      <c r="A624">
        <v>57</v>
      </c>
      <c r="B624" t="s">
        <v>8</v>
      </c>
      <c r="C624">
        <v>78.443553832940793</v>
      </c>
      <c r="D624">
        <v>4</v>
      </c>
      <c r="F624">
        <v>79</v>
      </c>
      <c r="G624" t="s">
        <v>34</v>
      </c>
      <c r="H624">
        <v>0</v>
      </c>
      <c r="I624">
        <v>0</v>
      </c>
      <c r="J624">
        <v>0</v>
      </c>
      <c r="K624">
        <v>0</v>
      </c>
      <c r="L624">
        <v>12.1322592201583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3">
      <c r="A625">
        <v>57</v>
      </c>
      <c r="B625" t="s">
        <v>9</v>
      </c>
      <c r="C625">
        <v>80.5231297401115</v>
      </c>
      <c r="D625">
        <v>3.5</v>
      </c>
      <c r="F625">
        <v>79</v>
      </c>
      <c r="G625" t="s">
        <v>35</v>
      </c>
      <c r="H625">
        <v>0</v>
      </c>
      <c r="I625">
        <v>0</v>
      </c>
      <c r="J625">
        <v>0</v>
      </c>
      <c r="K625">
        <v>0</v>
      </c>
      <c r="L625">
        <v>12.1322592201583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3">
      <c r="A626">
        <v>57</v>
      </c>
      <c r="B626" t="s">
        <v>10</v>
      </c>
      <c r="C626">
        <v>117.346261756914</v>
      </c>
      <c r="D626">
        <v>1.72329246935201</v>
      </c>
      <c r="F626">
        <v>79</v>
      </c>
      <c r="G626" t="s">
        <v>36</v>
      </c>
      <c r="H626">
        <v>0</v>
      </c>
      <c r="I626">
        <v>0</v>
      </c>
      <c r="J626">
        <v>0</v>
      </c>
      <c r="K626">
        <v>0</v>
      </c>
      <c r="L626">
        <v>12.1322592201583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3">
      <c r="A627">
        <v>57</v>
      </c>
      <c r="B627" t="s">
        <v>11</v>
      </c>
      <c r="C627">
        <v>274.55392588023199</v>
      </c>
      <c r="D627">
        <v>3.9898989898989901</v>
      </c>
      <c r="F627">
        <v>80</v>
      </c>
      <c r="G627" t="s">
        <v>25</v>
      </c>
      <c r="H627">
        <v>730</v>
      </c>
      <c r="I627">
        <v>730</v>
      </c>
      <c r="J627">
        <v>25.658904109588999</v>
      </c>
      <c r="K627">
        <v>101.527473793129</v>
      </c>
      <c r="L627">
        <v>12.515434651827899</v>
      </c>
      <c r="M627">
        <v>246.620438589728</v>
      </c>
      <c r="N627">
        <v>0</v>
      </c>
      <c r="O627">
        <v>0</v>
      </c>
      <c r="P627">
        <v>1359.7885369999999</v>
      </c>
      <c r="Q627">
        <v>1177.1152689779999</v>
      </c>
    </row>
    <row r="628" spans="1:17" x14ac:dyDescent="0.3">
      <c r="A628">
        <v>57</v>
      </c>
      <c r="B628" t="s">
        <v>12</v>
      </c>
      <c r="C628">
        <v>355.08471700011199</v>
      </c>
      <c r="D628">
        <v>4.5128205128205101</v>
      </c>
      <c r="F628">
        <v>80</v>
      </c>
      <c r="G628" t="s">
        <v>26</v>
      </c>
      <c r="H628">
        <v>718</v>
      </c>
      <c r="I628">
        <v>718</v>
      </c>
      <c r="J628">
        <v>25.268802228412198</v>
      </c>
      <c r="K628">
        <v>99.7184557409158</v>
      </c>
      <c r="L628">
        <v>12.515434651827899</v>
      </c>
      <c r="M628">
        <v>239.15661544183001</v>
      </c>
      <c r="N628">
        <v>0</v>
      </c>
      <c r="O628">
        <v>0</v>
      </c>
      <c r="P628">
        <v>1346.6121349999901</v>
      </c>
      <c r="Q628">
        <v>1161.914948137</v>
      </c>
    </row>
    <row r="629" spans="1:17" x14ac:dyDescent="0.3">
      <c r="A629">
        <v>57</v>
      </c>
      <c r="B629" t="s">
        <v>13</v>
      </c>
      <c r="C629">
        <v>354.650029973355</v>
      </c>
      <c r="D629">
        <v>1.33877233877233</v>
      </c>
      <c r="F629">
        <v>80</v>
      </c>
      <c r="G629" t="s">
        <v>27</v>
      </c>
      <c r="H629">
        <v>711</v>
      </c>
      <c r="I629">
        <v>711</v>
      </c>
      <c r="J629">
        <v>24.992967651195499</v>
      </c>
      <c r="K629">
        <v>99.0892135698234</v>
      </c>
      <c r="L629">
        <v>12.515434651827899</v>
      </c>
      <c r="M629">
        <v>242.630715526534</v>
      </c>
      <c r="N629">
        <v>0</v>
      </c>
      <c r="O629">
        <v>0</v>
      </c>
      <c r="P629">
        <v>1341.6264019999901</v>
      </c>
      <c r="Q629">
        <v>1160.8165574090001</v>
      </c>
    </row>
    <row r="630" spans="1:17" x14ac:dyDescent="0.3">
      <c r="A630">
        <v>58</v>
      </c>
      <c r="B630" t="s">
        <v>3</v>
      </c>
      <c r="C630">
        <v>15.520648519963601</v>
      </c>
      <c r="D630">
        <v>4</v>
      </c>
      <c r="F630">
        <v>80</v>
      </c>
      <c r="G630" t="s">
        <v>28</v>
      </c>
      <c r="H630">
        <v>476</v>
      </c>
      <c r="I630">
        <v>476</v>
      </c>
      <c r="J630">
        <v>23.716386554621799</v>
      </c>
      <c r="K630">
        <v>67.288500480506997</v>
      </c>
      <c r="L630">
        <v>12.515434651827899</v>
      </c>
      <c r="M630">
        <v>160.669820689684</v>
      </c>
      <c r="N630">
        <v>0</v>
      </c>
      <c r="O630">
        <v>0</v>
      </c>
      <c r="P630">
        <v>884.336671999999</v>
      </c>
      <c r="Q630">
        <v>762.525915335999</v>
      </c>
    </row>
    <row r="631" spans="1:17" x14ac:dyDescent="0.3">
      <c r="A631">
        <v>58</v>
      </c>
      <c r="B631" t="s">
        <v>4</v>
      </c>
      <c r="C631">
        <v>15.460476712545701</v>
      </c>
      <c r="D631">
        <v>3.5</v>
      </c>
      <c r="F631">
        <v>80</v>
      </c>
      <c r="G631" t="s">
        <v>29</v>
      </c>
      <c r="H631">
        <v>476</v>
      </c>
      <c r="I631">
        <v>476</v>
      </c>
      <c r="J631">
        <v>23.716386554621799</v>
      </c>
      <c r="K631">
        <v>66.519969537089807</v>
      </c>
      <c r="L631">
        <v>12.515434651827899</v>
      </c>
      <c r="M631">
        <v>162.09042798728399</v>
      </c>
      <c r="N631">
        <v>0</v>
      </c>
      <c r="O631">
        <v>0</v>
      </c>
      <c r="P631">
        <v>856.92559800000004</v>
      </c>
      <c r="Q631">
        <v>742.51800043000003</v>
      </c>
    </row>
    <row r="632" spans="1:17" x14ac:dyDescent="0.3">
      <c r="A632">
        <v>58</v>
      </c>
      <c r="B632" t="s">
        <v>5</v>
      </c>
      <c r="C632">
        <v>19.6879668487733</v>
      </c>
      <c r="D632">
        <v>4.9166666666666599</v>
      </c>
      <c r="F632">
        <v>80</v>
      </c>
      <c r="G632" t="s">
        <v>30</v>
      </c>
      <c r="H632">
        <v>476</v>
      </c>
      <c r="I632">
        <v>476</v>
      </c>
      <c r="J632">
        <v>23.716386554621799</v>
      </c>
      <c r="K632">
        <v>66.987404238287496</v>
      </c>
      <c r="L632">
        <v>12.515434651827899</v>
      </c>
      <c r="M632">
        <v>162.82914299224501</v>
      </c>
      <c r="N632">
        <v>0</v>
      </c>
      <c r="O632">
        <v>0</v>
      </c>
      <c r="P632">
        <v>849.73630000000003</v>
      </c>
      <c r="Q632">
        <v>732.37537761399994</v>
      </c>
    </row>
    <row r="633" spans="1:17" x14ac:dyDescent="0.3">
      <c r="A633">
        <v>58</v>
      </c>
      <c r="B633" t="s">
        <v>6</v>
      </c>
      <c r="C633">
        <v>65.112996966352995</v>
      </c>
      <c r="D633">
        <v>3.3220338983050799</v>
      </c>
      <c r="F633">
        <v>80</v>
      </c>
      <c r="G633" t="s">
        <v>31</v>
      </c>
      <c r="H633">
        <v>0</v>
      </c>
      <c r="I633">
        <v>0</v>
      </c>
      <c r="J633">
        <v>0</v>
      </c>
      <c r="K633">
        <v>0</v>
      </c>
      <c r="L633">
        <v>12.515434651827899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3">
      <c r="A634">
        <v>58</v>
      </c>
      <c r="B634" t="s">
        <v>7</v>
      </c>
      <c r="C634">
        <v>65.709889262976503</v>
      </c>
      <c r="D634">
        <v>3.65</v>
      </c>
      <c r="F634">
        <v>80</v>
      </c>
      <c r="G634" t="s">
        <v>32</v>
      </c>
      <c r="H634">
        <v>0</v>
      </c>
      <c r="I634">
        <v>0</v>
      </c>
      <c r="J634">
        <v>0</v>
      </c>
      <c r="K634">
        <v>0</v>
      </c>
      <c r="L634">
        <v>12.515434651827899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3">
      <c r="A635">
        <v>58</v>
      </c>
      <c r="B635" t="s">
        <v>8</v>
      </c>
      <c r="C635">
        <v>79.147750493592596</v>
      </c>
      <c r="D635">
        <v>4</v>
      </c>
      <c r="F635">
        <v>80</v>
      </c>
      <c r="G635" t="s">
        <v>33</v>
      </c>
      <c r="H635">
        <v>0</v>
      </c>
      <c r="I635">
        <v>0</v>
      </c>
      <c r="J635">
        <v>0</v>
      </c>
      <c r="K635">
        <v>0</v>
      </c>
      <c r="L635">
        <v>12.515434651827899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3">
      <c r="A636">
        <v>58</v>
      </c>
      <c r="B636" t="s">
        <v>9</v>
      </c>
      <c r="C636">
        <v>80.613068942895893</v>
      </c>
      <c r="D636">
        <v>3.5</v>
      </c>
      <c r="F636">
        <v>80</v>
      </c>
      <c r="G636" t="s">
        <v>34</v>
      </c>
      <c r="H636">
        <v>0</v>
      </c>
      <c r="I636">
        <v>0</v>
      </c>
      <c r="J636">
        <v>0</v>
      </c>
      <c r="K636">
        <v>0</v>
      </c>
      <c r="L636">
        <v>12.515434651827899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3">
      <c r="A637">
        <v>58</v>
      </c>
      <c r="B637" t="s">
        <v>10</v>
      </c>
      <c r="C637">
        <v>117.396138552699</v>
      </c>
      <c r="D637">
        <v>1.65365025466893</v>
      </c>
      <c r="F637">
        <v>80</v>
      </c>
      <c r="G637" t="s">
        <v>35</v>
      </c>
      <c r="H637">
        <v>0</v>
      </c>
      <c r="I637">
        <v>0</v>
      </c>
      <c r="J637">
        <v>0</v>
      </c>
      <c r="K637">
        <v>0</v>
      </c>
      <c r="L637">
        <v>12.515434651827899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3">
      <c r="A638">
        <v>58</v>
      </c>
      <c r="B638" t="s">
        <v>11</v>
      </c>
      <c r="C638">
        <v>274.44513792194402</v>
      </c>
      <c r="D638">
        <v>3.9898989898989901</v>
      </c>
      <c r="F638">
        <v>80</v>
      </c>
      <c r="G638" t="s">
        <v>36</v>
      </c>
      <c r="H638">
        <v>0</v>
      </c>
      <c r="I638">
        <v>0</v>
      </c>
      <c r="J638">
        <v>0</v>
      </c>
      <c r="K638">
        <v>0</v>
      </c>
      <c r="L638">
        <v>12.515434651827899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3">
      <c r="A639">
        <v>58</v>
      </c>
      <c r="B639" t="s">
        <v>12</v>
      </c>
      <c r="C639">
        <v>351.93059181330398</v>
      </c>
      <c r="D639">
        <v>4.5128205128205101</v>
      </c>
      <c r="F639">
        <v>81</v>
      </c>
      <c r="G639" t="s">
        <v>25</v>
      </c>
      <c r="H639">
        <v>730</v>
      </c>
      <c r="I639">
        <v>730</v>
      </c>
      <c r="J639">
        <v>25.658904109588999</v>
      </c>
      <c r="K639">
        <v>100.914945290715</v>
      </c>
      <c r="L639">
        <v>12.3285226314814</v>
      </c>
      <c r="M639">
        <v>246.119892635925</v>
      </c>
      <c r="N639">
        <v>0</v>
      </c>
      <c r="O639">
        <v>0</v>
      </c>
      <c r="P639">
        <v>1362.5289029999999</v>
      </c>
      <c r="Q639">
        <v>1181.039642984</v>
      </c>
    </row>
    <row r="640" spans="1:17" x14ac:dyDescent="0.3">
      <c r="A640">
        <v>58</v>
      </c>
      <c r="B640" t="s">
        <v>13</v>
      </c>
      <c r="C640">
        <v>353.61023323322797</v>
      </c>
      <c r="D640">
        <v>1.33877233877233</v>
      </c>
      <c r="F640">
        <v>81</v>
      </c>
      <c r="G640" t="s">
        <v>26</v>
      </c>
      <c r="H640">
        <v>718</v>
      </c>
      <c r="I640">
        <v>718</v>
      </c>
      <c r="J640">
        <v>25.268802228412198</v>
      </c>
      <c r="K640">
        <v>99.8621175896983</v>
      </c>
      <c r="L640">
        <v>12.3285226314814</v>
      </c>
      <c r="M640">
        <v>238.83222590398501</v>
      </c>
      <c r="N640">
        <v>0</v>
      </c>
      <c r="O640">
        <v>0</v>
      </c>
      <c r="P640">
        <v>1346.6210839999901</v>
      </c>
      <c r="Q640">
        <v>1163.754346729</v>
      </c>
    </row>
    <row r="641" spans="1:17" x14ac:dyDescent="0.3">
      <c r="A641">
        <v>59</v>
      </c>
      <c r="B641" t="s">
        <v>3</v>
      </c>
      <c r="C641">
        <v>15.4910718503893</v>
      </c>
      <c r="D641">
        <v>4.32</v>
      </c>
      <c r="F641">
        <v>81</v>
      </c>
      <c r="G641" t="s">
        <v>27</v>
      </c>
      <c r="H641">
        <v>711</v>
      </c>
      <c r="I641">
        <v>711</v>
      </c>
      <c r="J641">
        <v>24.992967651195499</v>
      </c>
      <c r="K641">
        <v>99.774543049424594</v>
      </c>
      <c r="L641">
        <v>12.3285226314814</v>
      </c>
      <c r="M641">
        <v>240.31897900537399</v>
      </c>
      <c r="N641">
        <v>0</v>
      </c>
      <c r="O641">
        <v>0</v>
      </c>
      <c r="P641">
        <v>1357.8874859999901</v>
      </c>
      <c r="Q641">
        <v>1171.7160883070001</v>
      </c>
    </row>
    <row r="642" spans="1:17" x14ac:dyDescent="0.3">
      <c r="A642">
        <v>59</v>
      </c>
      <c r="B642" t="s">
        <v>4</v>
      </c>
      <c r="C642">
        <v>15.7359416631282</v>
      </c>
      <c r="D642">
        <v>4.3846153846153797</v>
      </c>
      <c r="F642">
        <v>81</v>
      </c>
      <c r="G642" t="s">
        <v>28</v>
      </c>
      <c r="H642">
        <v>476</v>
      </c>
      <c r="I642">
        <v>476</v>
      </c>
      <c r="J642">
        <v>23.716386554621799</v>
      </c>
      <c r="K642">
        <v>67.083893018422103</v>
      </c>
      <c r="L642">
        <v>12.3285226314814</v>
      </c>
      <c r="M642">
        <v>160.21248041328499</v>
      </c>
      <c r="N642">
        <v>0</v>
      </c>
      <c r="O642">
        <v>0</v>
      </c>
      <c r="P642">
        <v>884.336671999999</v>
      </c>
      <c r="Q642">
        <v>762.51217304199895</v>
      </c>
    </row>
    <row r="643" spans="1:17" x14ac:dyDescent="0.3">
      <c r="A643">
        <v>59</v>
      </c>
      <c r="B643" t="s">
        <v>5</v>
      </c>
      <c r="C643">
        <v>19.434221844021199</v>
      </c>
      <c r="D643">
        <v>4.5</v>
      </c>
      <c r="F643">
        <v>81</v>
      </c>
      <c r="G643" t="s">
        <v>29</v>
      </c>
      <c r="H643">
        <v>476</v>
      </c>
      <c r="I643">
        <v>476</v>
      </c>
      <c r="J643">
        <v>23.716386554621799</v>
      </c>
      <c r="K643">
        <v>67.4601673305378</v>
      </c>
      <c r="L643">
        <v>12.3285226314814</v>
      </c>
      <c r="M643">
        <v>162.224580083402</v>
      </c>
      <c r="N643">
        <v>0</v>
      </c>
      <c r="O643">
        <v>0</v>
      </c>
      <c r="P643">
        <v>876.41951600000004</v>
      </c>
      <c r="Q643">
        <v>758.39970459600102</v>
      </c>
    </row>
    <row r="644" spans="1:17" x14ac:dyDescent="0.3">
      <c r="A644">
        <v>59</v>
      </c>
      <c r="B644" t="s">
        <v>6</v>
      </c>
      <c r="C644">
        <v>64.955036612290002</v>
      </c>
      <c r="D644">
        <v>4.0862068965517198</v>
      </c>
      <c r="F644">
        <v>81</v>
      </c>
      <c r="G644" t="s">
        <v>30</v>
      </c>
      <c r="H644">
        <v>476</v>
      </c>
      <c r="I644">
        <v>476</v>
      </c>
      <c r="J644">
        <v>23.716386554621799</v>
      </c>
      <c r="K644">
        <v>66.532401588672499</v>
      </c>
      <c r="L644">
        <v>12.3285226314814</v>
      </c>
      <c r="M644">
        <v>160.487059843205</v>
      </c>
      <c r="N644">
        <v>0</v>
      </c>
      <c r="O644">
        <v>0</v>
      </c>
      <c r="P644">
        <v>833.42443300000002</v>
      </c>
      <c r="Q644">
        <v>720.008615319</v>
      </c>
    </row>
    <row r="645" spans="1:17" x14ac:dyDescent="0.3">
      <c r="A645">
        <v>59</v>
      </c>
      <c r="B645" t="s">
        <v>7</v>
      </c>
      <c r="C645">
        <v>65.793452498101999</v>
      </c>
      <c r="D645">
        <v>3.5</v>
      </c>
      <c r="F645">
        <v>81</v>
      </c>
      <c r="G645" t="s">
        <v>31</v>
      </c>
      <c r="H645">
        <v>0</v>
      </c>
      <c r="I645">
        <v>0</v>
      </c>
      <c r="J645">
        <v>0</v>
      </c>
      <c r="K645">
        <v>0</v>
      </c>
      <c r="L645">
        <v>12.3285226314814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3">
      <c r="A646">
        <v>59</v>
      </c>
      <c r="B646" t="s">
        <v>8</v>
      </c>
      <c r="C646">
        <v>78.476425265238106</v>
      </c>
      <c r="D646">
        <v>4</v>
      </c>
      <c r="F646">
        <v>81</v>
      </c>
      <c r="G646" t="s">
        <v>32</v>
      </c>
      <c r="H646">
        <v>0</v>
      </c>
      <c r="I646">
        <v>0</v>
      </c>
      <c r="J646">
        <v>0</v>
      </c>
      <c r="K646">
        <v>0</v>
      </c>
      <c r="L646">
        <v>12.3285226314814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3">
      <c r="A647">
        <v>59</v>
      </c>
      <c r="B647" t="s">
        <v>9</v>
      </c>
      <c r="C647">
        <v>81.737646009699105</v>
      </c>
      <c r="D647">
        <v>3.5448275862068899</v>
      </c>
      <c r="F647">
        <v>81</v>
      </c>
      <c r="G647" t="s">
        <v>33</v>
      </c>
      <c r="H647">
        <v>0</v>
      </c>
      <c r="I647">
        <v>0</v>
      </c>
      <c r="J647">
        <v>0</v>
      </c>
      <c r="K647">
        <v>0</v>
      </c>
      <c r="L647">
        <v>12.3285226314814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3">
      <c r="A648">
        <v>59</v>
      </c>
      <c r="B648" t="s">
        <v>10</v>
      </c>
      <c r="C648">
        <v>117.561111229132</v>
      </c>
      <c r="D648">
        <v>1.3891547049441699</v>
      </c>
      <c r="F648">
        <v>81</v>
      </c>
      <c r="G648" t="s">
        <v>34</v>
      </c>
      <c r="H648">
        <v>0</v>
      </c>
      <c r="I648">
        <v>0</v>
      </c>
      <c r="J648">
        <v>0</v>
      </c>
      <c r="K648">
        <v>0</v>
      </c>
      <c r="L648">
        <v>12.3285226314814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3">
      <c r="A649">
        <v>59</v>
      </c>
      <c r="B649" t="s">
        <v>11</v>
      </c>
      <c r="C649">
        <v>274.173860303602</v>
      </c>
      <c r="D649">
        <v>4.0797546012269903</v>
      </c>
      <c r="F649">
        <v>81</v>
      </c>
      <c r="G649" t="s">
        <v>35</v>
      </c>
      <c r="H649">
        <v>0</v>
      </c>
      <c r="I649">
        <v>0</v>
      </c>
      <c r="J649">
        <v>0</v>
      </c>
      <c r="K649">
        <v>0</v>
      </c>
      <c r="L649">
        <v>12.3285226314814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3">
      <c r="A650">
        <v>59</v>
      </c>
      <c r="B650" t="s">
        <v>12</v>
      </c>
      <c r="C650">
        <v>352.30325304024001</v>
      </c>
      <c r="D650">
        <v>4.5510688836104496</v>
      </c>
      <c r="F650">
        <v>81</v>
      </c>
      <c r="G650" t="s">
        <v>36</v>
      </c>
      <c r="H650">
        <v>0</v>
      </c>
      <c r="I650">
        <v>0</v>
      </c>
      <c r="J650">
        <v>0</v>
      </c>
      <c r="K650">
        <v>0</v>
      </c>
      <c r="L650">
        <v>12.3285226314814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3">
      <c r="A651">
        <v>59</v>
      </c>
      <c r="B651" t="s">
        <v>13</v>
      </c>
      <c r="C651">
        <v>353.40429888093399</v>
      </c>
      <c r="D651">
        <v>1.36078431372549</v>
      </c>
    </row>
    <row r="652" spans="1:17" x14ac:dyDescent="0.3">
      <c r="A652">
        <v>60</v>
      </c>
      <c r="B652" t="s">
        <v>3</v>
      </c>
      <c r="C652">
        <v>15.2983036954782</v>
      </c>
      <c r="D652">
        <v>4</v>
      </c>
    </row>
    <row r="653" spans="1:17" x14ac:dyDescent="0.3">
      <c r="A653">
        <v>60</v>
      </c>
      <c r="B653" t="s">
        <v>4</v>
      </c>
      <c r="C653">
        <v>15.194256334535099</v>
      </c>
      <c r="D653">
        <v>3.5</v>
      </c>
    </row>
    <row r="654" spans="1:17" x14ac:dyDescent="0.3">
      <c r="A654">
        <v>60</v>
      </c>
      <c r="B654" t="s">
        <v>5</v>
      </c>
      <c r="C654">
        <v>19.574900640460001</v>
      </c>
      <c r="D654">
        <v>5</v>
      </c>
    </row>
    <row r="655" spans="1:17" x14ac:dyDescent="0.3">
      <c r="A655">
        <v>60</v>
      </c>
      <c r="B655" t="s">
        <v>6</v>
      </c>
      <c r="C655">
        <v>64.796098026463</v>
      </c>
      <c r="D655">
        <v>3.3305084745762699</v>
      </c>
    </row>
    <row r="656" spans="1:17" x14ac:dyDescent="0.3">
      <c r="A656">
        <v>60</v>
      </c>
      <c r="B656" t="s">
        <v>7</v>
      </c>
      <c r="C656">
        <v>65.410975259641305</v>
      </c>
      <c r="D656">
        <v>3.625</v>
      </c>
    </row>
    <row r="657" spans="1:4" x14ac:dyDescent="0.3">
      <c r="A657">
        <v>60</v>
      </c>
      <c r="B657" t="s">
        <v>8</v>
      </c>
      <c r="C657">
        <v>78.739694197730998</v>
      </c>
      <c r="D657">
        <v>4</v>
      </c>
    </row>
    <row r="658" spans="1:4" x14ac:dyDescent="0.3">
      <c r="A658">
        <v>60</v>
      </c>
      <c r="B658" t="s">
        <v>9</v>
      </c>
      <c r="C658">
        <v>80.934853170843795</v>
      </c>
      <c r="D658">
        <v>3.5</v>
      </c>
    </row>
    <row r="659" spans="1:4" x14ac:dyDescent="0.3">
      <c r="A659">
        <v>60</v>
      </c>
      <c r="B659" t="s">
        <v>10</v>
      </c>
      <c r="C659">
        <v>117.585939812376</v>
      </c>
      <c r="D659">
        <v>1.7036395147313601</v>
      </c>
    </row>
    <row r="660" spans="1:4" x14ac:dyDescent="0.3">
      <c r="A660">
        <v>60</v>
      </c>
      <c r="B660" t="s">
        <v>11</v>
      </c>
      <c r="C660">
        <v>274.38814444963498</v>
      </c>
      <c r="D660">
        <v>3.9898989898989901</v>
      </c>
    </row>
    <row r="661" spans="1:4" x14ac:dyDescent="0.3">
      <c r="A661">
        <v>60</v>
      </c>
      <c r="B661" t="s">
        <v>12</v>
      </c>
      <c r="C661">
        <v>353.977144405601</v>
      </c>
      <c r="D661">
        <v>4.5221445221445196</v>
      </c>
    </row>
    <row r="662" spans="1:4" x14ac:dyDescent="0.3">
      <c r="A662">
        <v>60</v>
      </c>
      <c r="B662" t="s">
        <v>13</v>
      </c>
      <c r="C662">
        <v>355.168117572472</v>
      </c>
      <c r="D662">
        <v>1.33877233877233</v>
      </c>
    </row>
    <row r="663" spans="1:4" x14ac:dyDescent="0.3">
      <c r="A663">
        <v>61</v>
      </c>
      <c r="B663" t="s">
        <v>3</v>
      </c>
      <c r="C663">
        <v>15.268503128154601</v>
      </c>
      <c r="D663">
        <v>4</v>
      </c>
    </row>
    <row r="664" spans="1:4" x14ac:dyDescent="0.3">
      <c r="A664">
        <v>61</v>
      </c>
      <c r="B664" t="s">
        <v>4</v>
      </c>
      <c r="C664">
        <v>15.001836532961899</v>
      </c>
      <c r="D664">
        <v>4</v>
      </c>
    </row>
    <row r="665" spans="1:4" x14ac:dyDescent="0.3">
      <c r="A665">
        <v>61</v>
      </c>
      <c r="B665" t="s">
        <v>5</v>
      </c>
      <c r="C665">
        <v>19.758394844349301</v>
      </c>
      <c r="D665">
        <v>4.5</v>
      </c>
    </row>
    <row r="666" spans="1:4" x14ac:dyDescent="0.3">
      <c r="A666">
        <v>61</v>
      </c>
      <c r="B666" t="s">
        <v>6</v>
      </c>
      <c r="C666">
        <v>64.813319936323694</v>
      </c>
      <c r="D666">
        <v>4.0171428571428498</v>
      </c>
    </row>
    <row r="667" spans="1:4" x14ac:dyDescent="0.3">
      <c r="A667">
        <v>61</v>
      </c>
      <c r="B667" t="s">
        <v>7</v>
      </c>
      <c r="C667">
        <v>65.141134019998603</v>
      </c>
      <c r="D667">
        <v>3.5</v>
      </c>
    </row>
    <row r="668" spans="1:4" x14ac:dyDescent="0.3">
      <c r="A668">
        <v>61</v>
      </c>
      <c r="B668" t="s">
        <v>8</v>
      </c>
      <c r="C668">
        <v>79.5499163686504</v>
      </c>
      <c r="D668">
        <v>4</v>
      </c>
    </row>
    <row r="669" spans="1:4" x14ac:dyDescent="0.3">
      <c r="A669">
        <v>61</v>
      </c>
      <c r="B669" t="s">
        <v>9</v>
      </c>
      <c r="C669">
        <v>81.044770324687505</v>
      </c>
      <c r="D669">
        <v>3.5</v>
      </c>
    </row>
    <row r="670" spans="1:4" x14ac:dyDescent="0.3">
      <c r="A670">
        <v>61</v>
      </c>
      <c r="B670" t="s">
        <v>10</v>
      </c>
      <c r="C670">
        <v>117.648192086259</v>
      </c>
      <c r="D670">
        <v>1.37083993660855</v>
      </c>
    </row>
    <row r="671" spans="1:4" x14ac:dyDescent="0.3">
      <c r="A671">
        <v>61</v>
      </c>
      <c r="B671" t="s">
        <v>11</v>
      </c>
      <c r="C671">
        <v>272.12911011636402</v>
      </c>
      <c r="D671">
        <v>4.0464646464646403</v>
      </c>
    </row>
    <row r="672" spans="1:4" x14ac:dyDescent="0.3">
      <c r="A672">
        <v>61</v>
      </c>
      <c r="B672" t="s">
        <v>12</v>
      </c>
      <c r="C672">
        <v>354.40283065505201</v>
      </c>
      <c r="D672">
        <v>4.5317647058823498</v>
      </c>
    </row>
    <row r="673" spans="1:4" x14ac:dyDescent="0.3">
      <c r="A673">
        <v>61</v>
      </c>
      <c r="B673" t="s">
        <v>13</v>
      </c>
      <c r="C673">
        <v>353.91297888631698</v>
      </c>
      <c r="D673">
        <v>1.3518373729476101</v>
      </c>
    </row>
    <row r="674" spans="1:4" x14ac:dyDescent="0.3">
      <c r="A674">
        <v>62</v>
      </c>
      <c r="B674" t="s">
        <v>3</v>
      </c>
      <c r="C674">
        <v>15.266188075010399</v>
      </c>
      <c r="D674">
        <v>4</v>
      </c>
    </row>
    <row r="675" spans="1:4" x14ac:dyDescent="0.3">
      <c r="A675">
        <v>62</v>
      </c>
      <c r="B675" t="s">
        <v>4</v>
      </c>
      <c r="C675">
        <v>15.0816643708374</v>
      </c>
      <c r="D675">
        <v>4</v>
      </c>
    </row>
    <row r="676" spans="1:4" x14ac:dyDescent="0.3">
      <c r="A676">
        <v>62</v>
      </c>
      <c r="B676" t="s">
        <v>5</v>
      </c>
      <c r="C676">
        <v>19.5829249486323</v>
      </c>
      <c r="D676">
        <v>4.5</v>
      </c>
    </row>
    <row r="677" spans="1:4" x14ac:dyDescent="0.3">
      <c r="A677">
        <v>62</v>
      </c>
      <c r="B677" t="s">
        <v>6</v>
      </c>
      <c r="C677">
        <v>64.590235848030304</v>
      </c>
      <c r="D677">
        <v>4.0171428571428498</v>
      </c>
    </row>
    <row r="678" spans="1:4" x14ac:dyDescent="0.3">
      <c r="A678">
        <v>62</v>
      </c>
      <c r="B678" t="s">
        <v>7</v>
      </c>
      <c r="C678">
        <v>65.2291367223241</v>
      </c>
      <c r="D678">
        <v>3.5</v>
      </c>
    </row>
    <row r="679" spans="1:4" x14ac:dyDescent="0.3">
      <c r="A679">
        <v>62</v>
      </c>
      <c r="B679" t="s">
        <v>8</v>
      </c>
      <c r="C679">
        <v>79.325650395789296</v>
      </c>
      <c r="D679">
        <v>4</v>
      </c>
    </row>
    <row r="680" spans="1:4" x14ac:dyDescent="0.3">
      <c r="A680">
        <v>62</v>
      </c>
      <c r="B680" t="s">
        <v>9</v>
      </c>
      <c r="C680">
        <v>81.706052748478498</v>
      </c>
      <c r="D680">
        <v>3.5</v>
      </c>
    </row>
    <row r="681" spans="1:4" x14ac:dyDescent="0.3">
      <c r="A681">
        <v>62</v>
      </c>
      <c r="B681" t="s">
        <v>10</v>
      </c>
      <c r="C681">
        <v>117.508787462266</v>
      </c>
      <c r="D681">
        <v>1.37083993660855</v>
      </c>
    </row>
    <row r="682" spans="1:4" x14ac:dyDescent="0.3">
      <c r="A682">
        <v>62</v>
      </c>
      <c r="B682" t="s">
        <v>11</v>
      </c>
      <c r="C682">
        <v>273.95773154223298</v>
      </c>
      <c r="D682">
        <v>4.0464646464646403</v>
      </c>
    </row>
    <row r="683" spans="1:4" x14ac:dyDescent="0.3">
      <c r="A683">
        <v>62</v>
      </c>
      <c r="B683" t="s">
        <v>12</v>
      </c>
      <c r="C683">
        <v>352.76944789168198</v>
      </c>
      <c r="D683">
        <v>4.5317647058823498</v>
      </c>
    </row>
    <row r="684" spans="1:4" x14ac:dyDescent="0.3">
      <c r="A684">
        <v>62</v>
      </c>
      <c r="B684" t="s">
        <v>13</v>
      </c>
      <c r="C684">
        <v>353.076563638143</v>
      </c>
      <c r="D684">
        <v>1.3518373729476101</v>
      </c>
    </row>
    <row r="685" spans="1:4" x14ac:dyDescent="0.3">
      <c r="A685">
        <v>63</v>
      </c>
      <c r="B685" t="s">
        <v>3</v>
      </c>
      <c r="C685">
        <v>15.3625929701111</v>
      </c>
      <c r="D685">
        <v>4</v>
      </c>
    </row>
    <row r="686" spans="1:4" x14ac:dyDescent="0.3">
      <c r="A686">
        <v>63</v>
      </c>
      <c r="B686" t="s">
        <v>4</v>
      </c>
      <c r="C686">
        <v>15.0367833080713</v>
      </c>
      <c r="D686">
        <v>3.5</v>
      </c>
    </row>
    <row r="687" spans="1:4" x14ac:dyDescent="0.3">
      <c r="A687">
        <v>63</v>
      </c>
      <c r="B687" t="s">
        <v>5</v>
      </c>
      <c r="C687">
        <v>19.757203177560399</v>
      </c>
      <c r="D687">
        <v>4.8888888888888804</v>
      </c>
    </row>
    <row r="688" spans="1:4" x14ac:dyDescent="0.3">
      <c r="A688">
        <v>63</v>
      </c>
      <c r="B688" t="s">
        <v>6</v>
      </c>
      <c r="C688">
        <v>65.130159099869104</v>
      </c>
      <c r="D688">
        <v>3.3220338983050799</v>
      </c>
    </row>
    <row r="689" spans="1:4" x14ac:dyDescent="0.3">
      <c r="A689">
        <v>63</v>
      </c>
      <c r="B689" t="s">
        <v>7</v>
      </c>
      <c r="C689">
        <v>66.135358415212494</v>
      </c>
      <c r="D689">
        <v>3.6333333333333302</v>
      </c>
    </row>
    <row r="690" spans="1:4" x14ac:dyDescent="0.3">
      <c r="A690">
        <v>63</v>
      </c>
      <c r="B690" t="s">
        <v>8</v>
      </c>
      <c r="C690">
        <v>79.097729435164695</v>
      </c>
      <c r="D690">
        <v>4</v>
      </c>
    </row>
    <row r="691" spans="1:4" x14ac:dyDescent="0.3">
      <c r="A691">
        <v>63</v>
      </c>
      <c r="B691" t="s">
        <v>9</v>
      </c>
      <c r="C691">
        <v>80.343253290636298</v>
      </c>
      <c r="D691">
        <v>3.5</v>
      </c>
    </row>
    <row r="692" spans="1:4" x14ac:dyDescent="0.3">
      <c r="A692">
        <v>63</v>
      </c>
      <c r="B692" t="s">
        <v>10</v>
      </c>
      <c r="C692">
        <v>117.588050261658</v>
      </c>
      <c r="D692">
        <v>1.70434782608695</v>
      </c>
    </row>
    <row r="693" spans="1:4" x14ac:dyDescent="0.3">
      <c r="A693">
        <v>63</v>
      </c>
      <c r="B693" t="s">
        <v>11</v>
      </c>
      <c r="C693">
        <v>275.007410670843</v>
      </c>
      <c r="D693">
        <v>3.9898989898989901</v>
      </c>
    </row>
    <row r="694" spans="1:4" x14ac:dyDescent="0.3">
      <c r="A694">
        <v>63</v>
      </c>
      <c r="B694" t="s">
        <v>12</v>
      </c>
      <c r="C694">
        <v>351.826672072164</v>
      </c>
      <c r="D694">
        <v>4.5151515151515103</v>
      </c>
    </row>
    <row r="695" spans="1:4" x14ac:dyDescent="0.3">
      <c r="A695">
        <v>63</v>
      </c>
      <c r="B695" t="s">
        <v>13</v>
      </c>
      <c r="C695">
        <v>353.02196624588601</v>
      </c>
      <c r="D695">
        <v>1.33877233877233</v>
      </c>
    </row>
    <row r="696" spans="1:4" x14ac:dyDescent="0.3">
      <c r="A696">
        <v>64</v>
      </c>
      <c r="B696" t="s">
        <v>3</v>
      </c>
      <c r="C696">
        <v>15.537225321888901</v>
      </c>
      <c r="D696">
        <v>4</v>
      </c>
    </row>
    <row r="697" spans="1:4" x14ac:dyDescent="0.3">
      <c r="A697">
        <v>64</v>
      </c>
      <c r="B697" t="s">
        <v>4</v>
      </c>
      <c r="C697">
        <v>15.437341680223</v>
      </c>
      <c r="D697">
        <v>4</v>
      </c>
    </row>
    <row r="698" spans="1:4" x14ac:dyDescent="0.3">
      <c r="A698">
        <v>64</v>
      </c>
      <c r="B698" t="s">
        <v>5</v>
      </c>
      <c r="C698">
        <v>19.612251867431102</v>
      </c>
      <c r="D698">
        <v>4.5</v>
      </c>
    </row>
    <row r="699" spans="1:4" x14ac:dyDescent="0.3">
      <c r="A699">
        <v>64</v>
      </c>
      <c r="B699" t="s">
        <v>6</v>
      </c>
      <c r="C699">
        <v>65.130107445674795</v>
      </c>
      <c r="D699">
        <v>4.0171428571428498</v>
      </c>
    </row>
    <row r="700" spans="1:4" x14ac:dyDescent="0.3">
      <c r="A700">
        <v>64</v>
      </c>
      <c r="B700" t="s">
        <v>7</v>
      </c>
      <c r="C700">
        <v>65.398952571904104</v>
      </c>
      <c r="D700">
        <v>3.5</v>
      </c>
    </row>
    <row r="701" spans="1:4" x14ac:dyDescent="0.3">
      <c r="A701">
        <v>64</v>
      </c>
      <c r="B701" t="s">
        <v>8</v>
      </c>
      <c r="C701">
        <v>78.837311691756398</v>
      </c>
      <c r="D701">
        <v>4</v>
      </c>
    </row>
    <row r="702" spans="1:4" x14ac:dyDescent="0.3">
      <c r="A702">
        <v>64</v>
      </c>
      <c r="B702" t="s">
        <v>9</v>
      </c>
      <c r="C702">
        <v>81.339936922160206</v>
      </c>
      <c r="D702">
        <v>3.5</v>
      </c>
    </row>
    <row r="703" spans="1:4" x14ac:dyDescent="0.3">
      <c r="A703">
        <v>64</v>
      </c>
      <c r="B703" t="s">
        <v>10</v>
      </c>
      <c r="C703">
        <v>118.055239702793</v>
      </c>
      <c r="D703">
        <v>1.37083993660855</v>
      </c>
    </row>
    <row r="704" spans="1:4" x14ac:dyDescent="0.3">
      <c r="A704">
        <v>64</v>
      </c>
      <c r="B704" t="s">
        <v>11</v>
      </c>
      <c r="C704">
        <v>276.03780289693901</v>
      </c>
      <c r="D704">
        <v>4.0464646464646403</v>
      </c>
    </row>
    <row r="705" spans="1:4" x14ac:dyDescent="0.3">
      <c r="A705">
        <v>64</v>
      </c>
      <c r="B705" t="s">
        <v>12</v>
      </c>
      <c r="C705">
        <v>353.09933749890899</v>
      </c>
      <c r="D705">
        <v>4.5317647058823498</v>
      </c>
    </row>
    <row r="706" spans="1:4" x14ac:dyDescent="0.3">
      <c r="A706">
        <v>64</v>
      </c>
      <c r="B706" t="s">
        <v>13</v>
      </c>
      <c r="C706">
        <v>354.37673097378899</v>
      </c>
      <c r="D706">
        <v>1.3518373729476101</v>
      </c>
    </row>
    <row r="707" spans="1:4" x14ac:dyDescent="0.3">
      <c r="A707">
        <v>65</v>
      </c>
      <c r="B707" t="s">
        <v>3</v>
      </c>
      <c r="C707">
        <v>15.369954983666601</v>
      </c>
      <c r="D707">
        <v>4</v>
      </c>
    </row>
    <row r="708" spans="1:4" x14ac:dyDescent="0.3">
      <c r="A708">
        <v>65</v>
      </c>
      <c r="B708" t="s">
        <v>4</v>
      </c>
      <c r="C708">
        <v>15.1489756582314</v>
      </c>
      <c r="D708">
        <v>4</v>
      </c>
    </row>
    <row r="709" spans="1:4" x14ac:dyDescent="0.3">
      <c r="A709">
        <v>65</v>
      </c>
      <c r="B709" t="s">
        <v>5</v>
      </c>
      <c r="C709">
        <v>19.8737496287327</v>
      </c>
      <c r="D709">
        <v>4.5</v>
      </c>
    </row>
    <row r="710" spans="1:4" x14ac:dyDescent="0.3">
      <c r="A710">
        <v>65</v>
      </c>
      <c r="B710" t="s">
        <v>6</v>
      </c>
      <c r="C710">
        <v>64.115652590466496</v>
      </c>
      <c r="D710">
        <v>4.0171428571428498</v>
      </c>
    </row>
    <row r="711" spans="1:4" x14ac:dyDescent="0.3">
      <c r="A711">
        <v>65</v>
      </c>
      <c r="B711" t="s">
        <v>7</v>
      </c>
      <c r="C711">
        <v>65.845444256786394</v>
      </c>
      <c r="D711">
        <v>3.5</v>
      </c>
    </row>
    <row r="712" spans="1:4" x14ac:dyDescent="0.3">
      <c r="A712">
        <v>65</v>
      </c>
      <c r="B712" t="s">
        <v>8</v>
      </c>
      <c r="C712">
        <v>79.214846197610797</v>
      </c>
      <c r="D712">
        <v>4</v>
      </c>
    </row>
    <row r="713" spans="1:4" x14ac:dyDescent="0.3">
      <c r="A713">
        <v>65</v>
      </c>
      <c r="B713" t="s">
        <v>9</v>
      </c>
      <c r="C713">
        <v>80.765170367159996</v>
      </c>
      <c r="D713">
        <v>3.5</v>
      </c>
    </row>
    <row r="714" spans="1:4" x14ac:dyDescent="0.3">
      <c r="A714">
        <v>65</v>
      </c>
      <c r="B714" t="s">
        <v>10</v>
      </c>
      <c r="C714">
        <v>116.407795378625</v>
      </c>
      <c r="D714">
        <v>1.37083993660855</v>
      </c>
    </row>
    <row r="715" spans="1:4" x14ac:dyDescent="0.3">
      <c r="A715">
        <v>65</v>
      </c>
      <c r="B715" t="s">
        <v>11</v>
      </c>
      <c r="C715">
        <v>273.69794890918899</v>
      </c>
      <c r="D715">
        <v>4.0464646464646403</v>
      </c>
    </row>
    <row r="716" spans="1:4" x14ac:dyDescent="0.3">
      <c r="A716">
        <v>65</v>
      </c>
      <c r="B716" t="s">
        <v>12</v>
      </c>
      <c r="C716">
        <v>353.474749523068</v>
      </c>
      <c r="D716">
        <v>4.5317647058823498</v>
      </c>
    </row>
    <row r="717" spans="1:4" x14ac:dyDescent="0.3">
      <c r="A717">
        <v>65</v>
      </c>
      <c r="B717" t="s">
        <v>13</v>
      </c>
      <c r="C717">
        <v>354.27739712485902</v>
      </c>
      <c r="D717">
        <v>1.3518373729476101</v>
      </c>
    </row>
    <row r="718" spans="1:4" x14ac:dyDescent="0.3">
      <c r="A718">
        <v>66</v>
      </c>
      <c r="B718" t="s">
        <v>3</v>
      </c>
      <c r="C718">
        <v>15.542508971050401</v>
      </c>
      <c r="D718">
        <v>4</v>
      </c>
    </row>
    <row r="719" spans="1:4" x14ac:dyDescent="0.3">
      <c r="A719">
        <v>66</v>
      </c>
      <c r="B719" t="s">
        <v>4</v>
      </c>
      <c r="C719">
        <v>15.5105966155866</v>
      </c>
      <c r="D719">
        <v>3.5</v>
      </c>
    </row>
    <row r="720" spans="1:4" x14ac:dyDescent="0.3">
      <c r="A720">
        <v>66</v>
      </c>
      <c r="B720" t="s">
        <v>5</v>
      </c>
      <c r="C720">
        <v>20.011123106752901</v>
      </c>
      <c r="D720">
        <v>4.9166666666666599</v>
      </c>
    </row>
    <row r="721" spans="1:4" x14ac:dyDescent="0.3">
      <c r="A721">
        <v>66</v>
      </c>
      <c r="B721" t="s">
        <v>6</v>
      </c>
      <c r="C721">
        <v>64.239306556217997</v>
      </c>
      <c r="D721">
        <v>3.3220338983050799</v>
      </c>
    </row>
    <row r="722" spans="1:4" x14ac:dyDescent="0.3">
      <c r="A722">
        <v>66</v>
      </c>
      <c r="B722" t="s">
        <v>7</v>
      </c>
      <c r="C722">
        <v>65.063175672035698</v>
      </c>
      <c r="D722">
        <v>3.61666666666666</v>
      </c>
    </row>
    <row r="723" spans="1:4" x14ac:dyDescent="0.3">
      <c r="A723">
        <v>66</v>
      </c>
      <c r="B723" t="s">
        <v>8</v>
      </c>
      <c r="C723">
        <v>77.7905667664986</v>
      </c>
      <c r="D723">
        <v>4</v>
      </c>
    </row>
    <row r="724" spans="1:4" x14ac:dyDescent="0.3">
      <c r="A724">
        <v>66</v>
      </c>
      <c r="B724" t="s">
        <v>9</v>
      </c>
      <c r="C724">
        <v>81.975420794057698</v>
      </c>
      <c r="D724">
        <v>3.5</v>
      </c>
    </row>
    <row r="725" spans="1:4" x14ac:dyDescent="0.3">
      <c r="A725">
        <v>66</v>
      </c>
      <c r="B725" t="s">
        <v>10</v>
      </c>
      <c r="C725">
        <v>117.519564256238</v>
      </c>
      <c r="D725">
        <v>1.8014440433212899</v>
      </c>
    </row>
    <row r="726" spans="1:4" x14ac:dyDescent="0.3">
      <c r="A726">
        <v>66</v>
      </c>
      <c r="B726" t="s">
        <v>11</v>
      </c>
      <c r="C726">
        <v>274.04485481401798</v>
      </c>
      <c r="D726">
        <v>3.9898989898989901</v>
      </c>
    </row>
    <row r="727" spans="1:4" x14ac:dyDescent="0.3">
      <c r="A727">
        <v>66</v>
      </c>
      <c r="B727" t="s">
        <v>12</v>
      </c>
      <c r="C727">
        <v>354.36161011745997</v>
      </c>
      <c r="D727">
        <v>4.5</v>
      </c>
    </row>
    <row r="728" spans="1:4" x14ac:dyDescent="0.3">
      <c r="A728">
        <v>66</v>
      </c>
      <c r="B728" t="s">
        <v>13</v>
      </c>
      <c r="C728">
        <v>352.24156802650998</v>
      </c>
      <c r="D728">
        <v>1.33877233877233</v>
      </c>
    </row>
    <row r="729" spans="1:4" x14ac:dyDescent="0.3">
      <c r="A729">
        <v>67</v>
      </c>
      <c r="B729" t="s">
        <v>3</v>
      </c>
      <c r="C729">
        <v>15.432534561011799</v>
      </c>
      <c r="D729">
        <v>4</v>
      </c>
    </row>
    <row r="730" spans="1:4" x14ac:dyDescent="0.3">
      <c r="A730">
        <v>67</v>
      </c>
      <c r="B730" t="s">
        <v>4</v>
      </c>
      <c r="C730">
        <v>15.0890292516932</v>
      </c>
      <c r="D730">
        <v>3.5</v>
      </c>
    </row>
    <row r="731" spans="1:4" x14ac:dyDescent="0.3">
      <c r="A731">
        <v>67</v>
      </c>
      <c r="B731" t="s">
        <v>5</v>
      </c>
      <c r="C731">
        <v>19.423021270653201</v>
      </c>
      <c r="D731">
        <v>4.8888888888888804</v>
      </c>
    </row>
    <row r="732" spans="1:4" x14ac:dyDescent="0.3">
      <c r="A732">
        <v>67</v>
      </c>
      <c r="B732" t="s">
        <v>6</v>
      </c>
      <c r="C732">
        <v>65.502776357904196</v>
      </c>
      <c r="D732">
        <v>3.3135593220338899</v>
      </c>
    </row>
    <row r="733" spans="1:4" x14ac:dyDescent="0.3">
      <c r="A733">
        <v>67</v>
      </c>
      <c r="B733" t="s">
        <v>7</v>
      </c>
      <c r="C733">
        <v>65.430109846881706</v>
      </c>
      <c r="D733">
        <v>3.61666666666666</v>
      </c>
    </row>
    <row r="734" spans="1:4" x14ac:dyDescent="0.3">
      <c r="A734">
        <v>67</v>
      </c>
      <c r="B734" t="s">
        <v>8</v>
      </c>
      <c r="C734">
        <v>78.776791183140602</v>
      </c>
      <c r="D734">
        <v>4</v>
      </c>
    </row>
    <row r="735" spans="1:4" x14ac:dyDescent="0.3">
      <c r="A735">
        <v>67</v>
      </c>
      <c r="B735" t="s">
        <v>9</v>
      </c>
      <c r="C735">
        <v>80.825047290994306</v>
      </c>
      <c r="D735">
        <v>3.5</v>
      </c>
    </row>
    <row r="736" spans="1:4" x14ac:dyDescent="0.3">
      <c r="A736">
        <v>67</v>
      </c>
      <c r="B736" t="s">
        <v>10</v>
      </c>
      <c r="C736">
        <v>118.115528000426</v>
      </c>
      <c r="D736">
        <v>1.71006944444444</v>
      </c>
    </row>
    <row r="737" spans="1:4" x14ac:dyDescent="0.3">
      <c r="A737">
        <v>67</v>
      </c>
      <c r="B737" t="s">
        <v>11</v>
      </c>
      <c r="C737">
        <v>275.89680830861698</v>
      </c>
      <c r="D737">
        <v>3.9898989898989901</v>
      </c>
    </row>
    <row r="738" spans="1:4" x14ac:dyDescent="0.3">
      <c r="A738">
        <v>67</v>
      </c>
      <c r="B738" t="s">
        <v>12</v>
      </c>
      <c r="C738">
        <v>352.93479039986403</v>
      </c>
      <c r="D738">
        <v>4.5128205128205101</v>
      </c>
    </row>
    <row r="739" spans="1:4" x14ac:dyDescent="0.3">
      <c r="A739">
        <v>67</v>
      </c>
      <c r="B739" t="s">
        <v>13</v>
      </c>
      <c r="C739">
        <v>351.67428240620598</v>
      </c>
      <c r="D739">
        <v>1.33877233877233</v>
      </c>
    </row>
    <row r="740" spans="1:4" x14ac:dyDescent="0.3">
      <c r="A740">
        <v>68</v>
      </c>
      <c r="B740" t="s">
        <v>3</v>
      </c>
      <c r="C740">
        <v>15.4617048942028</v>
      </c>
      <c r="D740">
        <v>4</v>
      </c>
    </row>
    <row r="741" spans="1:4" x14ac:dyDescent="0.3">
      <c r="A741">
        <v>68</v>
      </c>
      <c r="B741" t="s">
        <v>4</v>
      </c>
      <c r="C741">
        <v>15.3265167050704</v>
      </c>
      <c r="D741">
        <v>4</v>
      </c>
    </row>
    <row r="742" spans="1:4" x14ac:dyDescent="0.3">
      <c r="A742">
        <v>68</v>
      </c>
      <c r="B742" t="s">
        <v>5</v>
      </c>
      <c r="C742">
        <v>19.976420134541101</v>
      </c>
      <c r="D742">
        <v>4.5</v>
      </c>
    </row>
    <row r="743" spans="1:4" x14ac:dyDescent="0.3">
      <c r="A743">
        <v>68</v>
      </c>
      <c r="B743" t="s">
        <v>6</v>
      </c>
      <c r="C743">
        <v>64.595456626316206</v>
      </c>
      <c r="D743">
        <v>4.0171428571428498</v>
      </c>
    </row>
    <row r="744" spans="1:4" x14ac:dyDescent="0.3">
      <c r="A744">
        <v>68</v>
      </c>
      <c r="B744" t="s">
        <v>7</v>
      </c>
      <c r="C744">
        <v>65.998737304941301</v>
      </c>
      <c r="D744">
        <v>3.5</v>
      </c>
    </row>
    <row r="745" spans="1:4" x14ac:dyDescent="0.3">
      <c r="A745">
        <v>68</v>
      </c>
      <c r="B745" t="s">
        <v>8</v>
      </c>
      <c r="C745">
        <v>79.129272884439203</v>
      </c>
      <c r="D745">
        <v>4</v>
      </c>
    </row>
    <row r="746" spans="1:4" x14ac:dyDescent="0.3">
      <c r="A746">
        <v>68</v>
      </c>
      <c r="B746" t="s">
        <v>9</v>
      </c>
      <c r="C746">
        <v>81.667113457594894</v>
      </c>
      <c r="D746">
        <v>3.5</v>
      </c>
    </row>
    <row r="747" spans="1:4" x14ac:dyDescent="0.3">
      <c r="A747">
        <v>68</v>
      </c>
      <c r="B747" t="s">
        <v>10</v>
      </c>
      <c r="C747">
        <v>117.117337441003</v>
      </c>
      <c r="D747">
        <v>1.37083993660855</v>
      </c>
    </row>
    <row r="748" spans="1:4" x14ac:dyDescent="0.3">
      <c r="A748">
        <v>68</v>
      </c>
      <c r="B748" t="s">
        <v>11</v>
      </c>
      <c r="C748">
        <v>275.72302166022899</v>
      </c>
      <c r="D748">
        <v>4.0464646464646403</v>
      </c>
    </row>
    <row r="749" spans="1:4" x14ac:dyDescent="0.3">
      <c r="A749">
        <v>68</v>
      </c>
      <c r="B749" t="s">
        <v>12</v>
      </c>
      <c r="C749">
        <v>353.68246191644101</v>
      </c>
      <c r="D749">
        <v>4.5317647058823498</v>
      </c>
    </row>
    <row r="750" spans="1:4" x14ac:dyDescent="0.3">
      <c r="A750">
        <v>68</v>
      </c>
      <c r="B750" t="s">
        <v>13</v>
      </c>
      <c r="C750">
        <v>352.07953548451297</v>
      </c>
      <c r="D750">
        <v>1.3518373729476101</v>
      </c>
    </row>
    <row r="751" spans="1:4" x14ac:dyDescent="0.3">
      <c r="A751">
        <v>69</v>
      </c>
      <c r="B751" t="s">
        <v>3</v>
      </c>
      <c r="C751">
        <v>15.275990526789601</v>
      </c>
      <c r="D751">
        <v>4</v>
      </c>
    </row>
    <row r="752" spans="1:4" x14ac:dyDescent="0.3">
      <c r="A752">
        <v>69</v>
      </c>
      <c r="B752" t="s">
        <v>4</v>
      </c>
      <c r="C752">
        <v>15.533661463003799</v>
      </c>
      <c r="D752">
        <v>4</v>
      </c>
    </row>
    <row r="753" spans="1:4" x14ac:dyDescent="0.3">
      <c r="A753">
        <v>69</v>
      </c>
      <c r="B753" t="s">
        <v>5</v>
      </c>
      <c r="C753">
        <v>19.5757485723841</v>
      </c>
      <c r="D753">
        <v>4.5</v>
      </c>
    </row>
    <row r="754" spans="1:4" x14ac:dyDescent="0.3">
      <c r="A754">
        <v>69</v>
      </c>
      <c r="B754" t="s">
        <v>6</v>
      </c>
      <c r="C754">
        <v>63.8755259829205</v>
      </c>
      <c r="D754">
        <v>4.0171428571428498</v>
      </c>
    </row>
    <row r="755" spans="1:4" x14ac:dyDescent="0.3">
      <c r="A755">
        <v>69</v>
      </c>
      <c r="B755" t="s">
        <v>7</v>
      </c>
      <c r="C755">
        <v>65.782130990145205</v>
      </c>
      <c r="D755">
        <v>3.5</v>
      </c>
    </row>
    <row r="756" spans="1:4" x14ac:dyDescent="0.3">
      <c r="A756">
        <v>69</v>
      </c>
      <c r="B756" t="s">
        <v>8</v>
      </c>
      <c r="C756">
        <v>78.689950848533996</v>
      </c>
      <c r="D756">
        <v>4</v>
      </c>
    </row>
    <row r="757" spans="1:4" x14ac:dyDescent="0.3">
      <c r="A757">
        <v>69</v>
      </c>
      <c r="B757" t="s">
        <v>9</v>
      </c>
      <c r="C757">
        <v>81.3119339883946</v>
      </c>
      <c r="D757">
        <v>3.5</v>
      </c>
    </row>
    <row r="758" spans="1:4" x14ac:dyDescent="0.3">
      <c r="A758">
        <v>69</v>
      </c>
      <c r="B758" t="s">
        <v>10</v>
      </c>
      <c r="C758">
        <v>116.506804359551</v>
      </c>
      <c r="D758">
        <v>1.37083993660855</v>
      </c>
    </row>
    <row r="759" spans="1:4" x14ac:dyDescent="0.3">
      <c r="A759">
        <v>69</v>
      </c>
      <c r="B759" t="s">
        <v>11</v>
      </c>
      <c r="C759">
        <v>273.74264843910697</v>
      </c>
      <c r="D759">
        <v>4.0464646464646403</v>
      </c>
    </row>
    <row r="760" spans="1:4" x14ac:dyDescent="0.3">
      <c r="A760">
        <v>69</v>
      </c>
      <c r="B760" t="s">
        <v>12</v>
      </c>
      <c r="C760">
        <v>352.33595898409999</v>
      </c>
      <c r="D760">
        <v>4.5317647058823498</v>
      </c>
    </row>
    <row r="761" spans="1:4" x14ac:dyDescent="0.3">
      <c r="A761">
        <v>69</v>
      </c>
      <c r="B761" t="s">
        <v>13</v>
      </c>
      <c r="C761">
        <v>352.73981424776099</v>
      </c>
      <c r="D761">
        <v>1.3518373729476101</v>
      </c>
    </row>
    <row r="762" spans="1:4" x14ac:dyDescent="0.3">
      <c r="A762">
        <v>70</v>
      </c>
      <c r="B762" t="s">
        <v>3</v>
      </c>
      <c r="C762">
        <v>15.216962223033001</v>
      </c>
      <c r="D762">
        <v>4</v>
      </c>
    </row>
    <row r="763" spans="1:4" x14ac:dyDescent="0.3">
      <c r="A763">
        <v>70</v>
      </c>
      <c r="B763" t="s">
        <v>4</v>
      </c>
      <c r="C763">
        <v>15.044287675062</v>
      </c>
      <c r="D763">
        <v>4</v>
      </c>
    </row>
    <row r="764" spans="1:4" x14ac:dyDescent="0.3">
      <c r="A764">
        <v>70</v>
      </c>
      <c r="B764" t="s">
        <v>5</v>
      </c>
      <c r="C764">
        <v>19.465323136154701</v>
      </c>
      <c r="D764">
        <v>4.5</v>
      </c>
    </row>
    <row r="765" spans="1:4" x14ac:dyDescent="0.3">
      <c r="A765">
        <v>70</v>
      </c>
      <c r="B765" t="s">
        <v>6</v>
      </c>
      <c r="C765">
        <v>64.521639128727401</v>
      </c>
      <c r="D765">
        <v>4.0171428571428498</v>
      </c>
    </row>
    <row r="766" spans="1:4" x14ac:dyDescent="0.3">
      <c r="A766">
        <v>70</v>
      </c>
      <c r="B766" t="s">
        <v>7</v>
      </c>
      <c r="C766">
        <v>65.609161174039897</v>
      </c>
      <c r="D766">
        <v>3.5</v>
      </c>
    </row>
    <row r="767" spans="1:4" x14ac:dyDescent="0.3">
      <c r="A767">
        <v>70</v>
      </c>
      <c r="B767" t="s">
        <v>8</v>
      </c>
      <c r="C767">
        <v>79.444671015233396</v>
      </c>
      <c r="D767">
        <v>4</v>
      </c>
    </row>
    <row r="768" spans="1:4" x14ac:dyDescent="0.3">
      <c r="A768">
        <v>70</v>
      </c>
      <c r="B768" t="s">
        <v>9</v>
      </c>
      <c r="C768">
        <v>80.981297932004395</v>
      </c>
      <c r="D768">
        <v>3.5</v>
      </c>
    </row>
    <row r="769" spans="1:4" x14ac:dyDescent="0.3">
      <c r="A769">
        <v>70</v>
      </c>
      <c r="B769" t="s">
        <v>10</v>
      </c>
      <c r="C769">
        <v>117.24486999433</v>
      </c>
      <c r="D769">
        <v>1.37083993660855</v>
      </c>
    </row>
    <row r="770" spans="1:4" x14ac:dyDescent="0.3">
      <c r="A770">
        <v>70</v>
      </c>
      <c r="B770" t="s">
        <v>11</v>
      </c>
      <c r="C770">
        <v>274.87099001247901</v>
      </c>
      <c r="D770">
        <v>4.0464646464646403</v>
      </c>
    </row>
    <row r="771" spans="1:4" x14ac:dyDescent="0.3">
      <c r="A771">
        <v>70</v>
      </c>
      <c r="B771" t="s">
        <v>12</v>
      </c>
      <c r="C771">
        <v>353.08661522213703</v>
      </c>
      <c r="D771">
        <v>4.5317647058823498</v>
      </c>
    </row>
    <row r="772" spans="1:4" x14ac:dyDescent="0.3">
      <c r="A772">
        <v>70</v>
      </c>
      <c r="B772" t="s">
        <v>13</v>
      </c>
      <c r="C772">
        <v>352.31723127352302</v>
      </c>
      <c r="D772">
        <v>1.3518373729476101</v>
      </c>
    </row>
    <row r="773" spans="1:4" x14ac:dyDescent="0.3">
      <c r="A773">
        <v>71</v>
      </c>
      <c r="B773" t="s">
        <v>3</v>
      </c>
      <c r="C773">
        <v>15.544349849744901</v>
      </c>
      <c r="D773">
        <v>4.32</v>
      </c>
    </row>
    <row r="774" spans="1:4" x14ac:dyDescent="0.3">
      <c r="A774">
        <v>71</v>
      </c>
      <c r="B774" t="s">
        <v>4</v>
      </c>
      <c r="C774">
        <v>15.4189695492287</v>
      </c>
      <c r="D774">
        <v>4.3846153846153797</v>
      </c>
    </row>
    <row r="775" spans="1:4" x14ac:dyDescent="0.3">
      <c r="A775">
        <v>71</v>
      </c>
      <c r="B775" t="s">
        <v>5</v>
      </c>
      <c r="C775">
        <v>19.759080608792601</v>
      </c>
      <c r="D775">
        <v>4.5</v>
      </c>
    </row>
    <row r="776" spans="1:4" x14ac:dyDescent="0.3">
      <c r="A776">
        <v>71</v>
      </c>
      <c r="B776" t="s">
        <v>6</v>
      </c>
      <c r="C776">
        <v>64.4009490413695</v>
      </c>
      <c r="D776">
        <v>4.0862068965517198</v>
      </c>
    </row>
    <row r="777" spans="1:4" x14ac:dyDescent="0.3">
      <c r="A777">
        <v>71</v>
      </c>
      <c r="B777" t="s">
        <v>7</v>
      </c>
      <c r="C777">
        <v>66.079833595117506</v>
      </c>
      <c r="D777">
        <v>3.5</v>
      </c>
    </row>
    <row r="778" spans="1:4" x14ac:dyDescent="0.3">
      <c r="A778">
        <v>71</v>
      </c>
      <c r="B778" t="s">
        <v>8</v>
      </c>
      <c r="C778">
        <v>78.800314440134798</v>
      </c>
      <c r="D778">
        <v>4</v>
      </c>
    </row>
    <row r="779" spans="1:4" x14ac:dyDescent="0.3">
      <c r="A779">
        <v>71</v>
      </c>
      <c r="B779" t="s">
        <v>9</v>
      </c>
      <c r="C779">
        <v>81.124550282066593</v>
      </c>
      <c r="D779">
        <v>3.5448275862068899</v>
      </c>
    </row>
    <row r="780" spans="1:4" x14ac:dyDescent="0.3">
      <c r="A780">
        <v>71</v>
      </c>
      <c r="B780" t="s">
        <v>10</v>
      </c>
      <c r="C780">
        <v>117.272595842274</v>
      </c>
      <c r="D780">
        <v>1.3891547049441699</v>
      </c>
    </row>
    <row r="781" spans="1:4" x14ac:dyDescent="0.3">
      <c r="A781">
        <v>71</v>
      </c>
      <c r="B781" t="s">
        <v>11</v>
      </c>
      <c r="C781">
        <v>275.25419239096698</v>
      </c>
      <c r="D781">
        <v>4.0797546012269903</v>
      </c>
    </row>
    <row r="782" spans="1:4" x14ac:dyDescent="0.3">
      <c r="A782">
        <v>71</v>
      </c>
      <c r="B782" t="s">
        <v>12</v>
      </c>
      <c r="C782">
        <v>353.40938498990403</v>
      </c>
      <c r="D782">
        <v>4.5510688836104496</v>
      </c>
    </row>
    <row r="783" spans="1:4" x14ac:dyDescent="0.3">
      <c r="A783">
        <v>71</v>
      </c>
      <c r="B783" t="s">
        <v>13</v>
      </c>
      <c r="C783">
        <v>353.88425241331402</v>
      </c>
      <c r="D783">
        <v>1.36078431372549</v>
      </c>
    </row>
    <row r="784" spans="1:4" x14ac:dyDescent="0.3">
      <c r="A784">
        <v>72</v>
      </c>
      <c r="B784" t="s">
        <v>3</v>
      </c>
      <c r="C784">
        <v>14.8621016432174</v>
      </c>
      <c r="D784">
        <v>4</v>
      </c>
    </row>
    <row r="785" spans="1:4" x14ac:dyDescent="0.3">
      <c r="A785">
        <v>72</v>
      </c>
      <c r="B785" t="s">
        <v>4</v>
      </c>
      <c r="C785">
        <v>15.454085220782799</v>
      </c>
      <c r="D785">
        <v>4</v>
      </c>
    </row>
    <row r="786" spans="1:4" x14ac:dyDescent="0.3">
      <c r="A786">
        <v>72</v>
      </c>
      <c r="B786" t="s">
        <v>5</v>
      </c>
      <c r="C786">
        <v>19.610025639462499</v>
      </c>
      <c r="D786">
        <v>4.5</v>
      </c>
    </row>
    <row r="787" spans="1:4" x14ac:dyDescent="0.3">
      <c r="A787">
        <v>72</v>
      </c>
      <c r="B787" t="s">
        <v>6</v>
      </c>
      <c r="C787">
        <v>64.948028955447796</v>
      </c>
      <c r="D787">
        <v>4.0171428571428498</v>
      </c>
    </row>
    <row r="788" spans="1:4" x14ac:dyDescent="0.3">
      <c r="A788">
        <v>72</v>
      </c>
      <c r="B788" t="s">
        <v>7</v>
      </c>
      <c r="C788">
        <v>65.494233312330906</v>
      </c>
      <c r="D788">
        <v>3.5</v>
      </c>
    </row>
    <row r="789" spans="1:4" x14ac:dyDescent="0.3">
      <c r="A789">
        <v>72</v>
      </c>
      <c r="B789" t="s">
        <v>8</v>
      </c>
      <c r="C789">
        <v>78.855224471188393</v>
      </c>
      <c r="D789">
        <v>4</v>
      </c>
    </row>
    <row r="790" spans="1:4" x14ac:dyDescent="0.3">
      <c r="A790">
        <v>72</v>
      </c>
      <c r="B790" t="s">
        <v>9</v>
      </c>
      <c r="C790">
        <v>80.466248132752</v>
      </c>
      <c r="D790">
        <v>3.5</v>
      </c>
    </row>
    <row r="791" spans="1:4" x14ac:dyDescent="0.3">
      <c r="A791">
        <v>72</v>
      </c>
      <c r="B791" t="s">
        <v>10</v>
      </c>
      <c r="C791">
        <v>116.09072085154099</v>
      </c>
      <c r="D791">
        <v>1.37083993660855</v>
      </c>
    </row>
    <row r="792" spans="1:4" x14ac:dyDescent="0.3">
      <c r="A792">
        <v>72</v>
      </c>
      <c r="B792" t="s">
        <v>11</v>
      </c>
      <c r="C792">
        <v>275.40880698426901</v>
      </c>
      <c r="D792">
        <v>4.0464646464646403</v>
      </c>
    </row>
    <row r="793" spans="1:4" x14ac:dyDescent="0.3">
      <c r="A793">
        <v>72</v>
      </c>
      <c r="B793" t="s">
        <v>12</v>
      </c>
      <c r="C793">
        <v>351.60802916767801</v>
      </c>
      <c r="D793">
        <v>4.5317647058823498</v>
      </c>
    </row>
    <row r="794" spans="1:4" x14ac:dyDescent="0.3">
      <c r="A794">
        <v>72</v>
      </c>
      <c r="B794" t="s">
        <v>13</v>
      </c>
      <c r="C794">
        <v>352.30203486828498</v>
      </c>
      <c r="D794">
        <v>1.3518373729476101</v>
      </c>
    </row>
    <row r="795" spans="1:4" x14ac:dyDescent="0.3">
      <c r="A795">
        <v>73</v>
      </c>
      <c r="B795" t="s">
        <v>3</v>
      </c>
      <c r="C795">
        <v>15.0804269101326</v>
      </c>
      <c r="D795">
        <v>4.32</v>
      </c>
    </row>
    <row r="796" spans="1:4" x14ac:dyDescent="0.3">
      <c r="A796">
        <v>73</v>
      </c>
      <c r="B796" t="s">
        <v>4</v>
      </c>
      <c r="C796">
        <v>15.385146615934399</v>
      </c>
      <c r="D796">
        <v>4.3846153846153797</v>
      </c>
    </row>
    <row r="797" spans="1:4" x14ac:dyDescent="0.3">
      <c r="A797">
        <v>73</v>
      </c>
      <c r="B797" t="s">
        <v>5</v>
      </c>
      <c r="C797">
        <v>19.698907111931199</v>
      </c>
      <c r="D797">
        <v>4.5</v>
      </c>
    </row>
    <row r="798" spans="1:4" x14ac:dyDescent="0.3">
      <c r="A798">
        <v>73</v>
      </c>
      <c r="B798" t="s">
        <v>6</v>
      </c>
      <c r="C798">
        <v>64.035133793975504</v>
      </c>
      <c r="D798">
        <v>4.0862068965517198</v>
      </c>
    </row>
    <row r="799" spans="1:4" x14ac:dyDescent="0.3">
      <c r="A799">
        <v>73</v>
      </c>
      <c r="B799" t="s">
        <v>7</v>
      </c>
      <c r="C799">
        <v>64.920459605640104</v>
      </c>
      <c r="D799">
        <v>3.5</v>
      </c>
    </row>
    <row r="800" spans="1:4" x14ac:dyDescent="0.3">
      <c r="A800">
        <v>73</v>
      </c>
      <c r="B800" t="s">
        <v>8</v>
      </c>
      <c r="C800">
        <v>79.102763237064195</v>
      </c>
      <c r="D800">
        <v>4</v>
      </c>
    </row>
    <row r="801" spans="1:4" x14ac:dyDescent="0.3">
      <c r="A801">
        <v>73</v>
      </c>
      <c r="B801" t="s">
        <v>9</v>
      </c>
      <c r="C801">
        <v>80.368151570791895</v>
      </c>
      <c r="D801">
        <v>3.5448275862068899</v>
      </c>
    </row>
    <row r="802" spans="1:4" x14ac:dyDescent="0.3">
      <c r="A802">
        <v>73</v>
      </c>
      <c r="B802" t="s">
        <v>10</v>
      </c>
      <c r="C802">
        <v>116.95974720068899</v>
      </c>
      <c r="D802">
        <v>1.3891547049441699</v>
      </c>
    </row>
    <row r="803" spans="1:4" x14ac:dyDescent="0.3">
      <c r="A803">
        <v>73</v>
      </c>
      <c r="B803" t="s">
        <v>11</v>
      </c>
      <c r="C803">
        <v>276.065350821474</v>
      </c>
      <c r="D803">
        <v>4.0797546012269903</v>
      </c>
    </row>
    <row r="804" spans="1:4" x14ac:dyDescent="0.3">
      <c r="A804">
        <v>73</v>
      </c>
      <c r="B804" t="s">
        <v>12</v>
      </c>
      <c r="C804">
        <v>352.841915608134</v>
      </c>
      <c r="D804">
        <v>4.5510688836104496</v>
      </c>
    </row>
    <row r="805" spans="1:4" x14ac:dyDescent="0.3">
      <c r="A805">
        <v>73</v>
      </c>
      <c r="B805" t="s">
        <v>13</v>
      </c>
      <c r="C805">
        <v>355.006209306193</v>
      </c>
      <c r="D805">
        <v>1.36078431372549</v>
      </c>
    </row>
    <row r="806" spans="1:4" x14ac:dyDescent="0.3">
      <c r="A806">
        <v>74</v>
      </c>
      <c r="B806" t="s">
        <v>3</v>
      </c>
      <c r="C806">
        <v>15.504417262538199</v>
      </c>
      <c r="D806">
        <v>4.32</v>
      </c>
    </row>
    <row r="807" spans="1:4" x14ac:dyDescent="0.3">
      <c r="A807">
        <v>74</v>
      </c>
      <c r="B807" t="s">
        <v>4</v>
      </c>
      <c r="C807">
        <v>15.4378826444417</v>
      </c>
      <c r="D807">
        <v>4.3846153846153797</v>
      </c>
    </row>
    <row r="808" spans="1:4" x14ac:dyDescent="0.3">
      <c r="A808">
        <v>74</v>
      </c>
      <c r="B808" t="s">
        <v>5</v>
      </c>
      <c r="C808">
        <v>19.722793907391299</v>
      </c>
      <c r="D808">
        <v>4.5</v>
      </c>
    </row>
    <row r="809" spans="1:4" x14ac:dyDescent="0.3">
      <c r="A809">
        <v>74</v>
      </c>
      <c r="B809" t="s">
        <v>6</v>
      </c>
      <c r="C809">
        <v>64.184211973356398</v>
      </c>
      <c r="D809">
        <v>4.0862068965517198</v>
      </c>
    </row>
    <row r="810" spans="1:4" x14ac:dyDescent="0.3">
      <c r="A810">
        <v>74</v>
      </c>
      <c r="B810" t="s">
        <v>7</v>
      </c>
      <c r="C810">
        <v>66.300501864663104</v>
      </c>
      <c r="D810">
        <v>3.5</v>
      </c>
    </row>
    <row r="811" spans="1:4" x14ac:dyDescent="0.3">
      <c r="A811">
        <v>74</v>
      </c>
      <c r="B811" t="s">
        <v>8</v>
      </c>
      <c r="C811">
        <v>78.908183636504802</v>
      </c>
      <c r="D811">
        <v>4</v>
      </c>
    </row>
    <row r="812" spans="1:4" x14ac:dyDescent="0.3">
      <c r="A812">
        <v>74</v>
      </c>
      <c r="B812" t="s">
        <v>9</v>
      </c>
      <c r="C812">
        <v>80.926832991932898</v>
      </c>
      <c r="D812">
        <v>3.5448275862068899</v>
      </c>
    </row>
    <row r="813" spans="1:4" x14ac:dyDescent="0.3">
      <c r="A813">
        <v>74</v>
      </c>
      <c r="B813" t="s">
        <v>10</v>
      </c>
      <c r="C813">
        <v>117.11870121724699</v>
      </c>
      <c r="D813">
        <v>1.3891547049441699</v>
      </c>
    </row>
    <row r="814" spans="1:4" x14ac:dyDescent="0.3">
      <c r="A814">
        <v>74</v>
      </c>
      <c r="B814" t="s">
        <v>11</v>
      </c>
      <c r="C814">
        <v>275.21127633442899</v>
      </c>
      <c r="D814">
        <v>4.0797546012269903</v>
      </c>
    </row>
    <row r="815" spans="1:4" x14ac:dyDescent="0.3">
      <c r="A815">
        <v>74</v>
      </c>
      <c r="B815" t="s">
        <v>12</v>
      </c>
      <c r="C815">
        <v>352.31743888259598</v>
      </c>
      <c r="D815">
        <v>4.5510688836104496</v>
      </c>
    </row>
    <row r="816" spans="1:4" x14ac:dyDescent="0.3">
      <c r="A816">
        <v>74</v>
      </c>
      <c r="B816" t="s">
        <v>13</v>
      </c>
      <c r="C816">
        <v>352.81567062300297</v>
      </c>
      <c r="D816">
        <v>1.36078431372549</v>
      </c>
    </row>
    <row r="817" spans="1:4" x14ac:dyDescent="0.3">
      <c r="A817">
        <v>75</v>
      </c>
      <c r="B817" t="s">
        <v>3</v>
      </c>
      <c r="C817">
        <v>15.215352214618999</v>
      </c>
      <c r="D817">
        <v>4</v>
      </c>
    </row>
    <row r="818" spans="1:4" x14ac:dyDescent="0.3">
      <c r="A818">
        <v>75</v>
      </c>
      <c r="B818" t="s">
        <v>4</v>
      </c>
      <c r="C818">
        <v>15.644983073069501</v>
      </c>
      <c r="D818">
        <v>4</v>
      </c>
    </row>
    <row r="819" spans="1:4" x14ac:dyDescent="0.3">
      <c r="A819">
        <v>75</v>
      </c>
      <c r="B819" t="s">
        <v>5</v>
      </c>
      <c r="C819">
        <v>19.5397805916351</v>
      </c>
      <c r="D819">
        <v>4.5</v>
      </c>
    </row>
    <row r="820" spans="1:4" x14ac:dyDescent="0.3">
      <c r="A820">
        <v>75</v>
      </c>
      <c r="B820" t="s">
        <v>6</v>
      </c>
      <c r="C820">
        <v>63.971046102452</v>
      </c>
      <c r="D820">
        <v>4.0171428571428498</v>
      </c>
    </row>
    <row r="821" spans="1:4" x14ac:dyDescent="0.3">
      <c r="A821">
        <v>75</v>
      </c>
      <c r="B821" t="s">
        <v>7</v>
      </c>
      <c r="C821">
        <v>64.988209613936704</v>
      </c>
      <c r="D821">
        <v>3.5</v>
      </c>
    </row>
    <row r="822" spans="1:4" x14ac:dyDescent="0.3">
      <c r="A822">
        <v>75</v>
      </c>
      <c r="B822" t="s">
        <v>8</v>
      </c>
      <c r="C822">
        <v>79.363299639006101</v>
      </c>
      <c r="D822">
        <v>4</v>
      </c>
    </row>
    <row r="823" spans="1:4" x14ac:dyDescent="0.3">
      <c r="A823">
        <v>75</v>
      </c>
      <c r="B823" t="s">
        <v>9</v>
      </c>
      <c r="C823">
        <v>81.0817130854129</v>
      </c>
      <c r="D823">
        <v>3.5</v>
      </c>
    </row>
    <row r="824" spans="1:4" x14ac:dyDescent="0.3">
      <c r="A824">
        <v>75</v>
      </c>
      <c r="B824" t="s">
        <v>10</v>
      </c>
      <c r="C824">
        <v>117.364967270479</v>
      </c>
      <c r="D824">
        <v>1.37083993660855</v>
      </c>
    </row>
    <row r="825" spans="1:4" x14ac:dyDescent="0.3">
      <c r="A825">
        <v>75</v>
      </c>
      <c r="B825" t="s">
        <v>11</v>
      </c>
      <c r="C825">
        <v>274.13314114841199</v>
      </c>
      <c r="D825">
        <v>4.0464646464646403</v>
      </c>
    </row>
    <row r="826" spans="1:4" x14ac:dyDescent="0.3">
      <c r="A826">
        <v>75</v>
      </c>
      <c r="B826" t="s">
        <v>12</v>
      </c>
      <c r="C826">
        <v>353.66027576428399</v>
      </c>
      <c r="D826">
        <v>4.5317647058823498</v>
      </c>
    </row>
    <row r="827" spans="1:4" x14ac:dyDescent="0.3">
      <c r="A827">
        <v>75</v>
      </c>
      <c r="B827" t="s">
        <v>13</v>
      </c>
      <c r="C827">
        <v>354.348981483817</v>
      </c>
      <c r="D827">
        <v>1.3518373729476101</v>
      </c>
    </row>
    <row r="828" spans="1:4" x14ac:dyDescent="0.3">
      <c r="A828">
        <v>76</v>
      </c>
      <c r="B828" t="s">
        <v>3</v>
      </c>
      <c r="C828">
        <v>15.2893742783024</v>
      </c>
      <c r="D828">
        <v>4.32</v>
      </c>
    </row>
    <row r="829" spans="1:4" x14ac:dyDescent="0.3">
      <c r="A829">
        <v>76</v>
      </c>
      <c r="B829" t="s">
        <v>4</v>
      </c>
      <c r="C829">
        <v>15.444637909131099</v>
      </c>
      <c r="D829">
        <v>4.3846153846153797</v>
      </c>
    </row>
    <row r="830" spans="1:4" x14ac:dyDescent="0.3">
      <c r="A830">
        <v>76</v>
      </c>
      <c r="B830" t="s">
        <v>5</v>
      </c>
      <c r="C830">
        <v>19.7190912103156</v>
      </c>
      <c r="D830">
        <v>4.5</v>
      </c>
    </row>
    <row r="831" spans="1:4" x14ac:dyDescent="0.3">
      <c r="A831">
        <v>76</v>
      </c>
      <c r="B831" t="s">
        <v>6</v>
      </c>
      <c r="C831">
        <v>65.212303471458</v>
      </c>
      <c r="D831">
        <v>4.0862068965517198</v>
      </c>
    </row>
    <row r="832" spans="1:4" x14ac:dyDescent="0.3">
      <c r="A832">
        <v>76</v>
      </c>
      <c r="B832" t="s">
        <v>7</v>
      </c>
      <c r="C832">
        <v>65.892945773782202</v>
      </c>
      <c r="D832">
        <v>3.5</v>
      </c>
    </row>
    <row r="833" spans="1:4" x14ac:dyDescent="0.3">
      <c r="A833">
        <v>76</v>
      </c>
      <c r="B833" t="s">
        <v>8</v>
      </c>
      <c r="C833">
        <v>79.564171880329596</v>
      </c>
      <c r="D833">
        <v>4</v>
      </c>
    </row>
    <row r="834" spans="1:4" x14ac:dyDescent="0.3">
      <c r="A834">
        <v>76</v>
      </c>
      <c r="B834" t="s">
        <v>9</v>
      </c>
      <c r="C834">
        <v>80.808383883473198</v>
      </c>
      <c r="D834">
        <v>3.5448275862068899</v>
      </c>
    </row>
    <row r="835" spans="1:4" x14ac:dyDescent="0.3">
      <c r="A835">
        <v>76</v>
      </c>
      <c r="B835" t="s">
        <v>10</v>
      </c>
      <c r="C835">
        <v>116.89787254666901</v>
      </c>
      <c r="D835">
        <v>1.3891547049441699</v>
      </c>
    </row>
    <row r="836" spans="1:4" x14ac:dyDescent="0.3">
      <c r="A836">
        <v>76</v>
      </c>
      <c r="B836" t="s">
        <v>11</v>
      </c>
      <c r="C836">
        <v>274.72755183121399</v>
      </c>
      <c r="D836">
        <v>4.0797546012269903</v>
      </c>
    </row>
    <row r="837" spans="1:4" x14ac:dyDescent="0.3">
      <c r="A837">
        <v>76</v>
      </c>
      <c r="B837" t="s">
        <v>12</v>
      </c>
      <c r="C837">
        <v>352.89467108891898</v>
      </c>
      <c r="D837">
        <v>4.5510688836104496</v>
      </c>
    </row>
    <row r="838" spans="1:4" x14ac:dyDescent="0.3">
      <c r="A838">
        <v>76</v>
      </c>
      <c r="B838" t="s">
        <v>13</v>
      </c>
      <c r="C838">
        <v>354.47317795973902</v>
      </c>
      <c r="D838">
        <v>1.36078431372549</v>
      </c>
    </row>
    <row r="839" spans="1:4" x14ac:dyDescent="0.3">
      <c r="A839">
        <v>77</v>
      </c>
      <c r="B839" t="s">
        <v>3</v>
      </c>
      <c r="C839">
        <v>15.569453268010299</v>
      </c>
      <c r="D839">
        <v>4.32</v>
      </c>
    </row>
    <row r="840" spans="1:4" x14ac:dyDescent="0.3">
      <c r="A840">
        <v>77</v>
      </c>
      <c r="B840" t="s">
        <v>4</v>
      </c>
      <c r="C840">
        <v>15.5539598819487</v>
      </c>
      <c r="D840">
        <v>4.3846153846153797</v>
      </c>
    </row>
    <row r="841" spans="1:4" x14ac:dyDescent="0.3">
      <c r="A841">
        <v>77</v>
      </c>
      <c r="B841" t="s">
        <v>5</v>
      </c>
      <c r="C841">
        <v>19.844397605876601</v>
      </c>
      <c r="D841">
        <v>4.5</v>
      </c>
    </row>
    <row r="842" spans="1:4" x14ac:dyDescent="0.3">
      <c r="A842">
        <v>77</v>
      </c>
      <c r="B842" t="s">
        <v>6</v>
      </c>
      <c r="C842">
        <v>64.978075744697406</v>
      </c>
      <c r="D842">
        <v>4.0862068965517198</v>
      </c>
    </row>
    <row r="843" spans="1:4" x14ac:dyDescent="0.3">
      <c r="A843">
        <v>77</v>
      </c>
      <c r="B843" t="s">
        <v>7</v>
      </c>
      <c r="C843">
        <v>64.640091268128103</v>
      </c>
      <c r="D843">
        <v>3.5</v>
      </c>
    </row>
    <row r="844" spans="1:4" x14ac:dyDescent="0.3">
      <c r="A844">
        <v>77</v>
      </c>
      <c r="B844" t="s">
        <v>8</v>
      </c>
      <c r="C844">
        <v>78.198131917282097</v>
      </c>
      <c r="D844">
        <v>4</v>
      </c>
    </row>
    <row r="845" spans="1:4" x14ac:dyDescent="0.3">
      <c r="A845">
        <v>77</v>
      </c>
      <c r="B845" t="s">
        <v>9</v>
      </c>
      <c r="C845">
        <v>81.166504756867099</v>
      </c>
      <c r="D845">
        <v>3.5448275862068899</v>
      </c>
    </row>
    <row r="846" spans="1:4" x14ac:dyDescent="0.3">
      <c r="A846">
        <v>77</v>
      </c>
      <c r="B846" t="s">
        <v>10</v>
      </c>
      <c r="C846">
        <v>117.864390246638</v>
      </c>
      <c r="D846">
        <v>1.3891547049441699</v>
      </c>
    </row>
    <row r="847" spans="1:4" x14ac:dyDescent="0.3">
      <c r="A847">
        <v>77</v>
      </c>
      <c r="B847" t="s">
        <v>11</v>
      </c>
      <c r="C847">
        <v>273.41218543422599</v>
      </c>
      <c r="D847">
        <v>4.0797546012269903</v>
      </c>
    </row>
    <row r="848" spans="1:4" x14ac:dyDescent="0.3">
      <c r="A848">
        <v>77</v>
      </c>
      <c r="B848" t="s">
        <v>12</v>
      </c>
      <c r="C848">
        <v>351.88006681675</v>
      </c>
      <c r="D848">
        <v>4.5510688836104496</v>
      </c>
    </row>
    <row r="849" spans="1:4" x14ac:dyDescent="0.3">
      <c r="A849">
        <v>77</v>
      </c>
      <c r="B849" t="s">
        <v>13</v>
      </c>
      <c r="C849">
        <v>355.02293566895702</v>
      </c>
      <c r="D849">
        <v>1.36078431372549</v>
      </c>
    </row>
    <row r="850" spans="1:4" x14ac:dyDescent="0.3">
      <c r="A850">
        <v>78</v>
      </c>
      <c r="B850" t="s">
        <v>3</v>
      </c>
      <c r="C850">
        <v>15.6775788971339</v>
      </c>
      <c r="D850">
        <v>4.32</v>
      </c>
    </row>
    <row r="851" spans="1:4" x14ac:dyDescent="0.3">
      <c r="A851">
        <v>78</v>
      </c>
      <c r="B851" t="s">
        <v>4</v>
      </c>
      <c r="C851">
        <v>15.269353056791701</v>
      </c>
      <c r="D851">
        <v>4.3846153846153797</v>
      </c>
    </row>
    <row r="852" spans="1:4" x14ac:dyDescent="0.3">
      <c r="A852">
        <v>78</v>
      </c>
      <c r="B852" t="s">
        <v>5</v>
      </c>
      <c r="C852">
        <v>19.7527705290942</v>
      </c>
      <c r="D852">
        <v>4.5</v>
      </c>
    </row>
    <row r="853" spans="1:4" x14ac:dyDescent="0.3">
      <c r="A853">
        <v>78</v>
      </c>
      <c r="B853" t="s">
        <v>6</v>
      </c>
      <c r="C853">
        <v>63.970248420714597</v>
      </c>
      <c r="D853">
        <v>4.0862068965517198</v>
      </c>
    </row>
    <row r="854" spans="1:4" x14ac:dyDescent="0.3">
      <c r="A854">
        <v>78</v>
      </c>
      <c r="B854" t="s">
        <v>7</v>
      </c>
      <c r="C854">
        <v>65.832484868202599</v>
      </c>
      <c r="D854">
        <v>3.5</v>
      </c>
    </row>
    <row r="855" spans="1:4" x14ac:dyDescent="0.3">
      <c r="A855">
        <v>78</v>
      </c>
      <c r="B855" t="s">
        <v>8</v>
      </c>
      <c r="C855">
        <v>78.499862687306504</v>
      </c>
      <c r="D855">
        <v>4</v>
      </c>
    </row>
    <row r="856" spans="1:4" x14ac:dyDescent="0.3">
      <c r="A856">
        <v>78</v>
      </c>
      <c r="B856" t="s">
        <v>9</v>
      </c>
      <c r="C856">
        <v>80.8249505466502</v>
      </c>
      <c r="D856">
        <v>3.5448275862068899</v>
      </c>
    </row>
    <row r="857" spans="1:4" x14ac:dyDescent="0.3">
      <c r="A857">
        <v>78</v>
      </c>
      <c r="B857" t="s">
        <v>10</v>
      </c>
      <c r="C857">
        <v>117.438805264032</v>
      </c>
      <c r="D857">
        <v>1.3891547049441699</v>
      </c>
    </row>
    <row r="858" spans="1:4" x14ac:dyDescent="0.3">
      <c r="A858">
        <v>78</v>
      </c>
      <c r="B858" t="s">
        <v>11</v>
      </c>
      <c r="C858">
        <v>275.41423578029298</v>
      </c>
      <c r="D858">
        <v>4.0797546012269903</v>
      </c>
    </row>
    <row r="859" spans="1:4" x14ac:dyDescent="0.3">
      <c r="A859">
        <v>78</v>
      </c>
      <c r="B859" t="s">
        <v>12</v>
      </c>
      <c r="C859">
        <v>355.06581658545701</v>
      </c>
      <c r="D859">
        <v>4.5510688836104496</v>
      </c>
    </row>
    <row r="860" spans="1:4" x14ac:dyDescent="0.3">
      <c r="A860">
        <v>78</v>
      </c>
      <c r="B860" t="s">
        <v>13</v>
      </c>
      <c r="C860">
        <v>353.93624914539402</v>
      </c>
      <c r="D860">
        <v>1.36078431372549</v>
      </c>
    </row>
    <row r="861" spans="1:4" x14ac:dyDescent="0.3">
      <c r="A861">
        <v>79</v>
      </c>
      <c r="B861" t="s">
        <v>3</v>
      </c>
      <c r="C861">
        <v>14.9911030477765</v>
      </c>
      <c r="D861">
        <v>4.32</v>
      </c>
    </row>
    <row r="862" spans="1:4" x14ac:dyDescent="0.3">
      <c r="A862">
        <v>79</v>
      </c>
      <c r="B862" t="s">
        <v>4</v>
      </c>
      <c r="C862">
        <v>15.6797766056683</v>
      </c>
      <c r="D862">
        <v>4.3846153846153797</v>
      </c>
    </row>
    <row r="863" spans="1:4" x14ac:dyDescent="0.3">
      <c r="A863">
        <v>79</v>
      </c>
      <c r="B863" t="s">
        <v>5</v>
      </c>
      <c r="C863">
        <v>19.792028316364199</v>
      </c>
      <c r="D863">
        <v>4.5</v>
      </c>
    </row>
    <row r="864" spans="1:4" x14ac:dyDescent="0.3">
      <c r="A864">
        <v>79</v>
      </c>
      <c r="B864" t="s">
        <v>6</v>
      </c>
      <c r="C864">
        <v>64.870097227536206</v>
      </c>
      <c r="D864">
        <v>4.0862068965517198</v>
      </c>
    </row>
    <row r="865" spans="1:4" x14ac:dyDescent="0.3">
      <c r="A865">
        <v>79</v>
      </c>
      <c r="B865" t="s">
        <v>7</v>
      </c>
      <c r="C865">
        <v>65.694405235288301</v>
      </c>
      <c r="D865">
        <v>3.5</v>
      </c>
    </row>
    <row r="866" spans="1:4" x14ac:dyDescent="0.3">
      <c r="A866">
        <v>79</v>
      </c>
      <c r="B866" t="s">
        <v>8</v>
      </c>
      <c r="C866">
        <v>78.456013699006903</v>
      </c>
      <c r="D866">
        <v>4</v>
      </c>
    </row>
    <row r="867" spans="1:4" x14ac:dyDescent="0.3">
      <c r="A867">
        <v>79</v>
      </c>
      <c r="B867" t="s">
        <v>9</v>
      </c>
      <c r="C867">
        <v>81.094104551783602</v>
      </c>
      <c r="D867">
        <v>3.5448275862068899</v>
      </c>
    </row>
    <row r="868" spans="1:4" x14ac:dyDescent="0.3">
      <c r="A868">
        <v>79</v>
      </c>
      <c r="B868" t="s">
        <v>10</v>
      </c>
      <c r="C868">
        <v>116.953747550806</v>
      </c>
      <c r="D868">
        <v>1.3891547049441699</v>
      </c>
    </row>
    <row r="869" spans="1:4" x14ac:dyDescent="0.3">
      <c r="A869">
        <v>79</v>
      </c>
      <c r="B869" t="s">
        <v>11</v>
      </c>
      <c r="C869">
        <v>276.27928750999001</v>
      </c>
      <c r="D869">
        <v>4.0797546012269903</v>
      </c>
    </row>
    <row r="870" spans="1:4" x14ac:dyDescent="0.3">
      <c r="A870">
        <v>79</v>
      </c>
      <c r="B870" t="s">
        <v>12</v>
      </c>
      <c r="C870">
        <v>352.11193802141798</v>
      </c>
      <c r="D870">
        <v>4.5510688836104496</v>
      </c>
    </row>
    <row r="871" spans="1:4" x14ac:dyDescent="0.3">
      <c r="A871">
        <v>79</v>
      </c>
      <c r="B871" t="s">
        <v>13</v>
      </c>
      <c r="C871">
        <v>353.27602742192801</v>
      </c>
      <c r="D871">
        <v>1.36078431372549</v>
      </c>
    </row>
    <row r="872" spans="1:4" x14ac:dyDescent="0.3">
      <c r="A872">
        <v>80</v>
      </c>
      <c r="B872" t="s">
        <v>3</v>
      </c>
      <c r="C872">
        <v>15.584331427959601</v>
      </c>
      <c r="D872">
        <v>4.32</v>
      </c>
    </row>
    <row r="873" spans="1:4" x14ac:dyDescent="0.3">
      <c r="A873">
        <v>80</v>
      </c>
      <c r="B873" t="s">
        <v>4</v>
      </c>
      <c r="C873">
        <v>15.327639317474601</v>
      </c>
      <c r="D873">
        <v>4.3846153846153797</v>
      </c>
    </row>
    <row r="874" spans="1:4" x14ac:dyDescent="0.3">
      <c r="A874">
        <v>80</v>
      </c>
      <c r="B874" t="s">
        <v>5</v>
      </c>
      <c r="C874">
        <v>20.068359038749701</v>
      </c>
      <c r="D874">
        <v>4.5</v>
      </c>
    </row>
    <row r="875" spans="1:4" x14ac:dyDescent="0.3">
      <c r="A875">
        <v>80</v>
      </c>
      <c r="B875" t="s">
        <v>6</v>
      </c>
      <c r="C875">
        <v>64.9853377085105</v>
      </c>
      <c r="D875">
        <v>4.0862068965517198</v>
      </c>
    </row>
    <row r="876" spans="1:4" x14ac:dyDescent="0.3">
      <c r="A876">
        <v>80</v>
      </c>
      <c r="B876" t="s">
        <v>7</v>
      </c>
      <c r="C876">
        <v>65.119497390801101</v>
      </c>
      <c r="D876">
        <v>3.5</v>
      </c>
    </row>
    <row r="877" spans="1:4" x14ac:dyDescent="0.3">
      <c r="A877">
        <v>80</v>
      </c>
      <c r="B877" t="s">
        <v>8</v>
      </c>
      <c r="C877">
        <v>78.384058512578505</v>
      </c>
      <c r="D877">
        <v>4</v>
      </c>
    </row>
    <row r="878" spans="1:4" x14ac:dyDescent="0.3">
      <c r="A878">
        <v>80</v>
      </c>
      <c r="B878" t="s">
        <v>9</v>
      </c>
      <c r="C878">
        <v>81.416888220885895</v>
      </c>
      <c r="D878">
        <v>3.5448275862068899</v>
      </c>
    </row>
    <row r="879" spans="1:4" x14ac:dyDescent="0.3">
      <c r="A879">
        <v>80</v>
      </c>
      <c r="B879" t="s">
        <v>10</v>
      </c>
      <c r="C879">
        <v>117.471927815108</v>
      </c>
      <c r="D879">
        <v>1.3891547049441699</v>
      </c>
    </row>
    <row r="880" spans="1:4" x14ac:dyDescent="0.3">
      <c r="A880">
        <v>80</v>
      </c>
      <c r="B880" t="s">
        <v>11</v>
      </c>
      <c r="C880">
        <v>275.84834294470699</v>
      </c>
      <c r="D880">
        <v>4.0797546012269903</v>
      </c>
    </row>
    <row r="881" spans="1:4" x14ac:dyDescent="0.3">
      <c r="A881">
        <v>80</v>
      </c>
      <c r="B881" t="s">
        <v>12</v>
      </c>
      <c r="C881">
        <v>353.73499710876899</v>
      </c>
      <c r="D881">
        <v>4.5510688836104496</v>
      </c>
    </row>
    <row r="882" spans="1:4" x14ac:dyDescent="0.3">
      <c r="A882">
        <v>80</v>
      </c>
      <c r="B882" t="s">
        <v>13</v>
      </c>
      <c r="C882">
        <v>352.58252705203699</v>
      </c>
      <c r="D882">
        <v>1.36078431372549</v>
      </c>
    </row>
    <row r="883" spans="1:4" x14ac:dyDescent="0.3">
      <c r="A883">
        <v>81</v>
      </c>
      <c r="B883" t="s">
        <v>3</v>
      </c>
      <c r="C883">
        <v>15.2918468822755</v>
      </c>
      <c r="D883">
        <v>4.32</v>
      </c>
    </row>
    <row r="884" spans="1:4" x14ac:dyDescent="0.3">
      <c r="A884">
        <v>81</v>
      </c>
      <c r="B884" t="s">
        <v>4</v>
      </c>
      <c r="C884">
        <v>15.209996209601201</v>
      </c>
      <c r="D884">
        <v>4.3846153846153797</v>
      </c>
    </row>
    <row r="885" spans="1:4" x14ac:dyDescent="0.3">
      <c r="A885">
        <v>81</v>
      </c>
      <c r="B885" t="s">
        <v>5</v>
      </c>
      <c r="C885">
        <v>19.886839640327899</v>
      </c>
      <c r="D885">
        <v>4.5</v>
      </c>
    </row>
    <row r="886" spans="1:4" x14ac:dyDescent="0.3">
      <c r="A886">
        <v>81</v>
      </c>
      <c r="B886" t="s">
        <v>6</v>
      </c>
      <c r="C886">
        <v>63.7994232257101</v>
      </c>
      <c r="D886">
        <v>4.0862068965517198</v>
      </c>
    </row>
    <row r="887" spans="1:4" x14ac:dyDescent="0.3">
      <c r="A887">
        <v>81</v>
      </c>
      <c r="B887" t="s">
        <v>7</v>
      </c>
      <c r="C887">
        <v>65.2855257975515</v>
      </c>
      <c r="D887">
        <v>3.5</v>
      </c>
    </row>
    <row r="888" spans="1:4" x14ac:dyDescent="0.3">
      <c r="A888">
        <v>81</v>
      </c>
      <c r="B888" t="s">
        <v>8</v>
      </c>
      <c r="C888">
        <v>78.407371449966107</v>
      </c>
      <c r="D888">
        <v>4</v>
      </c>
    </row>
    <row r="889" spans="1:4" x14ac:dyDescent="0.3">
      <c r="A889">
        <v>81</v>
      </c>
      <c r="B889" t="s">
        <v>9</v>
      </c>
      <c r="C889">
        <v>81.722356621915097</v>
      </c>
      <c r="D889">
        <v>3.5448275862068899</v>
      </c>
    </row>
    <row r="890" spans="1:4" x14ac:dyDescent="0.3">
      <c r="A890">
        <v>81</v>
      </c>
      <c r="B890" t="s">
        <v>10</v>
      </c>
      <c r="C890">
        <v>117.18653958909999</v>
      </c>
      <c r="D890">
        <v>1.3891547049441699</v>
      </c>
    </row>
    <row r="891" spans="1:4" x14ac:dyDescent="0.3">
      <c r="A891">
        <v>81</v>
      </c>
      <c r="B891" t="s">
        <v>11</v>
      </c>
      <c r="C891">
        <v>274.09196346607803</v>
      </c>
      <c r="D891">
        <v>4.0797546012269903</v>
      </c>
    </row>
    <row r="892" spans="1:4" x14ac:dyDescent="0.3">
      <c r="A892">
        <v>81</v>
      </c>
      <c r="B892" t="s">
        <v>12</v>
      </c>
      <c r="C892">
        <v>353.727282473581</v>
      </c>
      <c r="D892">
        <v>4.5510688836104496</v>
      </c>
    </row>
    <row r="893" spans="1:4" x14ac:dyDescent="0.3">
      <c r="A893">
        <v>81</v>
      </c>
      <c r="B893" t="s">
        <v>13</v>
      </c>
      <c r="C893">
        <v>351.690463335071</v>
      </c>
      <c r="D893">
        <v>1.36078431372549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93"/>
  <sheetViews>
    <sheetView topLeftCell="C1" workbookViewId="0">
      <selection activeCell="AB13" sqref="AB13"/>
    </sheetView>
  </sheetViews>
  <sheetFormatPr defaultRowHeight="14.4" x14ac:dyDescent="0.3"/>
  <cols>
    <col min="2" max="2" width="12.44140625" bestFit="1" customWidth="1"/>
    <col min="3" max="3" width="22.88671875" bestFit="1" customWidth="1"/>
  </cols>
  <sheetData>
    <row r="1" spans="1:29" s="3" customFormat="1" x14ac:dyDescent="0.3">
      <c r="A1" s="32" t="s">
        <v>62</v>
      </c>
      <c r="B1" s="32"/>
      <c r="C1" s="32"/>
      <c r="D1" s="32"/>
      <c r="E1" s="32"/>
      <c r="G1" s="32" t="s">
        <v>63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T1" s="32" t="s">
        <v>85</v>
      </c>
      <c r="U1" s="32"/>
      <c r="V1" s="32"/>
      <c r="W1" s="32"/>
      <c r="X1" s="32"/>
    </row>
    <row r="2" spans="1:29" x14ac:dyDescent="0.3">
      <c r="A2" t="s">
        <v>60</v>
      </c>
      <c r="B2" t="s">
        <v>0</v>
      </c>
      <c r="C2" t="s">
        <v>1</v>
      </c>
      <c r="D2" t="s">
        <v>2</v>
      </c>
      <c r="G2" t="s">
        <v>60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AA2" t="s">
        <v>87</v>
      </c>
      <c r="AB2">
        <v>1600</v>
      </c>
      <c r="AC2" t="s">
        <v>88</v>
      </c>
    </row>
    <row r="3" spans="1:29" x14ac:dyDescent="0.3">
      <c r="A3">
        <v>1</v>
      </c>
      <c r="B3" t="s">
        <v>3</v>
      </c>
      <c r="C3">
        <v>15.5774905015146</v>
      </c>
      <c r="D3">
        <v>13</v>
      </c>
      <c r="G3">
        <v>1</v>
      </c>
      <c r="H3" t="s">
        <v>25</v>
      </c>
      <c r="I3">
        <v>77</v>
      </c>
      <c r="J3">
        <v>74</v>
      </c>
      <c r="K3">
        <v>6.8051948051947999</v>
      </c>
      <c r="L3">
        <v>18.108034262397901</v>
      </c>
      <c r="M3">
        <v>12.714360023524</v>
      </c>
      <c r="N3">
        <v>81.733718257478699</v>
      </c>
      <c r="O3">
        <v>0</v>
      </c>
      <c r="P3">
        <v>0</v>
      </c>
      <c r="Q3">
        <v>210.198904</v>
      </c>
      <c r="R3">
        <v>188.44268153599899</v>
      </c>
      <c r="T3">
        <v>1</v>
      </c>
      <c r="U3">
        <v>4</v>
      </c>
      <c r="V3">
        <v>15</v>
      </c>
      <c r="W3">
        <v>2</v>
      </c>
      <c r="X3">
        <v>0.35</v>
      </c>
    </row>
    <row r="4" spans="1:29" x14ac:dyDescent="0.3">
      <c r="A4">
        <v>1</v>
      </c>
      <c r="B4" t="s">
        <v>4</v>
      </c>
      <c r="C4">
        <v>15.2447223503244</v>
      </c>
      <c r="D4">
        <v>13</v>
      </c>
      <c r="G4">
        <v>1</v>
      </c>
      <c r="H4" t="s">
        <v>26</v>
      </c>
      <c r="I4">
        <v>95</v>
      </c>
      <c r="J4">
        <v>92</v>
      </c>
      <c r="K4">
        <v>7.8842105263157896</v>
      </c>
      <c r="L4">
        <v>19.715727464242299</v>
      </c>
      <c r="M4">
        <v>12.714360023524</v>
      </c>
      <c r="N4">
        <v>99.627617741331093</v>
      </c>
      <c r="O4">
        <v>0</v>
      </c>
      <c r="P4">
        <v>0</v>
      </c>
      <c r="Q4">
        <v>235.03485699999999</v>
      </c>
      <c r="R4">
        <v>218.61658092099901</v>
      </c>
      <c r="T4">
        <v>2</v>
      </c>
      <c r="U4">
        <v>8</v>
      </c>
      <c r="V4">
        <v>15</v>
      </c>
      <c r="W4">
        <v>4</v>
      </c>
      <c r="X4">
        <v>0.35</v>
      </c>
    </row>
    <row r="5" spans="1:29" x14ac:dyDescent="0.3">
      <c r="A5">
        <v>1</v>
      </c>
      <c r="B5" t="s">
        <v>5</v>
      </c>
      <c r="C5">
        <v>19.9930869726583</v>
      </c>
      <c r="D5">
        <v>13</v>
      </c>
      <c r="G5">
        <v>1</v>
      </c>
      <c r="H5" t="s">
        <v>27</v>
      </c>
      <c r="I5">
        <v>80</v>
      </c>
      <c r="J5">
        <v>80</v>
      </c>
      <c r="K5">
        <v>7.0374999999999996</v>
      </c>
      <c r="L5">
        <v>19.292369796389401</v>
      </c>
      <c r="M5">
        <v>12.714360023524</v>
      </c>
      <c r="N5">
        <v>84.751372052594704</v>
      </c>
      <c r="O5">
        <v>0</v>
      </c>
      <c r="P5">
        <v>0</v>
      </c>
      <c r="Q5">
        <v>249.71220399999899</v>
      </c>
      <c r="R5">
        <v>228.606512014</v>
      </c>
      <c r="T5">
        <v>3</v>
      </c>
      <c r="U5">
        <v>8</v>
      </c>
      <c r="V5">
        <v>15</v>
      </c>
      <c r="W5">
        <v>4</v>
      </c>
      <c r="X5">
        <v>0.5</v>
      </c>
    </row>
    <row r="6" spans="1:29" x14ac:dyDescent="0.3">
      <c r="A6">
        <v>1</v>
      </c>
      <c r="B6" t="s">
        <v>6</v>
      </c>
      <c r="C6">
        <v>64.7916993841812</v>
      </c>
      <c r="D6">
        <v>13</v>
      </c>
      <c r="G6">
        <v>1</v>
      </c>
      <c r="H6" t="s">
        <v>28</v>
      </c>
      <c r="I6">
        <v>85</v>
      </c>
      <c r="J6">
        <v>82</v>
      </c>
      <c r="K6">
        <v>7.6941176470588202</v>
      </c>
      <c r="L6">
        <v>19.471368200108</v>
      </c>
      <c r="M6">
        <v>12.714360023524</v>
      </c>
      <c r="N6">
        <v>89.889372607267802</v>
      </c>
      <c r="O6">
        <v>0</v>
      </c>
      <c r="P6">
        <v>0</v>
      </c>
      <c r="Q6">
        <v>244.02246499999899</v>
      </c>
      <c r="R6">
        <v>225.494535648999</v>
      </c>
      <c r="T6" s="25">
        <v>4</v>
      </c>
      <c r="U6" s="25">
        <v>12</v>
      </c>
      <c r="V6" s="25">
        <v>15</v>
      </c>
      <c r="W6" s="25">
        <v>2</v>
      </c>
      <c r="X6" s="25">
        <v>0.2</v>
      </c>
      <c r="Y6" s="3" t="s">
        <v>92</v>
      </c>
    </row>
    <row r="7" spans="1:29" x14ac:dyDescent="0.3">
      <c r="A7">
        <v>1</v>
      </c>
      <c r="B7" t="s">
        <v>7</v>
      </c>
      <c r="C7">
        <v>65.624872509619905</v>
      </c>
      <c r="D7">
        <v>13</v>
      </c>
      <c r="G7">
        <v>2</v>
      </c>
      <c r="H7" t="s">
        <v>25</v>
      </c>
      <c r="I7">
        <v>95</v>
      </c>
      <c r="J7">
        <v>92</v>
      </c>
      <c r="K7">
        <v>7.8842105263157896</v>
      </c>
      <c r="L7">
        <v>20.065817910298001</v>
      </c>
      <c r="M7">
        <v>12.903515262826</v>
      </c>
      <c r="N7">
        <v>99.290254468813799</v>
      </c>
      <c r="O7">
        <v>0</v>
      </c>
      <c r="P7">
        <v>0</v>
      </c>
      <c r="Q7">
        <v>231.70468499999899</v>
      </c>
      <c r="R7">
        <v>214.94152738499901</v>
      </c>
      <c r="T7">
        <v>5</v>
      </c>
      <c r="U7">
        <v>12</v>
      </c>
      <c r="V7">
        <v>15</v>
      </c>
      <c r="W7">
        <v>2</v>
      </c>
      <c r="X7">
        <v>0.35</v>
      </c>
    </row>
    <row r="8" spans="1:29" x14ac:dyDescent="0.3">
      <c r="A8">
        <v>1</v>
      </c>
      <c r="B8" t="s">
        <v>8</v>
      </c>
      <c r="C8">
        <v>79.013879873916807</v>
      </c>
      <c r="D8">
        <v>13.8194444444444</v>
      </c>
      <c r="G8">
        <v>2</v>
      </c>
      <c r="H8" t="s">
        <v>26</v>
      </c>
      <c r="I8">
        <v>85</v>
      </c>
      <c r="J8">
        <v>85</v>
      </c>
      <c r="K8">
        <v>7.2705882352941096</v>
      </c>
      <c r="L8">
        <v>19.046004023534898</v>
      </c>
      <c r="M8">
        <v>12.903515262826</v>
      </c>
      <c r="N8">
        <v>90.050967877334301</v>
      </c>
      <c r="O8">
        <v>0</v>
      </c>
      <c r="P8">
        <v>0</v>
      </c>
      <c r="Q8">
        <v>225.039773999999</v>
      </c>
      <c r="R8">
        <v>206.255043236999</v>
      </c>
      <c r="T8">
        <v>6</v>
      </c>
      <c r="U8">
        <v>12</v>
      </c>
      <c r="V8">
        <v>15</v>
      </c>
      <c r="W8">
        <v>2</v>
      </c>
      <c r="X8">
        <v>0.5</v>
      </c>
    </row>
    <row r="9" spans="1:29" x14ac:dyDescent="0.3">
      <c r="A9">
        <v>1</v>
      </c>
      <c r="B9" t="s">
        <v>9</v>
      </c>
      <c r="C9">
        <v>81.447622908452104</v>
      </c>
      <c r="D9">
        <v>14</v>
      </c>
      <c r="G9">
        <v>2</v>
      </c>
      <c r="H9" t="s">
        <v>27</v>
      </c>
      <c r="I9">
        <v>95</v>
      </c>
      <c r="J9">
        <v>92</v>
      </c>
      <c r="K9">
        <v>7.8842105263157896</v>
      </c>
      <c r="L9">
        <v>20.530617190857601</v>
      </c>
      <c r="M9">
        <v>12.903515262826</v>
      </c>
      <c r="N9">
        <v>100.77036910519401</v>
      </c>
      <c r="O9">
        <v>0</v>
      </c>
      <c r="P9">
        <v>0</v>
      </c>
      <c r="Q9">
        <v>276.60237999999998</v>
      </c>
      <c r="R9">
        <v>260.55082460499898</v>
      </c>
      <c r="T9">
        <v>7</v>
      </c>
      <c r="U9">
        <v>12</v>
      </c>
      <c r="V9">
        <v>15</v>
      </c>
      <c r="W9">
        <v>3</v>
      </c>
      <c r="X9">
        <v>0.2</v>
      </c>
    </row>
    <row r="10" spans="1:29" x14ac:dyDescent="0.3">
      <c r="A10">
        <v>1</v>
      </c>
      <c r="B10" t="s">
        <v>10</v>
      </c>
      <c r="C10">
        <v>117.291394163961</v>
      </c>
      <c r="D10">
        <v>14</v>
      </c>
      <c r="G10">
        <v>2</v>
      </c>
      <c r="H10" t="s">
        <v>28</v>
      </c>
      <c r="I10">
        <v>80</v>
      </c>
      <c r="J10">
        <v>76</v>
      </c>
      <c r="K10">
        <v>7.4749999999999996</v>
      </c>
      <c r="L10">
        <v>20.7698403162665</v>
      </c>
      <c r="M10">
        <v>12.903515262826</v>
      </c>
      <c r="N10">
        <v>84.090351170614397</v>
      </c>
      <c r="O10">
        <v>0</v>
      </c>
      <c r="P10">
        <v>0</v>
      </c>
      <c r="Q10">
        <v>260.09354599999898</v>
      </c>
      <c r="R10">
        <v>234.720840105999</v>
      </c>
      <c r="T10">
        <v>8</v>
      </c>
      <c r="U10">
        <v>12</v>
      </c>
      <c r="V10">
        <v>15</v>
      </c>
      <c r="W10">
        <v>3</v>
      </c>
      <c r="X10">
        <v>0.35</v>
      </c>
    </row>
    <row r="11" spans="1:29" x14ac:dyDescent="0.3">
      <c r="A11">
        <v>1</v>
      </c>
      <c r="B11" t="s">
        <v>11</v>
      </c>
      <c r="C11">
        <v>275.63931214360701</v>
      </c>
      <c r="D11">
        <v>0</v>
      </c>
      <c r="G11">
        <v>3</v>
      </c>
      <c r="H11" t="s">
        <v>25</v>
      </c>
      <c r="I11">
        <v>78</v>
      </c>
      <c r="J11">
        <v>77</v>
      </c>
      <c r="K11">
        <v>6.8717948717948696</v>
      </c>
      <c r="L11">
        <v>19.028551098703499</v>
      </c>
      <c r="M11">
        <v>13.415220690554399</v>
      </c>
      <c r="N11">
        <v>91.857587195001798</v>
      </c>
      <c r="O11">
        <v>0</v>
      </c>
      <c r="P11">
        <v>0</v>
      </c>
      <c r="Q11">
        <v>249.69312499999899</v>
      </c>
      <c r="R11">
        <v>230.51629061</v>
      </c>
      <c r="T11">
        <v>9</v>
      </c>
      <c r="U11">
        <v>12</v>
      </c>
      <c r="V11">
        <v>15</v>
      </c>
      <c r="W11">
        <v>3</v>
      </c>
      <c r="X11">
        <v>0.5</v>
      </c>
    </row>
    <row r="12" spans="1:29" x14ac:dyDescent="0.3">
      <c r="A12">
        <v>1</v>
      </c>
      <c r="B12" t="s">
        <v>12</v>
      </c>
      <c r="C12">
        <v>353.94444228529397</v>
      </c>
      <c r="D12">
        <v>0</v>
      </c>
      <c r="G12">
        <v>3</v>
      </c>
      <c r="H12" t="s">
        <v>26</v>
      </c>
      <c r="I12">
        <v>75</v>
      </c>
      <c r="J12">
        <v>74</v>
      </c>
      <c r="K12">
        <v>6.6533333333333298</v>
      </c>
      <c r="L12">
        <v>18.8414749511814</v>
      </c>
      <c r="M12">
        <v>13.415220690554399</v>
      </c>
      <c r="N12">
        <v>89.729430745073699</v>
      </c>
      <c r="O12">
        <v>0</v>
      </c>
      <c r="P12">
        <v>0</v>
      </c>
      <c r="Q12">
        <v>247.39763600000001</v>
      </c>
      <c r="R12">
        <v>229.135221577999</v>
      </c>
      <c r="T12">
        <v>10</v>
      </c>
      <c r="U12">
        <v>12</v>
      </c>
      <c r="V12">
        <v>15</v>
      </c>
      <c r="W12">
        <v>4</v>
      </c>
      <c r="X12">
        <v>0.2</v>
      </c>
    </row>
    <row r="13" spans="1:29" x14ac:dyDescent="0.3">
      <c r="A13">
        <v>1</v>
      </c>
      <c r="B13" t="s">
        <v>13</v>
      </c>
      <c r="C13">
        <v>353.06660496454299</v>
      </c>
      <c r="D13">
        <v>0</v>
      </c>
      <c r="G13">
        <v>3</v>
      </c>
      <c r="H13" t="s">
        <v>27</v>
      </c>
      <c r="I13">
        <v>82</v>
      </c>
      <c r="J13">
        <v>82</v>
      </c>
      <c r="K13">
        <v>7.08536585365853</v>
      </c>
      <c r="L13">
        <v>19.068446611531801</v>
      </c>
      <c r="M13">
        <v>13.415220690554399</v>
      </c>
      <c r="N13">
        <v>95.757424583808103</v>
      </c>
      <c r="O13">
        <v>0</v>
      </c>
      <c r="P13">
        <v>0</v>
      </c>
      <c r="Q13">
        <v>243.54351</v>
      </c>
      <c r="R13">
        <v>228.80310917999901</v>
      </c>
      <c r="T13">
        <v>11</v>
      </c>
      <c r="U13">
        <v>12</v>
      </c>
      <c r="V13">
        <v>15</v>
      </c>
      <c r="W13">
        <v>4</v>
      </c>
      <c r="X13">
        <v>0.35</v>
      </c>
    </row>
    <row r="14" spans="1:29" x14ac:dyDescent="0.3">
      <c r="A14">
        <v>2</v>
      </c>
      <c r="B14" t="s">
        <v>3</v>
      </c>
      <c r="C14">
        <v>15.0026514341601</v>
      </c>
      <c r="D14">
        <v>13</v>
      </c>
      <c r="G14">
        <v>3</v>
      </c>
      <c r="H14" t="s">
        <v>28</v>
      </c>
      <c r="I14">
        <v>75</v>
      </c>
      <c r="J14">
        <v>75</v>
      </c>
      <c r="K14">
        <v>6.84</v>
      </c>
      <c r="L14">
        <v>20.745524991769202</v>
      </c>
      <c r="M14">
        <v>13.415220690554399</v>
      </c>
      <c r="N14">
        <v>93.199049437528302</v>
      </c>
      <c r="O14">
        <v>0</v>
      </c>
      <c r="P14">
        <v>0</v>
      </c>
      <c r="Q14">
        <v>280.380799999999</v>
      </c>
      <c r="R14">
        <v>257.56386565699898</v>
      </c>
      <c r="T14">
        <v>12</v>
      </c>
      <c r="U14">
        <v>12</v>
      </c>
      <c r="V14">
        <v>15</v>
      </c>
      <c r="W14">
        <v>4</v>
      </c>
      <c r="X14">
        <v>0.5</v>
      </c>
    </row>
    <row r="15" spans="1:29" x14ac:dyDescent="0.3">
      <c r="A15">
        <v>2</v>
      </c>
      <c r="B15" t="s">
        <v>4</v>
      </c>
      <c r="C15">
        <v>15.3554938804782</v>
      </c>
      <c r="D15">
        <v>13</v>
      </c>
      <c r="G15">
        <v>3</v>
      </c>
      <c r="H15" t="s">
        <v>29</v>
      </c>
      <c r="I15">
        <v>72</v>
      </c>
      <c r="J15">
        <v>72</v>
      </c>
      <c r="K15">
        <v>6.2638888888888804</v>
      </c>
      <c r="L15">
        <v>18.587627527953099</v>
      </c>
      <c r="M15">
        <v>13.415220690554399</v>
      </c>
      <c r="N15">
        <v>90.565464564981994</v>
      </c>
      <c r="O15">
        <v>0</v>
      </c>
      <c r="P15">
        <v>0</v>
      </c>
      <c r="Q15">
        <v>255.102611</v>
      </c>
      <c r="R15">
        <v>236.41952477000001</v>
      </c>
      <c r="T15">
        <v>13</v>
      </c>
      <c r="U15">
        <v>4</v>
      </c>
      <c r="V15">
        <v>20</v>
      </c>
      <c r="W15">
        <v>2</v>
      </c>
      <c r="X15">
        <v>0.2</v>
      </c>
    </row>
    <row r="16" spans="1:29" x14ac:dyDescent="0.3">
      <c r="A16">
        <v>2</v>
      </c>
      <c r="B16" t="s">
        <v>5</v>
      </c>
      <c r="C16">
        <v>19.586165108934502</v>
      </c>
      <c r="D16">
        <v>13</v>
      </c>
      <c r="G16">
        <v>3</v>
      </c>
      <c r="H16" t="s">
        <v>30</v>
      </c>
      <c r="I16">
        <v>81</v>
      </c>
      <c r="J16">
        <v>81</v>
      </c>
      <c r="K16">
        <v>7.5061728395061698</v>
      </c>
      <c r="L16">
        <v>19.7656530357864</v>
      </c>
      <c r="M16">
        <v>13.415220690554399</v>
      </c>
      <c r="N16">
        <v>98.587402926528995</v>
      </c>
      <c r="O16">
        <v>0</v>
      </c>
      <c r="P16">
        <v>0</v>
      </c>
      <c r="Q16">
        <v>273.71251000000001</v>
      </c>
      <c r="R16">
        <v>257.27716245999898</v>
      </c>
      <c r="T16">
        <v>14</v>
      </c>
      <c r="U16">
        <v>4</v>
      </c>
      <c r="V16">
        <v>20</v>
      </c>
      <c r="W16">
        <v>2</v>
      </c>
      <c r="X16">
        <v>0.35</v>
      </c>
    </row>
    <row r="17" spans="1:24" x14ac:dyDescent="0.3">
      <c r="A17">
        <v>2</v>
      </c>
      <c r="B17" t="s">
        <v>6</v>
      </c>
      <c r="C17">
        <v>64.366733653511801</v>
      </c>
      <c r="D17">
        <v>13</v>
      </c>
      <c r="G17">
        <v>3</v>
      </c>
      <c r="H17" t="s">
        <v>31</v>
      </c>
      <c r="I17">
        <v>83</v>
      </c>
      <c r="J17">
        <v>83</v>
      </c>
      <c r="K17">
        <v>7.3614457831325302</v>
      </c>
      <c r="L17">
        <v>19.499707578227401</v>
      </c>
      <c r="M17">
        <v>13.415220690554399</v>
      </c>
      <c r="N17">
        <v>102.68336573339</v>
      </c>
      <c r="O17">
        <v>0</v>
      </c>
      <c r="P17">
        <v>0</v>
      </c>
      <c r="Q17">
        <v>260.862246999999</v>
      </c>
      <c r="R17">
        <v>245.44477851099899</v>
      </c>
      <c r="T17">
        <v>15</v>
      </c>
      <c r="U17">
        <v>4</v>
      </c>
      <c r="V17">
        <v>20</v>
      </c>
      <c r="W17">
        <v>2</v>
      </c>
      <c r="X17">
        <v>0.5</v>
      </c>
    </row>
    <row r="18" spans="1:24" x14ac:dyDescent="0.3">
      <c r="A18">
        <v>2</v>
      </c>
      <c r="B18" t="s">
        <v>7</v>
      </c>
      <c r="C18">
        <v>66.126401108700904</v>
      </c>
      <c r="D18">
        <v>13</v>
      </c>
      <c r="G18">
        <v>3</v>
      </c>
      <c r="H18" t="s">
        <v>32</v>
      </c>
      <c r="I18">
        <v>83</v>
      </c>
      <c r="J18">
        <v>82</v>
      </c>
      <c r="K18">
        <v>7.3614457831325302</v>
      </c>
      <c r="L18">
        <v>19.633884848908401</v>
      </c>
      <c r="M18">
        <v>13.415220690554399</v>
      </c>
      <c r="N18">
        <v>102.287854175289</v>
      </c>
      <c r="O18">
        <v>0</v>
      </c>
      <c r="P18">
        <v>0</v>
      </c>
      <c r="Q18">
        <v>268.13536199999999</v>
      </c>
      <c r="R18">
        <v>251.91729335099899</v>
      </c>
      <c r="T18">
        <v>16</v>
      </c>
      <c r="U18">
        <v>4</v>
      </c>
      <c r="V18">
        <v>20</v>
      </c>
      <c r="W18">
        <v>3</v>
      </c>
      <c r="X18">
        <v>0.2</v>
      </c>
    </row>
    <row r="19" spans="1:24" x14ac:dyDescent="0.3">
      <c r="A19">
        <v>2</v>
      </c>
      <c r="B19" t="s">
        <v>8</v>
      </c>
      <c r="C19">
        <v>79.126614169688494</v>
      </c>
      <c r="D19">
        <v>13.6527777777777</v>
      </c>
      <c r="G19">
        <v>4</v>
      </c>
      <c r="H19" t="s">
        <v>25</v>
      </c>
      <c r="I19">
        <v>83</v>
      </c>
      <c r="J19">
        <v>83</v>
      </c>
      <c r="K19">
        <v>7.24096385542168</v>
      </c>
      <c r="L19">
        <v>19.7261790379366</v>
      </c>
      <c r="M19">
        <v>13.155696207141199</v>
      </c>
      <c r="N19">
        <v>97.2923087447531</v>
      </c>
      <c r="O19">
        <v>0</v>
      </c>
      <c r="P19">
        <v>0</v>
      </c>
      <c r="Q19">
        <v>255.90982299999999</v>
      </c>
      <c r="R19">
        <v>237.098467803999</v>
      </c>
      <c r="T19">
        <v>17</v>
      </c>
      <c r="U19">
        <v>4</v>
      </c>
      <c r="V19">
        <v>20</v>
      </c>
      <c r="W19">
        <v>3</v>
      </c>
      <c r="X19">
        <v>0.35</v>
      </c>
    </row>
    <row r="20" spans="1:24" x14ac:dyDescent="0.3">
      <c r="A20">
        <v>2</v>
      </c>
      <c r="B20" t="s">
        <v>9</v>
      </c>
      <c r="C20">
        <v>81.351287336329094</v>
      </c>
      <c r="D20">
        <v>14</v>
      </c>
      <c r="G20">
        <v>4</v>
      </c>
      <c r="H20" t="s">
        <v>26</v>
      </c>
      <c r="I20">
        <v>87</v>
      </c>
      <c r="J20">
        <v>86</v>
      </c>
      <c r="K20">
        <v>7.7126436781609096</v>
      </c>
      <c r="L20">
        <v>20.224813990891199</v>
      </c>
      <c r="M20">
        <v>13.155696207141199</v>
      </c>
      <c r="N20">
        <v>100.01341531323</v>
      </c>
      <c r="O20">
        <v>0</v>
      </c>
      <c r="P20">
        <v>0</v>
      </c>
      <c r="Q20">
        <v>268.381325</v>
      </c>
      <c r="R20">
        <v>253.148880829999</v>
      </c>
      <c r="T20">
        <v>18</v>
      </c>
      <c r="U20">
        <v>4</v>
      </c>
      <c r="V20">
        <v>20</v>
      </c>
      <c r="W20">
        <v>3</v>
      </c>
      <c r="X20">
        <v>0.5</v>
      </c>
    </row>
    <row r="21" spans="1:24" x14ac:dyDescent="0.3">
      <c r="A21">
        <v>2</v>
      </c>
      <c r="B21" t="s">
        <v>10</v>
      </c>
      <c r="C21">
        <v>117.08699695656399</v>
      </c>
      <c r="D21">
        <v>14</v>
      </c>
      <c r="G21">
        <v>4</v>
      </c>
      <c r="H21" t="s">
        <v>27</v>
      </c>
      <c r="I21">
        <v>69</v>
      </c>
      <c r="J21">
        <v>69</v>
      </c>
      <c r="K21">
        <v>6.1739130434782599</v>
      </c>
      <c r="L21">
        <v>18.210066256010901</v>
      </c>
      <c r="M21">
        <v>13.155696207141199</v>
      </c>
      <c r="N21">
        <v>82.627038257589803</v>
      </c>
      <c r="O21">
        <v>0</v>
      </c>
      <c r="P21">
        <v>0</v>
      </c>
      <c r="Q21">
        <v>241.407229</v>
      </c>
      <c r="R21">
        <v>222.63390378699901</v>
      </c>
      <c r="T21">
        <v>19</v>
      </c>
      <c r="U21">
        <v>4</v>
      </c>
      <c r="V21">
        <v>20</v>
      </c>
      <c r="W21">
        <v>4</v>
      </c>
      <c r="X21">
        <v>0.2</v>
      </c>
    </row>
    <row r="22" spans="1:24" x14ac:dyDescent="0.3">
      <c r="A22">
        <v>2</v>
      </c>
      <c r="B22" t="s">
        <v>11</v>
      </c>
      <c r="C22">
        <v>274.90938793090402</v>
      </c>
      <c r="D22">
        <v>0</v>
      </c>
      <c r="G22">
        <v>4</v>
      </c>
      <c r="H22" t="s">
        <v>28</v>
      </c>
      <c r="I22">
        <v>75</v>
      </c>
      <c r="J22">
        <v>75</v>
      </c>
      <c r="K22">
        <v>6.84</v>
      </c>
      <c r="L22">
        <v>20.362291646764799</v>
      </c>
      <c r="M22">
        <v>13.155696207141199</v>
      </c>
      <c r="N22">
        <v>93.202601363429295</v>
      </c>
      <c r="O22">
        <v>0</v>
      </c>
      <c r="P22">
        <v>0</v>
      </c>
      <c r="Q22">
        <v>268.71978200000001</v>
      </c>
      <c r="R22">
        <v>247.25295440299899</v>
      </c>
      <c r="T22">
        <v>20</v>
      </c>
      <c r="U22">
        <v>4</v>
      </c>
      <c r="V22">
        <v>20</v>
      </c>
      <c r="W22">
        <v>4</v>
      </c>
      <c r="X22">
        <v>0.35</v>
      </c>
    </row>
    <row r="23" spans="1:24" x14ac:dyDescent="0.3">
      <c r="A23">
        <v>2</v>
      </c>
      <c r="B23" t="s">
        <v>12</v>
      </c>
      <c r="C23">
        <v>352.13980369068298</v>
      </c>
      <c r="D23">
        <v>0</v>
      </c>
      <c r="G23">
        <v>4</v>
      </c>
      <c r="H23" t="s">
        <v>29</v>
      </c>
      <c r="I23">
        <v>72</v>
      </c>
      <c r="J23">
        <v>72</v>
      </c>
      <c r="K23">
        <v>7.0416666666666599</v>
      </c>
      <c r="L23">
        <v>18.7225154062141</v>
      </c>
      <c r="M23">
        <v>13.155696207141199</v>
      </c>
      <c r="N23">
        <v>89.448618514988397</v>
      </c>
      <c r="O23">
        <v>0</v>
      </c>
      <c r="P23">
        <v>0</v>
      </c>
      <c r="Q23">
        <v>258.67304899999999</v>
      </c>
      <c r="R23">
        <v>240.56887880899899</v>
      </c>
      <c r="T23">
        <v>21</v>
      </c>
      <c r="U23">
        <v>4</v>
      </c>
      <c r="V23">
        <v>20</v>
      </c>
      <c r="W23">
        <v>4</v>
      </c>
      <c r="X23">
        <v>0.5</v>
      </c>
    </row>
    <row r="24" spans="1:24" x14ac:dyDescent="0.3">
      <c r="A24">
        <v>2</v>
      </c>
      <c r="B24" t="s">
        <v>13</v>
      </c>
      <c r="C24">
        <v>351.80614713190801</v>
      </c>
      <c r="D24">
        <v>0</v>
      </c>
      <c r="G24">
        <v>4</v>
      </c>
      <c r="H24" t="s">
        <v>30</v>
      </c>
      <c r="I24">
        <v>82</v>
      </c>
      <c r="J24">
        <v>82</v>
      </c>
      <c r="K24">
        <v>7.5121951219512102</v>
      </c>
      <c r="L24">
        <v>19.805140504090701</v>
      </c>
      <c r="M24">
        <v>13.155696207141199</v>
      </c>
      <c r="N24">
        <v>100.13689994622899</v>
      </c>
      <c r="O24">
        <v>0</v>
      </c>
      <c r="P24">
        <v>0</v>
      </c>
      <c r="Q24">
        <v>268.526106999999</v>
      </c>
      <c r="R24">
        <v>252.21325237599899</v>
      </c>
      <c r="T24">
        <v>22</v>
      </c>
      <c r="U24">
        <v>8</v>
      </c>
      <c r="V24">
        <v>20</v>
      </c>
      <c r="W24">
        <v>2</v>
      </c>
      <c r="X24">
        <v>0.2</v>
      </c>
    </row>
    <row r="25" spans="1:24" x14ac:dyDescent="0.3">
      <c r="A25">
        <v>3</v>
      </c>
      <c r="B25" t="s">
        <v>3</v>
      </c>
      <c r="C25">
        <v>15.370160357368899</v>
      </c>
      <c r="D25">
        <v>13</v>
      </c>
      <c r="G25">
        <v>4</v>
      </c>
      <c r="H25" t="s">
        <v>31</v>
      </c>
      <c r="I25">
        <v>75</v>
      </c>
      <c r="J25">
        <v>75</v>
      </c>
      <c r="K25">
        <v>7.4666666666666597</v>
      </c>
      <c r="L25">
        <v>18.7671236288171</v>
      </c>
      <c r="M25">
        <v>13.155696207141199</v>
      </c>
      <c r="N25">
        <v>88.129289841204695</v>
      </c>
      <c r="O25">
        <v>0</v>
      </c>
      <c r="P25">
        <v>0</v>
      </c>
      <c r="Q25">
        <v>255.17317199999999</v>
      </c>
      <c r="R25">
        <v>237.96662136499901</v>
      </c>
      <c r="T25">
        <v>23</v>
      </c>
      <c r="U25">
        <v>8</v>
      </c>
      <c r="V25">
        <v>20</v>
      </c>
      <c r="W25">
        <v>2</v>
      </c>
      <c r="X25">
        <v>0.35</v>
      </c>
    </row>
    <row r="26" spans="1:24" x14ac:dyDescent="0.3">
      <c r="A26">
        <v>3</v>
      </c>
      <c r="B26" t="s">
        <v>4</v>
      </c>
      <c r="C26">
        <v>15.5932913187099</v>
      </c>
      <c r="D26">
        <v>13</v>
      </c>
      <c r="G26">
        <v>4</v>
      </c>
      <c r="H26" t="s">
        <v>32</v>
      </c>
      <c r="I26">
        <v>82</v>
      </c>
      <c r="J26">
        <v>82</v>
      </c>
      <c r="K26">
        <v>7.3414634146341404</v>
      </c>
      <c r="L26">
        <v>19.238722552845601</v>
      </c>
      <c r="M26">
        <v>13.155696207141199</v>
      </c>
      <c r="N26">
        <v>99.024511825625098</v>
      </c>
      <c r="O26">
        <v>0</v>
      </c>
      <c r="P26">
        <v>0</v>
      </c>
      <c r="Q26">
        <v>252.74743699999999</v>
      </c>
      <c r="R26">
        <v>237.360632710999</v>
      </c>
      <c r="T26">
        <v>24</v>
      </c>
      <c r="U26">
        <v>8</v>
      </c>
      <c r="V26">
        <v>20</v>
      </c>
      <c r="W26">
        <v>2</v>
      </c>
      <c r="X26">
        <v>0.5</v>
      </c>
    </row>
    <row r="27" spans="1:24" x14ac:dyDescent="0.3">
      <c r="A27">
        <v>3</v>
      </c>
      <c r="B27" t="s">
        <v>5</v>
      </c>
      <c r="C27">
        <v>19.6048788675993</v>
      </c>
      <c r="D27">
        <v>13</v>
      </c>
      <c r="G27">
        <v>5</v>
      </c>
      <c r="H27" t="s">
        <v>25</v>
      </c>
      <c r="I27">
        <v>78</v>
      </c>
      <c r="J27">
        <v>77</v>
      </c>
      <c r="K27">
        <v>6.8717948717948696</v>
      </c>
      <c r="L27">
        <v>19.121573745180299</v>
      </c>
      <c r="M27">
        <v>13.309647375269099</v>
      </c>
      <c r="N27">
        <v>91.288714231221704</v>
      </c>
      <c r="O27">
        <v>0</v>
      </c>
      <c r="P27">
        <v>0</v>
      </c>
      <c r="Q27">
        <v>250.763519999999</v>
      </c>
      <c r="R27">
        <v>231.53126875499899</v>
      </c>
      <c r="T27">
        <v>25</v>
      </c>
      <c r="U27">
        <v>8</v>
      </c>
      <c r="V27">
        <v>20</v>
      </c>
      <c r="W27">
        <v>3</v>
      </c>
      <c r="X27">
        <v>0.2</v>
      </c>
    </row>
    <row r="28" spans="1:24" x14ac:dyDescent="0.3">
      <c r="A28">
        <v>3</v>
      </c>
      <c r="B28" t="s">
        <v>6</v>
      </c>
      <c r="C28">
        <v>65.749790964679207</v>
      </c>
      <c r="D28">
        <v>13</v>
      </c>
      <c r="G28">
        <v>5</v>
      </c>
      <c r="H28" t="s">
        <v>26</v>
      </c>
      <c r="I28">
        <v>74</v>
      </c>
      <c r="J28">
        <v>74</v>
      </c>
      <c r="K28">
        <v>6.7027027027027</v>
      </c>
      <c r="L28">
        <v>18.6310777892981</v>
      </c>
      <c r="M28">
        <v>13.309647375269099</v>
      </c>
      <c r="N28">
        <v>85.977454955227302</v>
      </c>
      <c r="O28">
        <v>0</v>
      </c>
      <c r="P28">
        <v>0</v>
      </c>
      <c r="Q28">
        <v>244.272131</v>
      </c>
      <c r="R28">
        <v>226.336402297999</v>
      </c>
      <c r="T28">
        <v>26</v>
      </c>
      <c r="U28">
        <v>8</v>
      </c>
      <c r="V28">
        <v>20</v>
      </c>
      <c r="W28">
        <v>3</v>
      </c>
      <c r="X28">
        <v>0.35</v>
      </c>
    </row>
    <row r="29" spans="1:24" x14ac:dyDescent="0.3">
      <c r="A29">
        <v>3</v>
      </c>
      <c r="B29" t="s">
        <v>7</v>
      </c>
      <c r="C29">
        <v>66.138442375660404</v>
      </c>
      <c r="D29">
        <v>13</v>
      </c>
      <c r="G29">
        <v>5</v>
      </c>
      <c r="H29" t="s">
        <v>27</v>
      </c>
      <c r="I29">
        <v>80</v>
      </c>
      <c r="J29">
        <v>80</v>
      </c>
      <c r="K29">
        <v>6.9375</v>
      </c>
      <c r="L29">
        <v>19.086389079520799</v>
      </c>
      <c r="M29">
        <v>13.309647375269099</v>
      </c>
      <c r="N29">
        <v>93.556804154401206</v>
      </c>
      <c r="O29">
        <v>0</v>
      </c>
      <c r="P29">
        <v>0</v>
      </c>
      <c r="Q29">
        <v>244.96026599999999</v>
      </c>
      <c r="R29">
        <v>226.525062048</v>
      </c>
      <c r="T29">
        <v>27</v>
      </c>
      <c r="U29">
        <v>8</v>
      </c>
      <c r="V29">
        <v>20</v>
      </c>
      <c r="W29">
        <v>3</v>
      </c>
      <c r="X29">
        <v>0.5</v>
      </c>
    </row>
    <row r="30" spans="1:24" x14ac:dyDescent="0.3">
      <c r="A30">
        <v>3</v>
      </c>
      <c r="B30" t="s">
        <v>8</v>
      </c>
      <c r="C30">
        <v>78.762656025589706</v>
      </c>
      <c r="D30">
        <v>13</v>
      </c>
      <c r="G30">
        <v>5</v>
      </c>
      <c r="H30" t="s">
        <v>28</v>
      </c>
      <c r="I30">
        <v>76</v>
      </c>
      <c r="J30">
        <v>75</v>
      </c>
      <c r="K30">
        <v>6.8684210526315699</v>
      </c>
      <c r="L30">
        <v>20.795453909486699</v>
      </c>
      <c r="M30">
        <v>13.309647375269099</v>
      </c>
      <c r="N30">
        <v>94.038152394677994</v>
      </c>
      <c r="O30">
        <v>0</v>
      </c>
      <c r="P30">
        <v>0</v>
      </c>
      <c r="Q30">
        <v>280.380799999999</v>
      </c>
      <c r="R30">
        <v>257.56386565699898</v>
      </c>
      <c r="T30">
        <v>28</v>
      </c>
      <c r="U30">
        <v>8</v>
      </c>
      <c r="V30">
        <v>20</v>
      </c>
      <c r="W30">
        <v>4</v>
      </c>
      <c r="X30">
        <v>0.2</v>
      </c>
    </row>
    <row r="31" spans="1:24" x14ac:dyDescent="0.3">
      <c r="A31">
        <v>3</v>
      </c>
      <c r="B31" t="s">
        <v>9</v>
      </c>
      <c r="C31">
        <v>82.066805423650095</v>
      </c>
      <c r="D31">
        <v>13</v>
      </c>
      <c r="G31">
        <v>5</v>
      </c>
      <c r="H31" t="s">
        <v>29</v>
      </c>
      <c r="I31">
        <v>73</v>
      </c>
      <c r="J31">
        <v>73</v>
      </c>
      <c r="K31">
        <v>6.3013698630136901</v>
      </c>
      <c r="L31">
        <v>18.550507418961502</v>
      </c>
      <c r="M31">
        <v>13.309647375269099</v>
      </c>
      <c r="N31">
        <v>91.320452021425893</v>
      </c>
      <c r="O31">
        <v>0</v>
      </c>
      <c r="P31">
        <v>0</v>
      </c>
      <c r="Q31">
        <v>257.50568600000003</v>
      </c>
      <c r="R31">
        <v>238.567218725</v>
      </c>
      <c r="T31">
        <v>29</v>
      </c>
      <c r="U31">
        <v>8</v>
      </c>
      <c r="V31">
        <v>20</v>
      </c>
      <c r="W31">
        <v>4</v>
      </c>
      <c r="X31">
        <v>0.35</v>
      </c>
    </row>
    <row r="32" spans="1:24" x14ac:dyDescent="0.3">
      <c r="A32">
        <v>3</v>
      </c>
      <c r="B32" t="s">
        <v>10</v>
      </c>
      <c r="C32">
        <v>117.68800024431999</v>
      </c>
      <c r="D32">
        <v>13.3738317757009</v>
      </c>
      <c r="G32">
        <v>5</v>
      </c>
      <c r="H32" t="s">
        <v>30</v>
      </c>
      <c r="I32">
        <v>81</v>
      </c>
      <c r="J32">
        <v>81</v>
      </c>
      <c r="K32">
        <v>7.5061728395061698</v>
      </c>
      <c r="L32">
        <v>19.6008432722051</v>
      </c>
      <c r="M32">
        <v>13.309647375269099</v>
      </c>
      <c r="N32">
        <v>98.108131618037106</v>
      </c>
      <c r="O32">
        <v>0</v>
      </c>
      <c r="P32">
        <v>0</v>
      </c>
      <c r="Q32">
        <v>274.980198999999</v>
      </c>
      <c r="R32">
        <v>258.398833881999</v>
      </c>
      <c r="T32">
        <v>30</v>
      </c>
      <c r="U32">
        <v>8</v>
      </c>
      <c r="V32">
        <v>20</v>
      </c>
      <c r="W32">
        <v>4</v>
      </c>
      <c r="X32">
        <v>0.5</v>
      </c>
    </row>
    <row r="33" spans="1:24" x14ac:dyDescent="0.3">
      <c r="A33">
        <v>3</v>
      </c>
      <c r="B33" t="s">
        <v>11</v>
      </c>
      <c r="C33">
        <v>274.48784220128101</v>
      </c>
      <c r="D33">
        <v>14</v>
      </c>
      <c r="G33">
        <v>5</v>
      </c>
      <c r="H33" t="s">
        <v>31</v>
      </c>
      <c r="I33">
        <v>83</v>
      </c>
      <c r="J33">
        <v>83</v>
      </c>
      <c r="K33">
        <v>7.3614457831325302</v>
      </c>
      <c r="L33">
        <v>19.629135863252099</v>
      </c>
      <c r="M33">
        <v>13.309647375269099</v>
      </c>
      <c r="N33">
        <v>101.429071904409</v>
      </c>
      <c r="O33">
        <v>0</v>
      </c>
      <c r="P33">
        <v>0</v>
      </c>
      <c r="Q33">
        <v>264.39582999999999</v>
      </c>
      <c r="R33">
        <v>248.91366185499899</v>
      </c>
      <c r="T33">
        <v>31</v>
      </c>
      <c r="U33">
        <v>12</v>
      </c>
      <c r="V33">
        <v>20</v>
      </c>
      <c r="W33">
        <v>2</v>
      </c>
      <c r="X33">
        <v>0.2</v>
      </c>
    </row>
    <row r="34" spans="1:24" x14ac:dyDescent="0.3">
      <c r="A34">
        <v>3</v>
      </c>
      <c r="B34" t="s">
        <v>12</v>
      </c>
      <c r="C34">
        <v>353.19953682920197</v>
      </c>
      <c r="D34">
        <v>14</v>
      </c>
      <c r="G34">
        <v>5</v>
      </c>
      <c r="H34" t="s">
        <v>32</v>
      </c>
      <c r="I34">
        <v>84</v>
      </c>
      <c r="J34">
        <v>83</v>
      </c>
      <c r="K34">
        <v>7.5</v>
      </c>
      <c r="L34">
        <v>19.726887650417101</v>
      </c>
      <c r="M34">
        <v>13.309647375269099</v>
      </c>
      <c r="N34">
        <v>102.93111911093899</v>
      </c>
      <c r="O34">
        <v>0</v>
      </c>
      <c r="P34">
        <v>0</v>
      </c>
      <c r="Q34">
        <v>267.94003500000002</v>
      </c>
      <c r="R34">
        <v>252.14917010999901</v>
      </c>
      <c r="T34">
        <v>32</v>
      </c>
      <c r="U34">
        <v>12</v>
      </c>
      <c r="V34">
        <v>20</v>
      </c>
      <c r="W34">
        <v>2</v>
      </c>
      <c r="X34">
        <v>0.35</v>
      </c>
    </row>
    <row r="35" spans="1:24" x14ac:dyDescent="0.3">
      <c r="A35">
        <v>3</v>
      </c>
      <c r="B35" t="s">
        <v>13</v>
      </c>
      <c r="C35">
        <v>354.151908312172</v>
      </c>
      <c r="D35">
        <v>0</v>
      </c>
      <c r="G35">
        <v>6</v>
      </c>
      <c r="H35" t="s">
        <v>25</v>
      </c>
      <c r="I35">
        <v>76</v>
      </c>
      <c r="J35">
        <v>76</v>
      </c>
      <c r="K35">
        <v>6.8157894736842097</v>
      </c>
      <c r="L35">
        <v>18.650796571965401</v>
      </c>
      <c r="M35">
        <v>13.0603422196889</v>
      </c>
      <c r="N35">
        <v>89.074041705827298</v>
      </c>
      <c r="O35">
        <v>0</v>
      </c>
      <c r="P35">
        <v>0</v>
      </c>
      <c r="Q35">
        <v>240.93981699999901</v>
      </c>
      <c r="R35">
        <v>222.43820137799901</v>
      </c>
      <c r="T35">
        <v>33</v>
      </c>
      <c r="U35">
        <v>12</v>
      </c>
      <c r="V35">
        <v>20</v>
      </c>
      <c r="W35">
        <v>2</v>
      </c>
      <c r="X35">
        <v>0.5</v>
      </c>
    </row>
    <row r="36" spans="1:24" x14ac:dyDescent="0.3">
      <c r="A36">
        <v>4</v>
      </c>
      <c r="B36" t="s">
        <v>3</v>
      </c>
      <c r="C36">
        <v>15.595218156465601</v>
      </c>
      <c r="D36">
        <v>13</v>
      </c>
      <c r="G36">
        <v>6</v>
      </c>
      <c r="H36" t="s">
        <v>26</v>
      </c>
      <c r="I36">
        <v>74</v>
      </c>
      <c r="J36">
        <v>74</v>
      </c>
      <c r="K36">
        <v>6.7972972972972903</v>
      </c>
      <c r="L36">
        <v>18.454290796847999</v>
      </c>
      <c r="M36">
        <v>13.0603422196889</v>
      </c>
      <c r="N36">
        <v>87.087198480597607</v>
      </c>
      <c r="O36">
        <v>0</v>
      </c>
      <c r="P36">
        <v>0</v>
      </c>
      <c r="Q36">
        <v>236.28668099999999</v>
      </c>
      <c r="R36">
        <v>218.85017713299899</v>
      </c>
      <c r="T36">
        <v>34</v>
      </c>
      <c r="U36">
        <v>12</v>
      </c>
      <c r="V36">
        <v>20</v>
      </c>
      <c r="W36">
        <v>3</v>
      </c>
      <c r="X36">
        <v>0.2</v>
      </c>
    </row>
    <row r="37" spans="1:24" x14ac:dyDescent="0.3">
      <c r="A37">
        <v>4</v>
      </c>
      <c r="B37" t="s">
        <v>4</v>
      </c>
      <c r="C37">
        <v>15.327191276354901</v>
      </c>
      <c r="D37">
        <v>13</v>
      </c>
      <c r="G37">
        <v>6</v>
      </c>
      <c r="H37" t="s">
        <v>27</v>
      </c>
      <c r="I37">
        <v>79</v>
      </c>
      <c r="J37">
        <v>79</v>
      </c>
      <c r="K37">
        <v>6.9367088607594898</v>
      </c>
      <c r="L37">
        <v>19.149097430776798</v>
      </c>
      <c r="M37">
        <v>13.0603422196889</v>
      </c>
      <c r="N37">
        <v>91.382126107005703</v>
      </c>
      <c r="O37">
        <v>0</v>
      </c>
      <c r="P37">
        <v>0</v>
      </c>
      <c r="Q37">
        <v>247.20487199999999</v>
      </c>
      <c r="R37">
        <v>231.17521734599899</v>
      </c>
      <c r="T37">
        <v>35</v>
      </c>
      <c r="U37">
        <v>12</v>
      </c>
      <c r="V37">
        <v>20</v>
      </c>
      <c r="W37">
        <v>3</v>
      </c>
      <c r="X37">
        <v>0.35</v>
      </c>
    </row>
    <row r="38" spans="1:24" x14ac:dyDescent="0.3">
      <c r="A38">
        <v>4</v>
      </c>
      <c r="B38" t="s">
        <v>5</v>
      </c>
      <c r="C38">
        <v>19.909364924801601</v>
      </c>
      <c r="D38">
        <v>13</v>
      </c>
      <c r="G38">
        <v>6</v>
      </c>
      <c r="H38" t="s">
        <v>28</v>
      </c>
      <c r="I38">
        <v>75</v>
      </c>
      <c r="J38">
        <v>75</v>
      </c>
      <c r="K38">
        <v>6.84</v>
      </c>
      <c r="L38">
        <v>20.432970728232299</v>
      </c>
      <c r="M38">
        <v>13.0603422196889</v>
      </c>
      <c r="N38">
        <v>93.397251551724295</v>
      </c>
      <c r="O38">
        <v>0</v>
      </c>
      <c r="P38">
        <v>0</v>
      </c>
      <c r="Q38">
        <v>266.53127699999999</v>
      </c>
      <c r="R38">
        <v>245.30775664799901</v>
      </c>
      <c r="T38">
        <v>36</v>
      </c>
      <c r="U38">
        <v>12</v>
      </c>
      <c r="V38">
        <v>20</v>
      </c>
      <c r="W38">
        <v>3</v>
      </c>
      <c r="X38">
        <v>0.5</v>
      </c>
    </row>
    <row r="39" spans="1:24" x14ac:dyDescent="0.3">
      <c r="A39">
        <v>4</v>
      </c>
      <c r="B39" t="s">
        <v>6</v>
      </c>
      <c r="C39">
        <v>64.411218812184799</v>
      </c>
      <c r="D39">
        <v>13</v>
      </c>
      <c r="G39">
        <v>6</v>
      </c>
      <c r="H39" t="s">
        <v>29</v>
      </c>
      <c r="I39">
        <v>74</v>
      </c>
      <c r="J39">
        <v>74</v>
      </c>
      <c r="K39">
        <v>6.4189189189189104</v>
      </c>
      <c r="L39">
        <v>18.7766423149323</v>
      </c>
      <c r="M39">
        <v>13.0603422196889</v>
      </c>
      <c r="N39">
        <v>92.402990290797305</v>
      </c>
      <c r="O39">
        <v>0</v>
      </c>
      <c r="P39">
        <v>0</v>
      </c>
      <c r="Q39">
        <v>268.23155800000001</v>
      </c>
      <c r="R39">
        <v>250.250312100999</v>
      </c>
      <c r="T39">
        <v>37</v>
      </c>
      <c r="U39">
        <v>12</v>
      </c>
      <c r="V39">
        <v>20</v>
      </c>
      <c r="W39">
        <v>4</v>
      </c>
      <c r="X39">
        <v>0.2</v>
      </c>
    </row>
    <row r="40" spans="1:24" x14ac:dyDescent="0.3">
      <c r="A40">
        <v>4</v>
      </c>
      <c r="B40" t="s">
        <v>7</v>
      </c>
      <c r="C40">
        <v>65.269923031824803</v>
      </c>
      <c r="D40">
        <v>13</v>
      </c>
      <c r="G40">
        <v>6</v>
      </c>
      <c r="H40" t="s">
        <v>30</v>
      </c>
      <c r="I40">
        <v>83</v>
      </c>
      <c r="J40">
        <v>83</v>
      </c>
      <c r="K40">
        <v>7.5301204819277103</v>
      </c>
      <c r="L40">
        <v>19.774682444949502</v>
      </c>
      <c r="M40">
        <v>13.0603422196889</v>
      </c>
      <c r="N40">
        <v>100.93419364252399</v>
      </c>
      <c r="O40">
        <v>0</v>
      </c>
      <c r="P40">
        <v>0</v>
      </c>
      <c r="Q40">
        <v>270.23400899999899</v>
      </c>
      <c r="R40">
        <v>254.326430216999</v>
      </c>
      <c r="T40">
        <v>38</v>
      </c>
      <c r="U40">
        <v>12</v>
      </c>
      <c r="V40">
        <v>20</v>
      </c>
      <c r="W40">
        <v>4</v>
      </c>
      <c r="X40">
        <v>0.2</v>
      </c>
    </row>
    <row r="41" spans="1:24" x14ac:dyDescent="0.3">
      <c r="A41">
        <v>4</v>
      </c>
      <c r="B41" t="s">
        <v>8</v>
      </c>
      <c r="C41">
        <v>79.292591551472896</v>
      </c>
      <c r="D41">
        <v>13</v>
      </c>
      <c r="G41">
        <v>6</v>
      </c>
      <c r="H41" t="s">
        <v>31</v>
      </c>
      <c r="I41">
        <v>76</v>
      </c>
      <c r="J41">
        <v>76</v>
      </c>
      <c r="K41">
        <v>7.4868421052631504</v>
      </c>
      <c r="L41">
        <v>18.824255217345101</v>
      </c>
      <c r="M41">
        <v>13.0603422196889</v>
      </c>
      <c r="N41">
        <v>89.325770439740594</v>
      </c>
      <c r="O41">
        <v>0</v>
      </c>
      <c r="P41">
        <v>0</v>
      </c>
      <c r="Q41">
        <v>250.91395700000001</v>
      </c>
      <c r="R41">
        <v>233.66976297999901</v>
      </c>
      <c r="T41">
        <v>39</v>
      </c>
      <c r="U41">
        <v>12</v>
      </c>
      <c r="V41">
        <v>20</v>
      </c>
      <c r="W41">
        <v>4</v>
      </c>
      <c r="X41">
        <v>0.35</v>
      </c>
    </row>
    <row r="42" spans="1:24" x14ac:dyDescent="0.3">
      <c r="A42">
        <v>4</v>
      </c>
      <c r="B42" t="s">
        <v>9</v>
      </c>
      <c r="C42">
        <v>80.399752074827603</v>
      </c>
      <c r="D42">
        <v>12.8266666666666</v>
      </c>
      <c r="G42">
        <v>6</v>
      </c>
      <c r="H42" t="s">
        <v>32</v>
      </c>
      <c r="I42">
        <v>83</v>
      </c>
      <c r="J42">
        <v>83</v>
      </c>
      <c r="K42">
        <v>7.3614457831325302</v>
      </c>
      <c r="L42">
        <v>19.70484452725</v>
      </c>
      <c r="M42">
        <v>13.0603422196889</v>
      </c>
      <c r="N42">
        <v>100.835934304052</v>
      </c>
      <c r="O42">
        <v>0</v>
      </c>
      <c r="P42">
        <v>0</v>
      </c>
      <c r="Q42">
        <v>256.95015599999999</v>
      </c>
      <c r="R42">
        <v>240.940943597999</v>
      </c>
      <c r="T42">
        <v>40</v>
      </c>
      <c r="U42">
        <v>4</v>
      </c>
      <c r="V42">
        <v>25</v>
      </c>
      <c r="W42">
        <v>2</v>
      </c>
      <c r="X42">
        <v>0.2</v>
      </c>
    </row>
    <row r="43" spans="1:24" x14ac:dyDescent="0.3">
      <c r="A43">
        <v>4</v>
      </c>
      <c r="B43" t="s">
        <v>10</v>
      </c>
      <c r="C43">
        <v>117.045256110227</v>
      </c>
      <c r="D43">
        <v>13.3831775700934</v>
      </c>
      <c r="G43">
        <v>7</v>
      </c>
      <c r="H43" t="s">
        <v>25</v>
      </c>
      <c r="I43">
        <v>77</v>
      </c>
      <c r="J43">
        <v>77</v>
      </c>
      <c r="K43">
        <v>6.8441558441558401</v>
      </c>
      <c r="L43">
        <v>18.749396703468399</v>
      </c>
      <c r="M43">
        <v>13.3572431524381</v>
      </c>
      <c r="N43">
        <v>90.362751588073394</v>
      </c>
      <c r="O43">
        <v>0</v>
      </c>
      <c r="P43">
        <v>0</v>
      </c>
      <c r="Q43">
        <v>244.66524899999999</v>
      </c>
      <c r="R43">
        <v>226.16789506199899</v>
      </c>
      <c r="T43">
        <v>41</v>
      </c>
      <c r="U43">
        <v>4</v>
      </c>
      <c r="V43">
        <v>25</v>
      </c>
      <c r="W43">
        <v>2</v>
      </c>
      <c r="X43">
        <v>0.35</v>
      </c>
    </row>
    <row r="44" spans="1:24" x14ac:dyDescent="0.3">
      <c r="A44">
        <v>4</v>
      </c>
      <c r="B44" t="s">
        <v>11</v>
      </c>
      <c r="C44">
        <v>274.76628806450901</v>
      </c>
      <c r="D44">
        <v>14</v>
      </c>
      <c r="G44">
        <v>7</v>
      </c>
      <c r="H44" t="s">
        <v>26</v>
      </c>
      <c r="I44">
        <v>74</v>
      </c>
      <c r="J44">
        <v>74</v>
      </c>
      <c r="K44">
        <v>6.6216216216216202</v>
      </c>
      <c r="L44">
        <v>18.438329715984601</v>
      </c>
      <c r="M44">
        <v>13.3572431524381</v>
      </c>
      <c r="N44">
        <v>87.679307925262506</v>
      </c>
      <c r="O44">
        <v>0</v>
      </c>
      <c r="P44">
        <v>0</v>
      </c>
      <c r="Q44">
        <v>244.82772499999999</v>
      </c>
      <c r="R44">
        <v>226.86141726499901</v>
      </c>
      <c r="T44">
        <v>42</v>
      </c>
      <c r="U44">
        <v>4</v>
      </c>
      <c r="V44">
        <v>25</v>
      </c>
      <c r="W44">
        <v>2</v>
      </c>
      <c r="X44">
        <v>0.5</v>
      </c>
    </row>
    <row r="45" spans="1:24" x14ac:dyDescent="0.3">
      <c r="A45">
        <v>4</v>
      </c>
      <c r="B45" t="s">
        <v>12</v>
      </c>
      <c r="C45">
        <v>352.97456981569701</v>
      </c>
      <c r="D45">
        <v>14</v>
      </c>
      <c r="G45">
        <v>7</v>
      </c>
      <c r="H45" t="s">
        <v>27</v>
      </c>
      <c r="I45">
        <v>82</v>
      </c>
      <c r="J45">
        <v>82</v>
      </c>
      <c r="K45">
        <v>7.08536585365853</v>
      </c>
      <c r="L45">
        <v>19.254360581324899</v>
      </c>
      <c r="M45">
        <v>13.3572431524381</v>
      </c>
      <c r="N45">
        <v>95.749063319161095</v>
      </c>
      <c r="O45">
        <v>0</v>
      </c>
      <c r="P45">
        <v>0</v>
      </c>
      <c r="Q45">
        <v>245.012754</v>
      </c>
      <c r="R45">
        <v>228.582543506999</v>
      </c>
      <c r="T45">
        <v>43</v>
      </c>
      <c r="U45">
        <v>4</v>
      </c>
      <c r="V45">
        <v>25</v>
      </c>
      <c r="W45">
        <v>3</v>
      </c>
      <c r="X45">
        <v>0.2</v>
      </c>
    </row>
    <row r="46" spans="1:24" x14ac:dyDescent="0.3">
      <c r="A46">
        <v>4</v>
      </c>
      <c r="B46" t="s">
        <v>13</v>
      </c>
      <c r="C46">
        <v>352.74644709636698</v>
      </c>
      <c r="D46">
        <v>0</v>
      </c>
      <c r="G46">
        <v>7</v>
      </c>
      <c r="H46" t="s">
        <v>28</v>
      </c>
      <c r="I46">
        <v>76</v>
      </c>
      <c r="J46">
        <v>76</v>
      </c>
      <c r="K46">
        <v>6.8684210526315699</v>
      </c>
      <c r="L46">
        <v>20.353080807312001</v>
      </c>
      <c r="M46">
        <v>13.3572431524381</v>
      </c>
      <c r="N46">
        <v>93.698199219650604</v>
      </c>
      <c r="O46">
        <v>0</v>
      </c>
      <c r="P46">
        <v>0</v>
      </c>
      <c r="Q46">
        <v>279.75094299999898</v>
      </c>
      <c r="R46">
        <v>257.43313872099901</v>
      </c>
      <c r="T46">
        <v>44</v>
      </c>
      <c r="U46">
        <v>4</v>
      </c>
      <c r="V46">
        <v>25</v>
      </c>
      <c r="W46">
        <v>3</v>
      </c>
      <c r="X46">
        <v>0.35</v>
      </c>
    </row>
    <row r="47" spans="1:24" x14ac:dyDescent="0.3">
      <c r="A47">
        <v>5</v>
      </c>
      <c r="B47" t="s">
        <v>3</v>
      </c>
      <c r="C47">
        <v>15.2947953915144</v>
      </c>
      <c r="D47">
        <v>13</v>
      </c>
      <c r="G47">
        <v>7</v>
      </c>
      <c r="H47" t="s">
        <v>29</v>
      </c>
      <c r="I47">
        <v>73</v>
      </c>
      <c r="J47">
        <v>73</v>
      </c>
      <c r="K47">
        <v>6.3013698630136901</v>
      </c>
      <c r="L47">
        <v>18.7734391900321</v>
      </c>
      <c r="M47">
        <v>13.3572431524381</v>
      </c>
      <c r="N47">
        <v>91.408502274711395</v>
      </c>
      <c r="O47">
        <v>0</v>
      </c>
      <c r="P47">
        <v>0</v>
      </c>
      <c r="Q47">
        <v>260.719628</v>
      </c>
      <c r="R47">
        <v>241.51564498099901</v>
      </c>
      <c r="T47">
        <v>45</v>
      </c>
      <c r="U47">
        <v>4</v>
      </c>
      <c r="V47">
        <v>25</v>
      </c>
      <c r="W47">
        <v>3</v>
      </c>
      <c r="X47">
        <v>0.5</v>
      </c>
    </row>
    <row r="48" spans="1:24" x14ac:dyDescent="0.3">
      <c r="A48">
        <v>5</v>
      </c>
      <c r="B48" t="s">
        <v>4</v>
      </c>
      <c r="C48">
        <v>15.147934528351</v>
      </c>
      <c r="D48">
        <v>13</v>
      </c>
      <c r="G48">
        <v>7</v>
      </c>
      <c r="H48" t="s">
        <v>30</v>
      </c>
      <c r="I48">
        <v>83</v>
      </c>
      <c r="J48">
        <v>83</v>
      </c>
      <c r="K48">
        <v>7.5301204819277103</v>
      </c>
      <c r="L48">
        <v>19.8309581922062</v>
      </c>
      <c r="M48">
        <v>13.3572431524381</v>
      </c>
      <c r="N48">
        <v>101.939531375491</v>
      </c>
      <c r="O48">
        <v>0</v>
      </c>
      <c r="P48">
        <v>0</v>
      </c>
      <c r="Q48">
        <v>277.94475999999997</v>
      </c>
      <c r="R48">
        <v>262.60861527999901</v>
      </c>
      <c r="T48">
        <v>46</v>
      </c>
      <c r="U48">
        <v>4</v>
      </c>
      <c r="V48">
        <v>25</v>
      </c>
      <c r="W48">
        <v>4</v>
      </c>
      <c r="X48">
        <v>0.2</v>
      </c>
    </row>
    <row r="49" spans="1:24" x14ac:dyDescent="0.3">
      <c r="A49">
        <v>5</v>
      </c>
      <c r="B49" t="s">
        <v>5</v>
      </c>
      <c r="C49">
        <v>19.778402769969599</v>
      </c>
      <c r="D49">
        <v>13</v>
      </c>
      <c r="G49">
        <v>7</v>
      </c>
      <c r="H49" t="s">
        <v>31</v>
      </c>
      <c r="I49">
        <v>82</v>
      </c>
      <c r="J49">
        <v>82</v>
      </c>
      <c r="K49">
        <v>7.3414634146341404</v>
      </c>
      <c r="L49">
        <v>19.786875382432498</v>
      </c>
      <c r="M49">
        <v>13.3572431524381</v>
      </c>
      <c r="N49">
        <v>100.368002533206</v>
      </c>
      <c r="O49">
        <v>0</v>
      </c>
      <c r="P49">
        <v>0</v>
      </c>
      <c r="Q49">
        <v>264.08969999999999</v>
      </c>
      <c r="R49">
        <v>248.56590118499901</v>
      </c>
      <c r="T49">
        <v>47</v>
      </c>
      <c r="U49">
        <v>4</v>
      </c>
      <c r="V49">
        <v>25</v>
      </c>
      <c r="W49">
        <v>4</v>
      </c>
      <c r="X49">
        <v>0.35</v>
      </c>
    </row>
    <row r="50" spans="1:24" x14ac:dyDescent="0.3">
      <c r="A50">
        <v>5</v>
      </c>
      <c r="B50" t="s">
        <v>6</v>
      </c>
      <c r="C50">
        <v>65.035450214848495</v>
      </c>
      <c r="D50">
        <v>13</v>
      </c>
      <c r="G50">
        <v>7</v>
      </c>
      <c r="H50" t="s">
        <v>32</v>
      </c>
      <c r="I50">
        <v>82</v>
      </c>
      <c r="J50">
        <v>81</v>
      </c>
      <c r="K50">
        <v>7.3414634146341404</v>
      </c>
      <c r="L50">
        <v>19.5607985387852</v>
      </c>
      <c r="M50">
        <v>13.3572431524381</v>
      </c>
      <c r="N50">
        <v>100.157501453414</v>
      </c>
      <c r="O50">
        <v>0</v>
      </c>
      <c r="P50">
        <v>0</v>
      </c>
      <c r="Q50">
        <v>267.35778399999998</v>
      </c>
      <c r="R50">
        <v>251.813882226999</v>
      </c>
      <c r="T50">
        <v>48</v>
      </c>
      <c r="U50">
        <v>4</v>
      </c>
      <c r="V50">
        <v>25</v>
      </c>
      <c r="W50">
        <v>4</v>
      </c>
      <c r="X50">
        <v>0.5</v>
      </c>
    </row>
    <row r="51" spans="1:24" x14ac:dyDescent="0.3">
      <c r="A51">
        <v>5</v>
      </c>
      <c r="B51" t="s">
        <v>7</v>
      </c>
      <c r="C51">
        <v>65.654721601551202</v>
      </c>
      <c r="D51">
        <v>13</v>
      </c>
      <c r="G51">
        <v>8</v>
      </c>
      <c r="H51" t="s">
        <v>25</v>
      </c>
      <c r="I51">
        <v>78</v>
      </c>
      <c r="J51">
        <v>78</v>
      </c>
      <c r="K51">
        <v>6.94871794871794</v>
      </c>
      <c r="L51">
        <v>19.1421606611672</v>
      </c>
      <c r="M51">
        <v>13.0757110862387</v>
      </c>
      <c r="N51">
        <v>91.402604520571003</v>
      </c>
      <c r="O51">
        <v>0</v>
      </c>
      <c r="P51">
        <v>0</v>
      </c>
      <c r="Q51">
        <v>244.91377</v>
      </c>
      <c r="R51">
        <v>226.56404237499899</v>
      </c>
      <c r="T51">
        <v>49</v>
      </c>
      <c r="U51">
        <v>8</v>
      </c>
      <c r="V51">
        <v>25</v>
      </c>
      <c r="W51">
        <v>2</v>
      </c>
      <c r="X51">
        <v>0.2</v>
      </c>
    </row>
    <row r="52" spans="1:24" x14ac:dyDescent="0.3">
      <c r="A52">
        <v>5</v>
      </c>
      <c r="B52" t="s">
        <v>8</v>
      </c>
      <c r="C52">
        <v>79.234138869771897</v>
      </c>
      <c r="D52">
        <v>13</v>
      </c>
      <c r="G52">
        <v>8</v>
      </c>
      <c r="H52" t="s">
        <v>26</v>
      </c>
      <c r="I52">
        <v>75</v>
      </c>
      <c r="J52">
        <v>74</v>
      </c>
      <c r="K52">
        <v>6.6533333333333298</v>
      </c>
      <c r="L52">
        <v>18.6750846254576</v>
      </c>
      <c r="M52">
        <v>13.0757110862387</v>
      </c>
      <c r="N52">
        <v>88.076942451156896</v>
      </c>
      <c r="O52">
        <v>0</v>
      </c>
      <c r="P52">
        <v>0</v>
      </c>
      <c r="Q52">
        <v>248.84182999999999</v>
      </c>
      <c r="R52">
        <v>230.72457355999899</v>
      </c>
      <c r="T52">
        <v>50</v>
      </c>
      <c r="U52">
        <v>8</v>
      </c>
      <c r="V52">
        <v>25</v>
      </c>
      <c r="W52">
        <v>2</v>
      </c>
      <c r="X52">
        <v>0.35</v>
      </c>
    </row>
    <row r="53" spans="1:24" x14ac:dyDescent="0.3">
      <c r="A53">
        <v>5</v>
      </c>
      <c r="B53" t="s">
        <v>9</v>
      </c>
      <c r="C53">
        <v>81.254986473934906</v>
      </c>
      <c r="D53">
        <v>13</v>
      </c>
      <c r="G53">
        <v>8</v>
      </c>
      <c r="H53" t="s">
        <v>27</v>
      </c>
      <c r="I53">
        <v>81</v>
      </c>
      <c r="J53">
        <v>81</v>
      </c>
      <c r="K53">
        <v>7.1851851851851798</v>
      </c>
      <c r="L53">
        <v>19.074012032594801</v>
      </c>
      <c r="M53">
        <v>13.0757110862387</v>
      </c>
      <c r="N53">
        <v>93.733860002144795</v>
      </c>
      <c r="O53">
        <v>0</v>
      </c>
      <c r="P53">
        <v>0</v>
      </c>
      <c r="Q53">
        <v>242.74991600000001</v>
      </c>
      <c r="R53">
        <v>226.623037957999</v>
      </c>
      <c r="T53">
        <v>51</v>
      </c>
      <c r="U53">
        <v>8</v>
      </c>
      <c r="V53">
        <v>25</v>
      </c>
      <c r="W53">
        <v>2</v>
      </c>
      <c r="X53">
        <v>0.5</v>
      </c>
    </row>
    <row r="54" spans="1:24" x14ac:dyDescent="0.3">
      <c r="A54">
        <v>5</v>
      </c>
      <c r="B54" t="s">
        <v>10</v>
      </c>
      <c r="C54">
        <v>116.39763106086301</v>
      </c>
      <c r="D54">
        <v>13.3738317757009</v>
      </c>
      <c r="G54">
        <v>8</v>
      </c>
      <c r="H54" t="s">
        <v>28</v>
      </c>
      <c r="I54">
        <v>75</v>
      </c>
      <c r="J54">
        <v>75</v>
      </c>
      <c r="K54">
        <v>6.84</v>
      </c>
      <c r="L54">
        <v>20.4922963550387</v>
      </c>
      <c r="M54">
        <v>13.0757110862387</v>
      </c>
      <c r="N54">
        <v>93.338343593857303</v>
      </c>
      <c r="O54">
        <v>0</v>
      </c>
      <c r="P54">
        <v>0</v>
      </c>
      <c r="Q54">
        <v>277.61585199999899</v>
      </c>
      <c r="R54">
        <v>254.80596020799899</v>
      </c>
      <c r="T54">
        <v>52</v>
      </c>
      <c r="U54">
        <v>8</v>
      </c>
      <c r="V54">
        <v>25</v>
      </c>
      <c r="W54">
        <v>3</v>
      </c>
      <c r="X54">
        <v>0.2</v>
      </c>
    </row>
    <row r="55" spans="1:24" x14ac:dyDescent="0.3">
      <c r="A55">
        <v>5</v>
      </c>
      <c r="B55" t="s">
        <v>11</v>
      </c>
      <c r="C55">
        <v>273.06186413115603</v>
      </c>
      <c r="D55">
        <v>14</v>
      </c>
      <c r="G55">
        <v>8</v>
      </c>
      <c r="H55" t="s">
        <v>29</v>
      </c>
      <c r="I55">
        <v>72</v>
      </c>
      <c r="J55">
        <v>72</v>
      </c>
      <c r="K55">
        <v>6.3333333333333304</v>
      </c>
      <c r="L55">
        <v>18.820580496342401</v>
      </c>
      <c r="M55">
        <v>13.0757110862387</v>
      </c>
      <c r="N55">
        <v>90.350922730333394</v>
      </c>
      <c r="O55">
        <v>0</v>
      </c>
      <c r="P55">
        <v>0</v>
      </c>
      <c r="Q55">
        <v>261.70866799999999</v>
      </c>
      <c r="R55">
        <v>241.879569917</v>
      </c>
      <c r="T55">
        <v>53</v>
      </c>
      <c r="U55">
        <v>8</v>
      </c>
      <c r="V55">
        <v>25</v>
      </c>
      <c r="W55">
        <v>3</v>
      </c>
      <c r="X55">
        <v>0.35</v>
      </c>
    </row>
    <row r="56" spans="1:24" x14ac:dyDescent="0.3">
      <c r="A56">
        <v>5</v>
      </c>
      <c r="B56" t="s">
        <v>12</v>
      </c>
      <c r="C56">
        <v>353.04904113390899</v>
      </c>
      <c r="D56">
        <v>14</v>
      </c>
      <c r="G56">
        <v>8</v>
      </c>
      <c r="H56" t="s">
        <v>30</v>
      </c>
      <c r="I56">
        <v>82</v>
      </c>
      <c r="J56">
        <v>82</v>
      </c>
      <c r="K56">
        <v>7.3414634146341404</v>
      </c>
      <c r="L56">
        <v>19.733264665941402</v>
      </c>
      <c r="M56">
        <v>13.0757110862387</v>
      </c>
      <c r="N56">
        <v>100.20845137203</v>
      </c>
      <c r="O56">
        <v>0</v>
      </c>
      <c r="P56">
        <v>0</v>
      </c>
      <c r="Q56">
        <v>273.711198999999</v>
      </c>
      <c r="R56">
        <v>258.549467211999</v>
      </c>
      <c r="T56">
        <v>54</v>
      </c>
      <c r="U56">
        <v>8</v>
      </c>
      <c r="V56">
        <v>25</v>
      </c>
      <c r="W56">
        <v>3</v>
      </c>
      <c r="X56">
        <v>0.5</v>
      </c>
    </row>
    <row r="57" spans="1:24" x14ac:dyDescent="0.3">
      <c r="A57">
        <v>5</v>
      </c>
      <c r="B57" t="s">
        <v>13</v>
      </c>
      <c r="C57">
        <v>354.027094415416</v>
      </c>
      <c r="D57">
        <v>0</v>
      </c>
      <c r="G57">
        <v>8</v>
      </c>
      <c r="H57" t="s">
        <v>31</v>
      </c>
      <c r="I57">
        <v>75</v>
      </c>
      <c r="J57">
        <v>75</v>
      </c>
      <c r="K57">
        <v>7.4666666666666597</v>
      </c>
      <c r="L57">
        <v>18.580072115293</v>
      </c>
      <c r="M57">
        <v>13.0757110862387</v>
      </c>
      <c r="N57">
        <v>88.161198188018105</v>
      </c>
      <c r="O57">
        <v>0</v>
      </c>
      <c r="P57">
        <v>0</v>
      </c>
      <c r="Q57">
        <v>252.95593699999901</v>
      </c>
      <c r="R57">
        <v>234.698609919999</v>
      </c>
      <c r="T57">
        <v>55</v>
      </c>
      <c r="U57">
        <v>8</v>
      </c>
      <c r="V57">
        <v>25</v>
      </c>
      <c r="W57">
        <v>4</v>
      </c>
      <c r="X57">
        <v>0.2</v>
      </c>
    </row>
    <row r="58" spans="1:24" x14ac:dyDescent="0.3">
      <c r="A58">
        <v>6</v>
      </c>
      <c r="B58" t="s">
        <v>3</v>
      </c>
      <c r="C58">
        <v>15.332935173290799</v>
      </c>
      <c r="D58">
        <v>13</v>
      </c>
      <c r="G58">
        <v>8</v>
      </c>
      <c r="H58" t="s">
        <v>32</v>
      </c>
      <c r="I58">
        <v>82</v>
      </c>
      <c r="J58">
        <v>82</v>
      </c>
      <c r="K58">
        <v>7.3414634146341404</v>
      </c>
      <c r="L58">
        <v>19.4350546915711</v>
      </c>
      <c r="M58">
        <v>13.0757110862387</v>
      </c>
      <c r="N58">
        <v>100.043209057498</v>
      </c>
      <c r="O58">
        <v>0</v>
      </c>
      <c r="P58">
        <v>0</v>
      </c>
      <c r="Q58">
        <v>257.35763700000001</v>
      </c>
      <c r="R58">
        <v>241.68253256099899</v>
      </c>
      <c r="T58">
        <v>56</v>
      </c>
      <c r="U58">
        <v>8</v>
      </c>
      <c r="V58">
        <v>25</v>
      </c>
      <c r="W58">
        <v>4</v>
      </c>
      <c r="X58">
        <v>0.35</v>
      </c>
    </row>
    <row r="59" spans="1:24" x14ac:dyDescent="0.3">
      <c r="A59">
        <v>6</v>
      </c>
      <c r="B59" t="s">
        <v>4</v>
      </c>
      <c r="C59">
        <v>15.241619327218199</v>
      </c>
      <c r="D59">
        <v>13</v>
      </c>
      <c r="G59">
        <v>9</v>
      </c>
      <c r="H59" t="s">
        <v>25</v>
      </c>
      <c r="I59">
        <v>95</v>
      </c>
      <c r="J59">
        <v>92</v>
      </c>
      <c r="K59">
        <v>7.8842105263157896</v>
      </c>
      <c r="L59">
        <v>19.990165263309201</v>
      </c>
      <c r="M59">
        <v>12.895132362590999</v>
      </c>
      <c r="N59">
        <v>100.112644464</v>
      </c>
      <c r="O59">
        <v>0</v>
      </c>
      <c r="P59">
        <v>0</v>
      </c>
      <c r="Q59">
        <v>231.073285</v>
      </c>
      <c r="R59">
        <v>214.38273429999899</v>
      </c>
      <c r="T59">
        <v>57</v>
      </c>
      <c r="U59">
        <v>8</v>
      </c>
      <c r="V59">
        <v>25</v>
      </c>
      <c r="W59">
        <v>4</v>
      </c>
      <c r="X59">
        <v>0.5</v>
      </c>
    </row>
    <row r="60" spans="1:24" x14ac:dyDescent="0.3">
      <c r="A60">
        <v>6</v>
      </c>
      <c r="B60" t="s">
        <v>5</v>
      </c>
      <c r="C60">
        <v>19.693874644646002</v>
      </c>
      <c r="D60">
        <v>13</v>
      </c>
      <c r="G60">
        <v>9</v>
      </c>
      <c r="H60" t="s">
        <v>26</v>
      </c>
      <c r="I60">
        <v>85</v>
      </c>
      <c r="J60">
        <v>85</v>
      </c>
      <c r="K60">
        <v>7.2705882352941096</v>
      </c>
      <c r="L60">
        <v>19.0867892181816</v>
      </c>
      <c r="M60">
        <v>12.895132362590999</v>
      </c>
      <c r="N60">
        <v>89.784289245148599</v>
      </c>
      <c r="O60">
        <v>0</v>
      </c>
      <c r="P60">
        <v>0</v>
      </c>
      <c r="Q60">
        <v>226.48673199999899</v>
      </c>
      <c r="R60">
        <v>207.63567883599899</v>
      </c>
      <c r="T60">
        <v>58</v>
      </c>
      <c r="U60">
        <v>12</v>
      </c>
      <c r="V60">
        <v>25</v>
      </c>
      <c r="W60">
        <v>2</v>
      </c>
      <c r="X60">
        <v>0.2</v>
      </c>
    </row>
    <row r="61" spans="1:24" x14ac:dyDescent="0.3">
      <c r="A61">
        <v>6</v>
      </c>
      <c r="B61" t="s">
        <v>6</v>
      </c>
      <c r="C61">
        <v>64.435923590118506</v>
      </c>
      <c r="D61">
        <v>13</v>
      </c>
      <c r="G61">
        <v>9</v>
      </c>
      <c r="H61" t="s">
        <v>27</v>
      </c>
      <c r="I61">
        <v>95</v>
      </c>
      <c r="J61">
        <v>92</v>
      </c>
      <c r="K61">
        <v>7.8842105263157896</v>
      </c>
      <c r="L61">
        <v>20.9123419095583</v>
      </c>
      <c r="M61">
        <v>12.895132362590999</v>
      </c>
      <c r="N61">
        <v>100.622306843643</v>
      </c>
      <c r="O61">
        <v>0</v>
      </c>
      <c r="P61">
        <v>0</v>
      </c>
      <c r="Q61">
        <v>277.686645</v>
      </c>
      <c r="R61">
        <v>261.49365319499901</v>
      </c>
      <c r="T61">
        <v>59</v>
      </c>
      <c r="U61">
        <v>12</v>
      </c>
      <c r="V61">
        <v>25</v>
      </c>
      <c r="W61">
        <v>2</v>
      </c>
      <c r="X61">
        <v>0.35</v>
      </c>
    </row>
    <row r="62" spans="1:24" x14ac:dyDescent="0.3">
      <c r="A62">
        <v>6</v>
      </c>
      <c r="B62" t="s">
        <v>7</v>
      </c>
      <c r="C62">
        <v>65.805772357871803</v>
      </c>
      <c r="D62">
        <v>13</v>
      </c>
      <c r="G62">
        <v>9</v>
      </c>
      <c r="H62" t="s">
        <v>28</v>
      </c>
      <c r="I62">
        <v>80</v>
      </c>
      <c r="J62">
        <v>76</v>
      </c>
      <c r="K62">
        <v>7.6624999999999996</v>
      </c>
      <c r="L62">
        <v>20.240385287091598</v>
      </c>
      <c r="M62">
        <v>12.895132362590999</v>
      </c>
      <c r="N62">
        <v>83.439597962346397</v>
      </c>
      <c r="O62">
        <v>0</v>
      </c>
      <c r="P62">
        <v>0</v>
      </c>
      <c r="Q62">
        <v>259.89672100000001</v>
      </c>
      <c r="R62">
        <v>234.686501913999</v>
      </c>
      <c r="T62">
        <v>60</v>
      </c>
      <c r="U62">
        <v>12</v>
      </c>
      <c r="V62">
        <v>25</v>
      </c>
      <c r="W62">
        <v>2</v>
      </c>
      <c r="X62">
        <v>0.5</v>
      </c>
    </row>
    <row r="63" spans="1:24" x14ac:dyDescent="0.3">
      <c r="A63">
        <v>6</v>
      </c>
      <c r="B63" t="s">
        <v>8</v>
      </c>
      <c r="C63">
        <v>78.318621862005301</v>
      </c>
      <c r="D63">
        <v>13</v>
      </c>
      <c r="G63">
        <v>10</v>
      </c>
      <c r="H63" t="s">
        <v>25</v>
      </c>
      <c r="I63">
        <v>77</v>
      </c>
      <c r="J63">
        <v>74</v>
      </c>
      <c r="K63">
        <v>6.8051948051947999</v>
      </c>
      <c r="L63">
        <v>18.2030589026934</v>
      </c>
      <c r="M63">
        <v>12.7031786294987</v>
      </c>
      <c r="N63">
        <v>81.280041201947398</v>
      </c>
      <c r="O63">
        <v>0</v>
      </c>
      <c r="P63">
        <v>0</v>
      </c>
      <c r="Q63">
        <v>210.198904</v>
      </c>
      <c r="R63">
        <v>188.44268153599899</v>
      </c>
      <c r="T63">
        <v>61</v>
      </c>
      <c r="U63">
        <v>12</v>
      </c>
      <c r="V63">
        <v>25</v>
      </c>
      <c r="W63">
        <v>3</v>
      </c>
      <c r="X63">
        <v>0.2</v>
      </c>
    </row>
    <row r="64" spans="1:24" x14ac:dyDescent="0.3">
      <c r="A64">
        <v>6</v>
      </c>
      <c r="B64" t="s">
        <v>9</v>
      </c>
      <c r="C64">
        <v>80.354414750836099</v>
      </c>
      <c r="D64">
        <v>13</v>
      </c>
      <c r="G64">
        <v>10</v>
      </c>
      <c r="H64" t="s">
        <v>26</v>
      </c>
      <c r="I64">
        <v>95</v>
      </c>
      <c r="J64">
        <v>92</v>
      </c>
      <c r="K64">
        <v>7.8842105263157896</v>
      </c>
      <c r="L64">
        <v>19.870260603355799</v>
      </c>
      <c r="M64">
        <v>12.7031786294987</v>
      </c>
      <c r="N64">
        <v>100.24321857405199</v>
      </c>
      <c r="O64">
        <v>0</v>
      </c>
      <c r="P64">
        <v>0</v>
      </c>
      <c r="Q64">
        <v>235.03485699999999</v>
      </c>
      <c r="R64">
        <v>218.61658092099901</v>
      </c>
      <c r="T64">
        <v>62</v>
      </c>
      <c r="U64">
        <v>12</v>
      </c>
      <c r="V64">
        <v>25</v>
      </c>
      <c r="W64">
        <v>3</v>
      </c>
      <c r="X64">
        <v>0.35</v>
      </c>
    </row>
    <row r="65" spans="1:25" x14ac:dyDescent="0.3">
      <c r="A65">
        <v>6</v>
      </c>
      <c r="B65" t="s">
        <v>10</v>
      </c>
      <c r="C65">
        <v>117.28992244667801</v>
      </c>
      <c r="D65">
        <v>13.3738317757009</v>
      </c>
      <c r="G65">
        <v>10</v>
      </c>
      <c r="H65" t="s">
        <v>27</v>
      </c>
      <c r="I65">
        <v>80</v>
      </c>
      <c r="J65">
        <v>80</v>
      </c>
      <c r="K65">
        <v>7.0374999999999996</v>
      </c>
      <c r="L65">
        <v>19.1405779977873</v>
      </c>
      <c r="M65">
        <v>12.7031786294987</v>
      </c>
      <c r="N65">
        <v>84.398139594520103</v>
      </c>
      <c r="O65">
        <v>0</v>
      </c>
      <c r="P65">
        <v>0</v>
      </c>
      <c r="Q65">
        <v>249.71220399999899</v>
      </c>
      <c r="R65">
        <v>228.606512014</v>
      </c>
      <c r="T65">
        <v>63</v>
      </c>
      <c r="U65">
        <v>12</v>
      </c>
      <c r="V65">
        <v>25</v>
      </c>
      <c r="W65">
        <v>3</v>
      </c>
      <c r="X65">
        <v>0.5</v>
      </c>
    </row>
    <row r="66" spans="1:25" x14ac:dyDescent="0.3">
      <c r="A66">
        <v>6</v>
      </c>
      <c r="B66" t="s">
        <v>11</v>
      </c>
      <c r="C66">
        <v>275.14160005436401</v>
      </c>
      <c r="D66">
        <v>14</v>
      </c>
      <c r="G66">
        <v>10</v>
      </c>
      <c r="H66" t="s">
        <v>28</v>
      </c>
      <c r="I66">
        <v>85</v>
      </c>
      <c r="J66">
        <v>82</v>
      </c>
      <c r="K66">
        <v>7.6941176470588202</v>
      </c>
      <c r="L66">
        <v>19.6914646412609</v>
      </c>
      <c r="M66">
        <v>12.7031786294987</v>
      </c>
      <c r="N66">
        <v>89.767602255445595</v>
      </c>
      <c r="O66">
        <v>0</v>
      </c>
      <c r="P66">
        <v>0</v>
      </c>
      <c r="Q66">
        <v>244.02246499999899</v>
      </c>
      <c r="R66">
        <v>225.494535648999</v>
      </c>
      <c r="T66">
        <v>64</v>
      </c>
      <c r="U66">
        <v>12</v>
      </c>
      <c r="V66">
        <v>25</v>
      </c>
      <c r="W66">
        <v>4</v>
      </c>
      <c r="X66">
        <v>0.2</v>
      </c>
    </row>
    <row r="67" spans="1:25" x14ac:dyDescent="0.3">
      <c r="A67">
        <v>6</v>
      </c>
      <c r="B67" t="s">
        <v>12</v>
      </c>
      <c r="C67">
        <v>352.45139691222698</v>
      </c>
      <c r="D67">
        <v>14</v>
      </c>
      <c r="G67">
        <v>11</v>
      </c>
      <c r="H67" t="s">
        <v>25</v>
      </c>
      <c r="I67">
        <v>79</v>
      </c>
      <c r="J67">
        <v>79</v>
      </c>
      <c r="K67">
        <v>6.9746835443037902</v>
      </c>
      <c r="L67">
        <v>19.134070227786101</v>
      </c>
      <c r="M67">
        <v>13.3345585693488</v>
      </c>
      <c r="N67">
        <v>92.141318871096303</v>
      </c>
      <c r="O67">
        <v>0</v>
      </c>
      <c r="P67">
        <v>0</v>
      </c>
      <c r="Q67">
        <v>245.41477</v>
      </c>
      <c r="R67">
        <v>227.131340244999</v>
      </c>
      <c r="T67">
        <v>65</v>
      </c>
      <c r="U67">
        <v>12</v>
      </c>
      <c r="V67">
        <v>25</v>
      </c>
      <c r="W67">
        <v>4</v>
      </c>
      <c r="X67">
        <v>0.35</v>
      </c>
    </row>
    <row r="68" spans="1:25" x14ac:dyDescent="0.3">
      <c r="A68">
        <v>6</v>
      </c>
      <c r="B68" t="s">
        <v>13</v>
      </c>
      <c r="C68">
        <v>354.22278604720702</v>
      </c>
      <c r="D68">
        <v>0</v>
      </c>
      <c r="G68">
        <v>11</v>
      </c>
      <c r="H68" t="s">
        <v>26</v>
      </c>
      <c r="I68">
        <v>75</v>
      </c>
      <c r="J68">
        <v>74</v>
      </c>
      <c r="K68">
        <v>6.7333333333333298</v>
      </c>
      <c r="L68">
        <v>18.5660170654807</v>
      </c>
      <c r="M68">
        <v>13.3345585693488</v>
      </c>
      <c r="N68">
        <v>87.719128150249404</v>
      </c>
      <c r="O68">
        <v>0</v>
      </c>
      <c r="P68">
        <v>0</v>
      </c>
      <c r="Q68">
        <v>247.942117</v>
      </c>
      <c r="R68">
        <v>229.70625012099899</v>
      </c>
      <c r="T68">
        <v>66</v>
      </c>
      <c r="U68">
        <v>12</v>
      </c>
      <c r="V68">
        <v>25</v>
      </c>
      <c r="W68">
        <v>4</v>
      </c>
      <c r="X68">
        <v>0.5</v>
      </c>
    </row>
    <row r="69" spans="1:25" x14ac:dyDescent="0.3">
      <c r="A69">
        <v>7</v>
      </c>
      <c r="B69" t="s">
        <v>3</v>
      </c>
      <c r="C69">
        <v>15.0425684921931</v>
      </c>
      <c r="D69">
        <v>13</v>
      </c>
      <c r="G69">
        <v>11</v>
      </c>
      <c r="H69" t="s">
        <v>27</v>
      </c>
      <c r="I69">
        <v>80</v>
      </c>
      <c r="J69">
        <v>80</v>
      </c>
      <c r="K69">
        <v>7.0374999999999996</v>
      </c>
      <c r="L69">
        <v>19.1261492594065</v>
      </c>
      <c r="M69">
        <v>13.3345585693488</v>
      </c>
      <c r="N69">
        <v>93.428642620300906</v>
      </c>
      <c r="O69">
        <v>0</v>
      </c>
      <c r="P69">
        <v>0</v>
      </c>
      <c r="Q69">
        <v>236.433967</v>
      </c>
      <c r="R69">
        <v>220.59175863099901</v>
      </c>
      <c r="T69">
        <v>67</v>
      </c>
      <c r="U69">
        <v>12</v>
      </c>
      <c r="V69">
        <v>25</v>
      </c>
      <c r="W69">
        <v>4</v>
      </c>
      <c r="X69">
        <v>0.5</v>
      </c>
    </row>
    <row r="70" spans="1:25" x14ac:dyDescent="0.3">
      <c r="A70">
        <v>7</v>
      </c>
      <c r="B70" t="s">
        <v>4</v>
      </c>
      <c r="C70">
        <v>15.287323227128899</v>
      </c>
      <c r="D70">
        <v>13</v>
      </c>
      <c r="G70">
        <v>11</v>
      </c>
      <c r="H70" t="s">
        <v>28</v>
      </c>
      <c r="I70">
        <v>76</v>
      </c>
      <c r="J70">
        <v>76</v>
      </c>
      <c r="K70">
        <v>6.8684210526315699</v>
      </c>
      <c r="L70">
        <v>20.368422306656399</v>
      </c>
      <c r="M70">
        <v>13.3345585693488</v>
      </c>
      <c r="N70">
        <v>93.980607329093303</v>
      </c>
      <c r="O70">
        <v>0</v>
      </c>
      <c r="P70">
        <v>0</v>
      </c>
      <c r="Q70">
        <v>278.96949099999898</v>
      </c>
      <c r="R70">
        <v>256.74145662999899</v>
      </c>
      <c r="T70">
        <v>68</v>
      </c>
      <c r="U70">
        <v>12</v>
      </c>
      <c r="V70">
        <v>25</v>
      </c>
      <c r="W70">
        <v>4</v>
      </c>
      <c r="X70">
        <v>0.5</v>
      </c>
    </row>
    <row r="71" spans="1:25" x14ac:dyDescent="0.3">
      <c r="A71">
        <v>7</v>
      </c>
      <c r="B71" t="s">
        <v>5</v>
      </c>
      <c r="C71">
        <v>19.912305087116199</v>
      </c>
      <c r="D71">
        <v>13</v>
      </c>
      <c r="G71">
        <v>11</v>
      </c>
      <c r="H71" t="s">
        <v>29</v>
      </c>
      <c r="I71">
        <v>71</v>
      </c>
      <c r="J71">
        <v>71</v>
      </c>
      <c r="K71">
        <v>6.3802816901408397</v>
      </c>
      <c r="L71">
        <v>18.757043836220799</v>
      </c>
      <c r="M71">
        <v>13.3345585693488</v>
      </c>
      <c r="N71">
        <v>88.867154844310605</v>
      </c>
      <c r="O71">
        <v>0</v>
      </c>
      <c r="P71">
        <v>0</v>
      </c>
      <c r="Q71">
        <v>254.74684500000001</v>
      </c>
      <c r="R71">
        <v>235.66788398799901</v>
      </c>
      <c r="T71">
        <v>69</v>
      </c>
      <c r="U71">
        <v>12</v>
      </c>
      <c r="V71">
        <v>25</v>
      </c>
      <c r="W71">
        <v>4</v>
      </c>
      <c r="X71">
        <v>0.5</v>
      </c>
    </row>
    <row r="72" spans="1:25" x14ac:dyDescent="0.3">
      <c r="A72">
        <v>7</v>
      </c>
      <c r="B72" t="s">
        <v>6</v>
      </c>
      <c r="C72">
        <v>64.051615135159196</v>
      </c>
      <c r="D72">
        <v>13</v>
      </c>
      <c r="G72">
        <v>11</v>
      </c>
      <c r="H72" t="s">
        <v>30</v>
      </c>
      <c r="I72">
        <v>83</v>
      </c>
      <c r="J72">
        <v>83</v>
      </c>
      <c r="K72">
        <v>7.5301204819277103</v>
      </c>
      <c r="L72">
        <v>19.794146328419</v>
      </c>
      <c r="M72">
        <v>13.3345585693488</v>
      </c>
      <c r="N72">
        <v>101.90478713186999</v>
      </c>
      <c r="O72">
        <v>0</v>
      </c>
      <c r="P72">
        <v>0</v>
      </c>
      <c r="Q72">
        <v>276.55622299999999</v>
      </c>
      <c r="R72">
        <v>261.84145891399999</v>
      </c>
      <c r="T72">
        <v>70</v>
      </c>
      <c r="U72">
        <v>12</v>
      </c>
      <c r="V72">
        <v>25</v>
      </c>
      <c r="W72">
        <v>4</v>
      </c>
      <c r="X72">
        <v>0.5</v>
      </c>
    </row>
    <row r="73" spans="1:25" x14ac:dyDescent="0.3">
      <c r="A73">
        <v>7</v>
      </c>
      <c r="B73" t="s">
        <v>7</v>
      </c>
      <c r="C73">
        <v>65.886002090311294</v>
      </c>
      <c r="D73">
        <v>13</v>
      </c>
      <c r="G73">
        <v>11</v>
      </c>
      <c r="H73" t="s">
        <v>31</v>
      </c>
      <c r="I73">
        <v>82</v>
      </c>
      <c r="J73">
        <v>82</v>
      </c>
      <c r="K73">
        <v>7.3414634146341404</v>
      </c>
      <c r="L73">
        <v>19.780086658957899</v>
      </c>
      <c r="M73">
        <v>13.3345585693488</v>
      </c>
      <c r="N73">
        <v>100.29123323802</v>
      </c>
      <c r="O73">
        <v>0</v>
      </c>
      <c r="P73">
        <v>0</v>
      </c>
      <c r="Q73">
        <v>265.34991400000001</v>
      </c>
      <c r="R73">
        <v>250.571305101999</v>
      </c>
      <c r="T73">
        <v>71</v>
      </c>
      <c r="U73">
        <v>12</v>
      </c>
      <c r="V73">
        <v>25</v>
      </c>
      <c r="W73">
        <v>4</v>
      </c>
      <c r="X73">
        <v>0.5</v>
      </c>
    </row>
    <row r="74" spans="1:25" x14ac:dyDescent="0.3">
      <c r="A74">
        <v>7</v>
      </c>
      <c r="B74" t="s">
        <v>8</v>
      </c>
      <c r="C74">
        <v>79.044825299745696</v>
      </c>
      <c r="D74">
        <v>13</v>
      </c>
      <c r="G74">
        <v>11</v>
      </c>
      <c r="H74" t="s">
        <v>32</v>
      </c>
      <c r="I74">
        <v>84</v>
      </c>
      <c r="J74">
        <v>83</v>
      </c>
      <c r="K74">
        <v>7.6190476190476097</v>
      </c>
      <c r="L74">
        <v>19.919596364254801</v>
      </c>
      <c r="M74">
        <v>13.3345585693488</v>
      </c>
      <c r="N74">
        <v>101.736966267941</v>
      </c>
      <c r="O74">
        <v>0</v>
      </c>
      <c r="P74">
        <v>0</v>
      </c>
      <c r="Q74">
        <v>270.70736799999997</v>
      </c>
      <c r="R74">
        <v>255.11981239899899</v>
      </c>
      <c r="T74">
        <v>72</v>
      </c>
      <c r="U74">
        <v>12</v>
      </c>
      <c r="V74">
        <v>25</v>
      </c>
      <c r="W74">
        <v>4</v>
      </c>
      <c r="X74">
        <v>0.5</v>
      </c>
    </row>
    <row r="75" spans="1:25" x14ac:dyDescent="0.3">
      <c r="A75">
        <v>7</v>
      </c>
      <c r="B75" t="s">
        <v>9</v>
      </c>
      <c r="C75">
        <v>81.302664698683103</v>
      </c>
      <c r="D75">
        <v>13</v>
      </c>
      <c r="G75">
        <v>12</v>
      </c>
      <c r="H75" t="s">
        <v>25</v>
      </c>
      <c r="I75">
        <v>92</v>
      </c>
      <c r="J75">
        <v>92</v>
      </c>
      <c r="K75">
        <v>7.8478260869565197</v>
      </c>
      <c r="L75">
        <v>20.055612515826802</v>
      </c>
      <c r="M75">
        <v>12.904742419968599</v>
      </c>
      <c r="N75">
        <v>96.482398134264301</v>
      </c>
      <c r="O75">
        <v>0</v>
      </c>
      <c r="P75">
        <v>0</v>
      </c>
      <c r="Q75">
        <v>237.465080999999</v>
      </c>
      <c r="R75">
        <v>219.46436124299899</v>
      </c>
      <c r="T75">
        <v>73</v>
      </c>
      <c r="U75">
        <v>12</v>
      </c>
      <c r="V75">
        <v>25</v>
      </c>
      <c r="W75">
        <v>4</v>
      </c>
      <c r="X75">
        <v>0.5</v>
      </c>
    </row>
    <row r="76" spans="1:25" x14ac:dyDescent="0.3">
      <c r="A76">
        <v>7</v>
      </c>
      <c r="B76" t="s">
        <v>10</v>
      </c>
      <c r="C76">
        <v>118.308423707618</v>
      </c>
      <c r="D76">
        <v>13.3738317757009</v>
      </c>
      <c r="G76">
        <v>12</v>
      </c>
      <c r="H76" t="s">
        <v>26</v>
      </c>
      <c r="I76">
        <v>88</v>
      </c>
      <c r="J76">
        <v>85</v>
      </c>
      <c r="K76">
        <v>7.3977272727272698</v>
      </c>
      <c r="L76">
        <v>19.174798153464401</v>
      </c>
      <c r="M76">
        <v>12.904742419968599</v>
      </c>
      <c r="N76">
        <v>93.219745700979104</v>
      </c>
      <c r="O76">
        <v>0</v>
      </c>
      <c r="P76">
        <v>0</v>
      </c>
      <c r="Q76">
        <v>227.01358099999899</v>
      </c>
      <c r="R76">
        <v>208.454464473999</v>
      </c>
      <c r="T76">
        <v>74</v>
      </c>
      <c r="U76">
        <v>12</v>
      </c>
      <c r="V76">
        <v>25</v>
      </c>
      <c r="W76">
        <v>4</v>
      </c>
      <c r="X76">
        <v>0.5</v>
      </c>
    </row>
    <row r="77" spans="1:25" x14ac:dyDescent="0.3">
      <c r="A77">
        <v>7</v>
      </c>
      <c r="B77" t="s">
        <v>11</v>
      </c>
      <c r="C77">
        <v>274.31252916113402</v>
      </c>
      <c r="D77">
        <v>14</v>
      </c>
      <c r="G77">
        <v>12</v>
      </c>
      <c r="H77" t="s">
        <v>27</v>
      </c>
      <c r="I77">
        <v>96</v>
      </c>
      <c r="J77">
        <v>92</v>
      </c>
      <c r="K77">
        <v>7.9583333333333304</v>
      </c>
      <c r="L77">
        <v>20.885365393394501</v>
      </c>
      <c r="M77">
        <v>12.904742419968599</v>
      </c>
      <c r="N77">
        <v>101.887265990797</v>
      </c>
      <c r="O77">
        <v>0</v>
      </c>
      <c r="P77">
        <v>0</v>
      </c>
      <c r="Q77">
        <v>281.368268</v>
      </c>
      <c r="R77">
        <v>264.64143914900001</v>
      </c>
      <c r="T77">
        <v>75</v>
      </c>
      <c r="U77">
        <v>12</v>
      </c>
      <c r="V77">
        <v>25</v>
      </c>
      <c r="W77">
        <v>4</v>
      </c>
      <c r="X77">
        <v>0.5</v>
      </c>
    </row>
    <row r="78" spans="1:25" x14ac:dyDescent="0.3">
      <c r="A78">
        <v>7</v>
      </c>
      <c r="B78" t="s">
        <v>12</v>
      </c>
      <c r="C78">
        <v>353.35678360183903</v>
      </c>
      <c r="D78">
        <v>14</v>
      </c>
      <c r="G78">
        <v>12</v>
      </c>
      <c r="H78" t="s">
        <v>28</v>
      </c>
      <c r="I78">
        <v>79</v>
      </c>
      <c r="J78">
        <v>79</v>
      </c>
      <c r="K78">
        <v>7.7215189873417698</v>
      </c>
      <c r="L78">
        <v>20.491425518187398</v>
      </c>
      <c r="M78">
        <v>12.904742419968599</v>
      </c>
      <c r="N78">
        <v>82.648120353049507</v>
      </c>
      <c r="O78">
        <v>0</v>
      </c>
      <c r="P78">
        <v>0</v>
      </c>
      <c r="Q78">
        <v>253.854402999999</v>
      </c>
      <c r="R78">
        <v>229.48660833199901</v>
      </c>
      <c r="T78" s="26">
        <v>76</v>
      </c>
      <c r="U78" s="26">
        <v>12</v>
      </c>
      <c r="V78" s="26">
        <v>25</v>
      </c>
      <c r="W78" s="26">
        <v>4</v>
      </c>
      <c r="X78" s="26">
        <v>0.5</v>
      </c>
      <c r="Y78" s="3" t="s">
        <v>93</v>
      </c>
    </row>
    <row r="79" spans="1:25" x14ac:dyDescent="0.3">
      <c r="A79">
        <v>7</v>
      </c>
      <c r="B79" t="s">
        <v>13</v>
      </c>
      <c r="C79">
        <v>353.75232769182702</v>
      </c>
      <c r="D79">
        <v>0</v>
      </c>
      <c r="G79">
        <v>13</v>
      </c>
      <c r="H79" t="s">
        <v>25</v>
      </c>
      <c r="I79">
        <v>95</v>
      </c>
      <c r="J79">
        <v>92</v>
      </c>
      <c r="K79">
        <v>7.8842105263157896</v>
      </c>
      <c r="L79">
        <v>19.891815955005701</v>
      </c>
      <c r="M79">
        <v>12.9026288851055</v>
      </c>
      <c r="N79">
        <v>100.03247848941599</v>
      </c>
      <c r="O79">
        <v>0</v>
      </c>
      <c r="P79">
        <v>0</v>
      </c>
      <c r="Q79">
        <v>231.70468499999899</v>
      </c>
      <c r="R79">
        <v>214.94152738499901</v>
      </c>
      <c r="T79">
        <v>77</v>
      </c>
      <c r="U79">
        <v>12</v>
      </c>
      <c r="V79">
        <v>25</v>
      </c>
      <c r="W79">
        <v>4</v>
      </c>
      <c r="X79">
        <v>0.5</v>
      </c>
    </row>
    <row r="80" spans="1:25" x14ac:dyDescent="0.3">
      <c r="A80">
        <v>8</v>
      </c>
      <c r="B80" t="s">
        <v>3</v>
      </c>
      <c r="C80">
        <v>15.4629180202404</v>
      </c>
      <c r="D80">
        <v>13</v>
      </c>
      <c r="G80">
        <v>13</v>
      </c>
      <c r="H80" t="s">
        <v>26</v>
      </c>
      <c r="I80">
        <v>85</v>
      </c>
      <c r="J80">
        <v>85</v>
      </c>
      <c r="K80">
        <v>7.2705882352941096</v>
      </c>
      <c r="L80">
        <v>19.3162839517293</v>
      </c>
      <c r="M80">
        <v>12.9026288851055</v>
      </c>
      <c r="N80">
        <v>90.273243517377495</v>
      </c>
      <c r="O80">
        <v>0</v>
      </c>
      <c r="P80">
        <v>0</v>
      </c>
      <c r="Q80">
        <v>225.039773999999</v>
      </c>
      <c r="R80">
        <v>206.255043236999</v>
      </c>
      <c r="T80">
        <v>78</v>
      </c>
      <c r="U80">
        <v>12</v>
      </c>
      <c r="V80">
        <v>25</v>
      </c>
      <c r="W80">
        <v>4</v>
      </c>
      <c r="X80">
        <v>0.5</v>
      </c>
    </row>
    <row r="81" spans="1:24" x14ac:dyDescent="0.3">
      <c r="A81">
        <v>8</v>
      </c>
      <c r="B81" t="s">
        <v>4</v>
      </c>
      <c r="C81">
        <v>15.1704783571483</v>
      </c>
      <c r="D81">
        <v>13</v>
      </c>
      <c r="G81">
        <v>13</v>
      </c>
      <c r="H81" t="s">
        <v>27</v>
      </c>
      <c r="I81">
        <v>96</v>
      </c>
      <c r="J81">
        <v>93</v>
      </c>
      <c r="K81">
        <v>7.9583333333333304</v>
      </c>
      <c r="L81">
        <v>20.919283030889101</v>
      </c>
      <c r="M81">
        <v>12.9026288851055</v>
      </c>
      <c r="N81">
        <v>100.25294146034599</v>
      </c>
      <c r="O81">
        <v>0</v>
      </c>
      <c r="P81">
        <v>0</v>
      </c>
      <c r="Q81">
        <v>279.74980099999999</v>
      </c>
      <c r="R81">
        <v>263.493665047999</v>
      </c>
      <c r="T81">
        <v>79</v>
      </c>
      <c r="U81">
        <v>12</v>
      </c>
      <c r="V81">
        <v>25</v>
      </c>
      <c r="W81">
        <v>4</v>
      </c>
      <c r="X81">
        <v>0.5</v>
      </c>
    </row>
    <row r="82" spans="1:24" x14ac:dyDescent="0.3">
      <c r="A82">
        <v>8</v>
      </c>
      <c r="B82" t="s">
        <v>5</v>
      </c>
      <c r="C82">
        <v>19.9003964348857</v>
      </c>
      <c r="D82">
        <v>13</v>
      </c>
      <c r="G82">
        <v>13</v>
      </c>
      <c r="H82" t="s">
        <v>28</v>
      </c>
      <c r="I82">
        <v>79</v>
      </c>
      <c r="J82">
        <v>75</v>
      </c>
      <c r="K82">
        <v>7.5189873417721502</v>
      </c>
      <c r="L82">
        <v>20.365532334556999</v>
      </c>
      <c r="M82">
        <v>12.9026288851055</v>
      </c>
      <c r="N82">
        <v>83.617574200919293</v>
      </c>
      <c r="O82">
        <v>0</v>
      </c>
      <c r="P82">
        <v>0</v>
      </c>
      <c r="Q82">
        <v>259.85214599999898</v>
      </c>
      <c r="R82">
        <v>233.81797112799899</v>
      </c>
      <c r="T82">
        <v>80</v>
      </c>
      <c r="U82">
        <v>12</v>
      </c>
      <c r="V82">
        <v>25</v>
      </c>
      <c r="W82">
        <v>4</v>
      </c>
      <c r="X82">
        <v>0.5</v>
      </c>
    </row>
    <row r="83" spans="1:24" x14ac:dyDescent="0.3">
      <c r="A83">
        <v>8</v>
      </c>
      <c r="B83" t="s">
        <v>6</v>
      </c>
      <c r="C83">
        <v>64.2404036262256</v>
      </c>
      <c r="D83">
        <v>13</v>
      </c>
      <c r="G83">
        <v>14</v>
      </c>
      <c r="H83" t="s">
        <v>25</v>
      </c>
      <c r="I83">
        <v>95</v>
      </c>
      <c r="J83">
        <v>92</v>
      </c>
      <c r="K83">
        <v>7.8842105263157896</v>
      </c>
      <c r="L83">
        <v>19.907694848897599</v>
      </c>
      <c r="M83">
        <v>12.8117697759912</v>
      </c>
      <c r="N83">
        <v>99.181991179173494</v>
      </c>
      <c r="O83">
        <v>0</v>
      </c>
      <c r="P83">
        <v>0</v>
      </c>
      <c r="Q83">
        <v>231.70468499999899</v>
      </c>
      <c r="R83">
        <v>214.94152738499901</v>
      </c>
      <c r="T83">
        <v>81</v>
      </c>
      <c r="U83">
        <v>12</v>
      </c>
      <c r="V83">
        <v>25</v>
      </c>
      <c r="W83">
        <v>4</v>
      </c>
      <c r="X83">
        <v>0.5</v>
      </c>
    </row>
    <row r="84" spans="1:24" x14ac:dyDescent="0.3">
      <c r="A84">
        <v>8</v>
      </c>
      <c r="B84" t="s">
        <v>7</v>
      </c>
      <c r="C84">
        <v>65.371146127917299</v>
      </c>
      <c r="D84">
        <v>13</v>
      </c>
      <c r="G84">
        <v>14</v>
      </c>
      <c r="H84" t="s">
        <v>26</v>
      </c>
      <c r="I84">
        <v>85</v>
      </c>
      <c r="J84">
        <v>85</v>
      </c>
      <c r="K84">
        <v>7.2705882352941096</v>
      </c>
      <c r="L84">
        <v>19.292766672742101</v>
      </c>
      <c r="M84">
        <v>12.8117697759912</v>
      </c>
      <c r="N84">
        <v>89.300458385960198</v>
      </c>
      <c r="O84">
        <v>0</v>
      </c>
      <c r="P84">
        <v>0</v>
      </c>
      <c r="Q84">
        <v>225.039773999999</v>
      </c>
      <c r="R84">
        <v>206.255043236999</v>
      </c>
    </row>
    <row r="85" spans="1:24" x14ac:dyDescent="0.3">
      <c r="A85">
        <v>8</v>
      </c>
      <c r="B85" t="s">
        <v>8</v>
      </c>
      <c r="C85">
        <v>79.278621561189595</v>
      </c>
      <c r="D85">
        <v>13</v>
      </c>
      <c r="G85">
        <v>14</v>
      </c>
      <c r="H85" t="s">
        <v>27</v>
      </c>
      <c r="I85">
        <v>95</v>
      </c>
      <c r="J85">
        <v>92</v>
      </c>
      <c r="K85">
        <v>7.8842105263157896</v>
      </c>
      <c r="L85">
        <v>20.798081047615099</v>
      </c>
      <c r="M85">
        <v>12.8117697759912</v>
      </c>
      <c r="N85">
        <v>99.809035043433994</v>
      </c>
      <c r="O85">
        <v>0</v>
      </c>
      <c r="P85">
        <v>0</v>
      </c>
      <c r="Q85">
        <v>276.60237999999998</v>
      </c>
      <c r="R85">
        <v>260.55082460499898</v>
      </c>
    </row>
    <row r="86" spans="1:24" x14ac:dyDescent="0.3">
      <c r="A86">
        <v>8</v>
      </c>
      <c r="B86" t="s">
        <v>9</v>
      </c>
      <c r="C86">
        <v>80.6822723197171</v>
      </c>
      <c r="D86">
        <v>13</v>
      </c>
      <c r="G86">
        <v>14</v>
      </c>
      <c r="H86" t="s">
        <v>28</v>
      </c>
      <c r="I86">
        <v>80</v>
      </c>
      <c r="J86">
        <v>76</v>
      </c>
      <c r="K86">
        <v>7.4749999999999996</v>
      </c>
      <c r="L86">
        <v>20.530205572966601</v>
      </c>
      <c r="M86">
        <v>12.8117697759912</v>
      </c>
      <c r="N86">
        <v>83.249838895177106</v>
      </c>
      <c r="O86">
        <v>0</v>
      </c>
      <c r="P86">
        <v>0</v>
      </c>
      <c r="Q86">
        <v>260.09354599999898</v>
      </c>
      <c r="R86">
        <v>234.720840105999</v>
      </c>
    </row>
    <row r="87" spans="1:24" x14ac:dyDescent="0.3">
      <c r="A87">
        <v>8</v>
      </c>
      <c r="B87" t="s">
        <v>10</v>
      </c>
      <c r="C87">
        <v>117.453961982636</v>
      </c>
      <c r="D87">
        <v>13.3738317757009</v>
      </c>
      <c r="G87">
        <v>15</v>
      </c>
      <c r="H87" t="s">
        <v>25</v>
      </c>
      <c r="I87">
        <v>95</v>
      </c>
      <c r="J87">
        <v>92</v>
      </c>
      <c r="K87">
        <v>7.8842105263157896</v>
      </c>
      <c r="L87">
        <v>20.0431611128767</v>
      </c>
      <c r="M87">
        <v>12.8253634263598</v>
      </c>
      <c r="N87">
        <v>98.525374719975304</v>
      </c>
      <c r="O87">
        <v>0</v>
      </c>
      <c r="P87">
        <v>0</v>
      </c>
      <c r="Q87">
        <v>231.70468499999899</v>
      </c>
      <c r="R87">
        <v>214.94152738499901</v>
      </c>
    </row>
    <row r="88" spans="1:24" x14ac:dyDescent="0.3">
      <c r="A88">
        <v>8</v>
      </c>
      <c r="B88" t="s">
        <v>11</v>
      </c>
      <c r="C88">
        <v>274.35560168755001</v>
      </c>
      <c r="D88">
        <v>14</v>
      </c>
      <c r="G88">
        <v>15</v>
      </c>
      <c r="H88" t="s">
        <v>26</v>
      </c>
      <c r="I88">
        <v>85</v>
      </c>
      <c r="J88">
        <v>85</v>
      </c>
      <c r="K88">
        <v>7.2705882352941096</v>
      </c>
      <c r="L88">
        <v>19.2833669983006</v>
      </c>
      <c r="M88">
        <v>12.8253634263598</v>
      </c>
      <c r="N88">
        <v>88.759690526585601</v>
      </c>
      <c r="O88">
        <v>0</v>
      </c>
      <c r="P88">
        <v>0</v>
      </c>
      <c r="Q88">
        <v>225.039773999999</v>
      </c>
      <c r="R88">
        <v>206.255043236999</v>
      </c>
    </row>
    <row r="89" spans="1:24" x14ac:dyDescent="0.3">
      <c r="A89">
        <v>8</v>
      </c>
      <c r="B89" t="s">
        <v>12</v>
      </c>
      <c r="C89">
        <v>352.24067164936201</v>
      </c>
      <c r="D89">
        <v>14</v>
      </c>
      <c r="G89">
        <v>15</v>
      </c>
      <c r="H89" t="s">
        <v>27</v>
      </c>
      <c r="I89">
        <v>95</v>
      </c>
      <c r="J89">
        <v>92</v>
      </c>
      <c r="K89">
        <v>7.8842105263157896</v>
      </c>
      <c r="L89">
        <v>20.765259506083598</v>
      </c>
      <c r="M89">
        <v>12.8253634263598</v>
      </c>
      <c r="N89">
        <v>100.65083914670301</v>
      </c>
      <c r="O89">
        <v>0</v>
      </c>
      <c r="P89">
        <v>0</v>
      </c>
      <c r="Q89">
        <v>276.60237999999998</v>
      </c>
      <c r="R89">
        <v>260.55082460499898</v>
      </c>
    </row>
    <row r="90" spans="1:24" x14ac:dyDescent="0.3">
      <c r="A90">
        <v>8</v>
      </c>
      <c r="B90" t="s">
        <v>13</v>
      </c>
      <c r="C90">
        <v>354.31461722956601</v>
      </c>
      <c r="D90">
        <v>0</v>
      </c>
      <c r="G90">
        <v>15</v>
      </c>
      <c r="H90" t="s">
        <v>28</v>
      </c>
      <c r="I90">
        <v>80</v>
      </c>
      <c r="J90">
        <v>76</v>
      </c>
      <c r="K90">
        <v>7.4749999999999996</v>
      </c>
      <c r="L90">
        <v>20.333641506227998</v>
      </c>
      <c r="M90">
        <v>12.8253634263598</v>
      </c>
      <c r="N90">
        <v>83.999634971171105</v>
      </c>
      <c r="O90">
        <v>0</v>
      </c>
      <c r="P90">
        <v>0</v>
      </c>
      <c r="Q90">
        <v>260.09354599999898</v>
      </c>
      <c r="R90">
        <v>234.720840105999</v>
      </c>
    </row>
    <row r="91" spans="1:24" x14ac:dyDescent="0.3">
      <c r="A91">
        <v>9</v>
      </c>
      <c r="B91" t="s">
        <v>3</v>
      </c>
      <c r="C91">
        <v>14.9354406347971</v>
      </c>
      <c r="D91">
        <v>13</v>
      </c>
      <c r="G91">
        <v>16</v>
      </c>
      <c r="H91" t="s">
        <v>25</v>
      </c>
      <c r="I91">
        <v>95</v>
      </c>
      <c r="J91">
        <v>92</v>
      </c>
      <c r="K91">
        <v>7.8842105263157896</v>
      </c>
      <c r="L91">
        <v>19.925487552000899</v>
      </c>
      <c r="M91">
        <v>12.853120910131301</v>
      </c>
      <c r="N91">
        <v>99.936450943025704</v>
      </c>
      <c r="O91">
        <v>0</v>
      </c>
      <c r="P91">
        <v>0</v>
      </c>
      <c r="Q91">
        <v>231.70468499999899</v>
      </c>
      <c r="R91">
        <v>214.94152738499901</v>
      </c>
    </row>
    <row r="92" spans="1:24" x14ac:dyDescent="0.3">
      <c r="A92">
        <v>9</v>
      </c>
      <c r="B92" t="s">
        <v>4</v>
      </c>
      <c r="C92">
        <v>15.3249404211462</v>
      </c>
      <c r="D92">
        <v>13</v>
      </c>
      <c r="G92">
        <v>16</v>
      </c>
      <c r="H92" t="s">
        <v>26</v>
      </c>
      <c r="I92">
        <v>85</v>
      </c>
      <c r="J92">
        <v>85</v>
      </c>
      <c r="K92">
        <v>7.2705882352941096</v>
      </c>
      <c r="L92">
        <v>19.2061495766722</v>
      </c>
      <c r="M92">
        <v>12.853120910131301</v>
      </c>
      <c r="N92">
        <v>89.235032619985802</v>
      </c>
      <c r="O92">
        <v>0</v>
      </c>
      <c r="P92">
        <v>0</v>
      </c>
      <c r="Q92">
        <v>225.039773999999</v>
      </c>
      <c r="R92">
        <v>206.255043236999</v>
      </c>
    </row>
    <row r="93" spans="1:24" x14ac:dyDescent="0.3">
      <c r="A93">
        <v>9</v>
      </c>
      <c r="B93" t="s">
        <v>5</v>
      </c>
      <c r="C93">
        <v>20.0171525973592</v>
      </c>
      <c r="D93">
        <v>13</v>
      </c>
      <c r="G93">
        <v>16</v>
      </c>
      <c r="H93" t="s">
        <v>27</v>
      </c>
      <c r="I93">
        <v>95</v>
      </c>
      <c r="J93">
        <v>92</v>
      </c>
      <c r="K93">
        <v>7.8842105263157896</v>
      </c>
      <c r="L93">
        <v>20.558737850891799</v>
      </c>
      <c r="M93">
        <v>12.853120910131301</v>
      </c>
      <c r="N93">
        <v>99.071043204609694</v>
      </c>
      <c r="O93">
        <v>0</v>
      </c>
      <c r="P93">
        <v>0</v>
      </c>
      <c r="Q93">
        <v>276.60237999999998</v>
      </c>
      <c r="R93">
        <v>260.55082460499898</v>
      </c>
    </row>
    <row r="94" spans="1:24" x14ac:dyDescent="0.3">
      <c r="A94">
        <v>9</v>
      </c>
      <c r="B94" t="s">
        <v>6</v>
      </c>
      <c r="C94">
        <v>64.519074162913199</v>
      </c>
      <c r="D94">
        <v>13</v>
      </c>
      <c r="G94">
        <v>16</v>
      </c>
      <c r="H94" t="s">
        <v>28</v>
      </c>
      <c r="I94">
        <v>81</v>
      </c>
      <c r="J94">
        <v>76</v>
      </c>
      <c r="K94">
        <v>7.55555555555555</v>
      </c>
      <c r="L94">
        <v>20.4571017775122</v>
      </c>
      <c r="M94">
        <v>12.853120910131301</v>
      </c>
      <c r="N94">
        <v>84.497979626186407</v>
      </c>
      <c r="O94">
        <v>0</v>
      </c>
      <c r="P94">
        <v>0</v>
      </c>
      <c r="Q94">
        <v>260.55970699999898</v>
      </c>
      <c r="R94">
        <v>235.76261667399899</v>
      </c>
    </row>
    <row r="95" spans="1:24" x14ac:dyDescent="0.3">
      <c r="A95">
        <v>9</v>
      </c>
      <c r="B95" t="s">
        <v>7</v>
      </c>
      <c r="C95">
        <v>66.100300884443598</v>
      </c>
      <c r="D95">
        <v>13</v>
      </c>
      <c r="G95">
        <v>17</v>
      </c>
      <c r="H95" t="s">
        <v>25</v>
      </c>
      <c r="I95">
        <v>78</v>
      </c>
      <c r="J95">
        <v>77</v>
      </c>
      <c r="K95">
        <v>6.8717948717948696</v>
      </c>
      <c r="L95">
        <v>18.910039663493201</v>
      </c>
      <c r="M95">
        <v>13.2816365572517</v>
      </c>
      <c r="N95">
        <v>92.031703920915405</v>
      </c>
      <c r="O95">
        <v>0</v>
      </c>
      <c r="P95">
        <v>0</v>
      </c>
      <c r="Q95">
        <v>248.520028999999</v>
      </c>
      <c r="R95">
        <v>229.379358752</v>
      </c>
    </row>
    <row r="96" spans="1:24" x14ac:dyDescent="0.3">
      <c r="A96">
        <v>9</v>
      </c>
      <c r="B96" t="s">
        <v>8</v>
      </c>
      <c r="C96">
        <v>78.484928830777307</v>
      </c>
      <c r="D96">
        <v>13.6527777777777</v>
      </c>
      <c r="G96">
        <v>17</v>
      </c>
      <c r="H96" t="s">
        <v>26</v>
      </c>
      <c r="I96">
        <v>75</v>
      </c>
      <c r="J96">
        <v>75</v>
      </c>
      <c r="K96">
        <v>6.7333333333333298</v>
      </c>
      <c r="L96">
        <v>18.699969565758501</v>
      </c>
      <c r="M96">
        <v>13.2816365572517</v>
      </c>
      <c r="N96">
        <v>88.182525607819699</v>
      </c>
      <c r="O96">
        <v>0</v>
      </c>
      <c r="P96">
        <v>0</v>
      </c>
      <c r="Q96">
        <v>247.055485</v>
      </c>
      <c r="R96">
        <v>229.997600409999</v>
      </c>
    </row>
    <row r="97" spans="1:18" x14ac:dyDescent="0.3">
      <c r="A97">
        <v>9</v>
      </c>
      <c r="B97" t="s">
        <v>9</v>
      </c>
      <c r="C97">
        <v>81.461731663208894</v>
      </c>
      <c r="D97">
        <v>14</v>
      </c>
      <c r="G97">
        <v>17</v>
      </c>
      <c r="H97" t="s">
        <v>27</v>
      </c>
      <c r="I97">
        <v>81</v>
      </c>
      <c r="J97">
        <v>81</v>
      </c>
      <c r="K97">
        <v>6.9876543209876498</v>
      </c>
      <c r="L97">
        <v>19.259538817603399</v>
      </c>
      <c r="M97">
        <v>13.2816365572517</v>
      </c>
      <c r="N97">
        <v>94.070946560551107</v>
      </c>
      <c r="O97">
        <v>0</v>
      </c>
      <c r="P97">
        <v>0</v>
      </c>
      <c r="Q97">
        <v>245.84458599999999</v>
      </c>
      <c r="R97">
        <v>229.32406963299999</v>
      </c>
    </row>
    <row r="98" spans="1:18" x14ac:dyDescent="0.3">
      <c r="A98">
        <v>9</v>
      </c>
      <c r="B98" t="s">
        <v>10</v>
      </c>
      <c r="C98">
        <v>117.419789097573</v>
      </c>
      <c r="D98">
        <v>14</v>
      </c>
      <c r="G98">
        <v>17</v>
      </c>
      <c r="H98" t="s">
        <v>28</v>
      </c>
      <c r="I98">
        <v>76</v>
      </c>
      <c r="J98">
        <v>75</v>
      </c>
      <c r="K98">
        <v>6.8684210526315699</v>
      </c>
      <c r="L98">
        <v>20.675712684413199</v>
      </c>
      <c r="M98">
        <v>13.2816365572517</v>
      </c>
      <c r="N98">
        <v>93.477006918931394</v>
      </c>
      <c r="O98">
        <v>0</v>
      </c>
      <c r="P98">
        <v>0</v>
      </c>
      <c r="Q98">
        <v>278.671863999999</v>
      </c>
      <c r="R98">
        <v>255.940399788999</v>
      </c>
    </row>
    <row r="99" spans="1:18" x14ac:dyDescent="0.3">
      <c r="A99">
        <v>9</v>
      </c>
      <c r="B99" t="s">
        <v>11</v>
      </c>
      <c r="C99">
        <v>274.61330754469998</v>
      </c>
      <c r="D99">
        <v>0</v>
      </c>
      <c r="G99">
        <v>17</v>
      </c>
      <c r="H99" t="s">
        <v>29</v>
      </c>
      <c r="I99">
        <v>72</v>
      </c>
      <c r="J99">
        <v>72</v>
      </c>
      <c r="K99">
        <v>6.2638888888888804</v>
      </c>
      <c r="L99">
        <v>18.373287816345201</v>
      </c>
      <c r="M99">
        <v>13.2816365572517</v>
      </c>
      <c r="N99">
        <v>89.752973982981203</v>
      </c>
      <c r="O99">
        <v>0</v>
      </c>
      <c r="P99">
        <v>0</v>
      </c>
      <c r="Q99">
        <v>253.21068700000001</v>
      </c>
      <c r="R99">
        <v>234.19490974299899</v>
      </c>
    </row>
    <row r="100" spans="1:18" x14ac:dyDescent="0.3">
      <c r="A100">
        <v>9</v>
      </c>
      <c r="B100" t="s">
        <v>12</v>
      </c>
      <c r="C100">
        <v>352.82292494415401</v>
      </c>
      <c r="D100">
        <v>0</v>
      </c>
      <c r="G100">
        <v>17</v>
      </c>
      <c r="H100" t="s">
        <v>30</v>
      </c>
      <c r="I100">
        <v>81</v>
      </c>
      <c r="J100">
        <v>81</v>
      </c>
      <c r="K100">
        <v>7.5061728395061698</v>
      </c>
      <c r="L100">
        <v>19.948197497365701</v>
      </c>
      <c r="M100">
        <v>13.2816365572517</v>
      </c>
      <c r="N100">
        <v>97.914235280980407</v>
      </c>
      <c r="O100">
        <v>0</v>
      </c>
      <c r="P100">
        <v>0</v>
      </c>
      <c r="Q100">
        <v>274.980198999999</v>
      </c>
      <c r="R100">
        <v>259.59069218199897</v>
      </c>
    </row>
    <row r="101" spans="1:18" x14ac:dyDescent="0.3">
      <c r="A101">
        <v>9</v>
      </c>
      <c r="B101" t="s">
        <v>13</v>
      </c>
      <c r="C101">
        <v>352.78442588471103</v>
      </c>
      <c r="D101">
        <v>0</v>
      </c>
      <c r="G101">
        <v>17</v>
      </c>
      <c r="H101" t="s">
        <v>31</v>
      </c>
      <c r="I101">
        <v>83</v>
      </c>
      <c r="J101">
        <v>83</v>
      </c>
      <c r="K101">
        <v>7.3614457831325302</v>
      </c>
      <c r="L101">
        <v>19.6582009784067</v>
      </c>
      <c r="M101">
        <v>13.2816365572517</v>
      </c>
      <c r="N101">
        <v>101.597381144976</v>
      </c>
      <c r="O101">
        <v>0</v>
      </c>
      <c r="P101">
        <v>0</v>
      </c>
      <c r="Q101">
        <v>264.39582999999999</v>
      </c>
      <c r="R101">
        <v>248.91366185499899</v>
      </c>
    </row>
    <row r="102" spans="1:18" x14ac:dyDescent="0.3">
      <c r="A102">
        <v>10</v>
      </c>
      <c r="B102" t="s">
        <v>3</v>
      </c>
      <c r="C102">
        <v>15.3952986539931</v>
      </c>
      <c r="D102">
        <v>13</v>
      </c>
      <c r="G102">
        <v>17</v>
      </c>
      <c r="H102" t="s">
        <v>32</v>
      </c>
      <c r="I102">
        <v>82</v>
      </c>
      <c r="J102">
        <v>81</v>
      </c>
      <c r="K102">
        <v>7.3414634146341404</v>
      </c>
      <c r="L102">
        <v>19.8040638370314</v>
      </c>
      <c r="M102">
        <v>13.2816365572517</v>
      </c>
      <c r="N102">
        <v>100.026510346195</v>
      </c>
      <c r="O102">
        <v>0</v>
      </c>
      <c r="P102">
        <v>0</v>
      </c>
      <c r="Q102">
        <v>267.563064</v>
      </c>
      <c r="R102">
        <v>251.81043280199901</v>
      </c>
    </row>
    <row r="103" spans="1:18" x14ac:dyDescent="0.3">
      <c r="A103">
        <v>10</v>
      </c>
      <c r="B103" t="s">
        <v>4</v>
      </c>
      <c r="C103">
        <v>15.2307418597837</v>
      </c>
      <c r="D103">
        <v>13</v>
      </c>
      <c r="G103">
        <v>18</v>
      </c>
      <c r="H103" t="s">
        <v>25</v>
      </c>
      <c r="I103">
        <v>77</v>
      </c>
      <c r="J103">
        <v>77</v>
      </c>
      <c r="K103">
        <v>6.8441558441558401</v>
      </c>
      <c r="L103">
        <v>18.924131109134901</v>
      </c>
      <c r="M103">
        <v>13.3385962658406</v>
      </c>
      <c r="N103">
        <v>90.144337073800102</v>
      </c>
      <c r="O103">
        <v>0</v>
      </c>
      <c r="P103">
        <v>0</v>
      </c>
      <c r="Q103">
        <v>244.95710800000001</v>
      </c>
      <c r="R103">
        <v>226.40542228899901</v>
      </c>
    </row>
    <row r="104" spans="1:18" x14ac:dyDescent="0.3">
      <c r="A104">
        <v>10</v>
      </c>
      <c r="B104" t="s">
        <v>5</v>
      </c>
      <c r="C104">
        <v>19.432459829542299</v>
      </c>
      <c r="D104">
        <v>13</v>
      </c>
      <c r="G104">
        <v>18</v>
      </c>
      <c r="H104" t="s">
        <v>26</v>
      </c>
      <c r="I104">
        <v>74</v>
      </c>
      <c r="J104">
        <v>73</v>
      </c>
      <c r="K104">
        <v>6.6216216216216202</v>
      </c>
      <c r="L104">
        <v>18.497279265522799</v>
      </c>
      <c r="M104">
        <v>13.3385962658406</v>
      </c>
      <c r="N104">
        <v>87.375186520508194</v>
      </c>
      <c r="O104">
        <v>0</v>
      </c>
      <c r="P104">
        <v>0</v>
      </c>
      <c r="Q104">
        <v>236.523145</v>
      </c>
      <c r="R104">
        <v>219.28548000999899</v>
      </c>
    </row>
    <row r="105" spans="1:18" x14ac:dyDescent="0.3">
      <c r="A105">
        <v>10</v>
      </c>
      <c r="B105" t="s">
        <v>6</v>
      </c>
      <c r="C105">
        <v>65.289301191183299</v>
      </c>
      <c r="D105">
        <v>13</v>
      </c>
      <c r="G105">
        <v>18</v>
      </c>
      <c r="H105" t="s">
        <v>27</v>
      </c>
      <c r="I105">
        <v>82</v>
      </c>
      <c r="J105">
        <v>82</v>
      </c>
      <c r="K105">
        <v>7.08536585365853</v>
      </c>
      <c r="L105">
        <v>19.480500550293399</v>
      </c>
      <c r="M105">
        <v>13.3385962658406</v>
      </c>
      <c r="N105">
        <v>95.392672607426107</v>
      </c>
      <c r="O105">
        <v>0</v>
      </c>
      <c r="P105">
        <v>0</v>
      </c>
      <c r="Q105">
        <v>248.394789</v>
      </c>
      <c r="R105">
        <v>232.33982011199899</v>
      </c>
    </row>
    <row r="106" spans="1:18" x14ac:dyDescent="0.3">
      <c r="A106">
        <v>10</v>
      </c>
      <c r="B106" t="s">
        <v>7</v>
      </c>
      <c r="C106">
        <v>65.817532329105404</v>
      </c>
      <c r="D106">
        <v>13</v>
      </c>
      <c r="G106">
        <v>18</v>
      </c>
      <c r="H106" t="s">
        <v>28</v>
      </c>
      <c r="I106">
        <v>76</v>
      </c>
      <c r="J106">
        <v>76</v>
      </c>
      <c r="K106">
        <v>6.8684210526315699</v>
      </c>
      <c r="L106">
        <v>20.484454014092499</v>
      </c>
      <c r="M106">
        <v>13.3385962658406</v>
      </c>
      <c r="N106">
        <v>94.403139942726796</v>
      </c>
      <c r="O106">
        <v>0</v>
      </c>
      <c r="P106">
        <v>0</v>
      </c>
      <c r="Q106">
        <v>279.24136499999901</v>
      </c>
      <c r="R106">
        <v>257.31370067699902</v>
      </c>
    </row>
    <row r="107" spans="1:18" x14ac:dyDescent="0.3">
      <c r="A107">
        <v>10</v>
      </c>
      <c r="B107" t="s">
        <v>8</v>
      </c>
      <c r="C107">
        <v>78.9710645295701</v>
      </c>
      <c r="D107">
        <v>13.8194444444444</v>
      </c>
      <c r="G107">
        <v>18</v>
      </c>
      <c r="H107" t="s">
        <v>29</v>
      </c>
      <c r="I107">
        <v>72</v>
      </c>
      <c r="J107">
        <v>72</v>
      </c>
      <c r="K107">
        <v>6.2638888888888804</v>
      </c>
      <c r="L107">
        <v>18.504870250542002</v>
      </c>
      <c r="M107">
        <v>13.3385962658406</v>
      </c>
      <c r="N107">
        <v>90.645468747283999</v>
      </c>
      <c r="O107">
        <v>0</v>
      </c>
      <c r="P107">
        <v>0</v>
      </c>
      <c r="Q107">
        <v>257.141999</v>
      </c>
      <c r="R107">
        <v>238.339821373999</v>
      </c>
    </row>
    <row r="108" spans="1:18" x14ac:dyDescent="0.3">
      <c r="A108">
        <v>10</v>
      </c>
      <c r="B108" t="s">
        <v>9</v>
      </c>
      <c r="C108">
        <v>80.928179054481305</v>
      </c>
      <c r="D108">
        <v>14</v>
      </c>
      <c r="G108">
        <v>18</v>
      </c>
      <c r="H108" t="s">
        <v>30</v>
      </c>
      <c r="I108">
        <v>82</v>
      </c>
      <c r="J108">
        <v>82</v>
      </c>
      <c r="K108">
        <v>7.5121951219512102</v>
      </c>
      <c r="L108">
        <v>19.733307307315599</v>
      </c>
      <c r="M108">
        <v>13.3385962658406</v>
      </c>
      <c r="N108">
        <v>100.203055557539</v>
      </c>
      <c r="O108">
        <v>0</v>
      </c>
      <c r="P108">
        <v>0</v>
      </c>
      <c r="Q108">
        <v>273.13109900000001</v>
      </c>
      <c r="R108">
        <v>257.67097167199898</v>
      </c>
    </row>
    <row r="109" spans="1:18" x14ac:dyDescent="0.3">
      <c r="A109">
        <v>10</v>
      </c>
      <c r="B109" t="s">
        <v>10</v>
      </c>
      <c r="C109">
        <v>117.149325769453</v>
      </c>
      <c r="D109">
        <v>14</v>
      </c>
      <c r="G109">
        <v>18</v>
      </c>
      <c r="H109" t="s">
        <v>31</v>
      </c>
      <c r="I109">
        <v>83</v>
      </c>
      <c r="J109">
        <v>83</v>
      </c>
      <c r="K109">
        <v>7.3614457831325302</v>
      </c>
      <c r="L109">
        <v>19.930651936376499</v>
      </c>
      <c r="M109">
        <v>13.3385962658406</v>
      </c>
      <c r="N109">
        <v>100.726452147346</v>
      </c>
      <c r="O109">
        <v>0</v>
      </c>
      <c r="P109">
        <v>0</v>
      </c>
      <c r="Q109">
        <v>270.97279600000002</v>
      </c>
      <c r="R109">
        <v>255.811167162999</v>
      </c>
    </row>
    <row r="110" spans="1:18" x14ac:dyDescent="0.3">
      <c r="A110">
        <v>10</v>
      </c>
      <c r="B110" t="s">
        <v>11</v>
      </c>
      <c r="C110">
        <v>275.741514600583</v>
      </c>
      <c r="D110">
        <v>0</v>
      </c>
      <c r="G110">
        <v>18</v>
      </c>
      <c r="H110" t="s">
        <v>32</v>
      </c>
      <c r="I110">
        <v>83</v>
      </c>
      <c r="J110">
        <v>82</v>
      </c>
      <c r="K110">
        <v>7.3614457831325302</v>
      </c>
      <c r="L110">
        <v>19.634935973074199</v>
      </c>
      <c r="M110">
        <v>13.3385962658406</v>
      </c>
      <c r="N110">
        <v>101.409674556287</v>
      </c>
      <c r="O110">
        <v>0</v>
      </c>
      <c r="P110">
        <v>0</v>
      </c>
      <c r="Q110">
        <v>266.11111699999998</v>
      </c>
      <c r="R110">
        <v>250.80868579099899</v>
      </c>
    </row>
    <row r="111" spans="1:18" x14ac:dyDescent="0.3">
      <c r="A111">
        <v>10</v>
      </c>
      <c r="B111" t="s">
        <v>12</v>
      </c>
      <c r="C111">
        <v>352.261063776605</v>
      </c>
      <c r="D111">
        <v>0</v>
      </c>
      <c r="G111">
        <v>19</v>
      </c>
      <c r="H111" t="s">
        <v>25</v>
      </c>
      <c r="I111">
        <v>82</v>
      </c>
      <c r="J111">
        <v>82</v>
      </c>
      <c r="K111">
        <v>7.5121951219512102</v>
      </c>
      <c r="L111">
        <v>19.551371213698399</v>
      </c>
      <c r="M111">
        <v>13.5428506048484</v>
      </c>
      <c r="N111">
        <v>99.690112412047895</v>
      </c>
      <c r="O111">
        <v>0</v>
      </c>
      <c r="P111">
        <v>0</v>
      </c>
      <c r="Q111">
        <v>249.472678</v>
      </c>
      <c r="R111">
        <v>234.99716010399899</v>
      </c>
    </row>
    <row r="112" spans="1:18" x14ac:dyDescent="0.3">
      <c r="A112">
        <v>10</v>
      </c>
      <c r="B112" t="s">
        <v>13</v>
      </c>
      <c r="C112">
        <v>352.477721171621</v>
      </c>
      <c r="D112">
        <v>0</v>
      </c>
      <c r="G112">
        <v>19</v>
      </c>
      <c r="H112" t="s">
        <v>26</v>
      </c>
      <c r="I112">
        <v>82</v>
      </c>
      <c r="J112">
        <v>82</v>
      </c>
      <c r="K112">
        <v>7.3414634146341404</v>
      </c>
      <c r="L112">
        <v>18.953086892659499</v>
      </c>
      <c r="M112">
        <v>13.5428506048484</v>
      </c>
      <c r="N112">
        <v>99.340338780905597</v>
      </c>
      <c r="O112">
        <v>0</v>
      </c>
      <c r="P112">
        <v>0</v>
      </c>
      <c r="Q112">
        <v>230.133298</v>
      </c>
      <c r="R112">
        <v>215.99734348899901</v>
      </c>
    </row>
    <row r="113" spans="1:18" x14ac:dyDescent="0.3">
      <c r="A113">
        <v>11</v>
      </c>
      <c r="B113" t="s">
        <v>3</v>
      </c>
      <c r="C113">
        <v>15.2554214661609</v>
      </c>
      <c r="D113">
        <v>13</v>
      </c>
      <c r="G113">
        <v>19</v>
      </c>
      <c r="H113" t="s">
        <v>27</v>
      </c>
      <c r="I113">
        <v>76</v>
      </c>
      <c r="J113">
        <v>76</v>
      </c>
      <c r="K113">
        <v>6.8684210526315699</v>
      </c>
      <c r="L113">
        <v>18.7307400979535</v>
      </c>
      <c r="M113">
        <v>13.5428506048484</v>
      </c>
      <c r="N113">
        <v>98.357359734283193</v>
      </c>
      <c r="O113">
        <v>0</v>
      </c>
      <c r="P113">
        <v>0</v>
      </c>
      <c r="Q113">
        <v>259.19732399999998</v>
      </c>
      <c r="R113">
        <v>244.870340741999</v>
      </c>
    </row>
    <row r="114" spans="1:18" x14ac:dyDescent="0.3">
      <c r="A114">
        <v>11</v>
      </c>
      <c r="B114" t="s">
        <v>4</v>
      </c>
      <c r="C114">
        <v>15.2891975171979</v>
      </c>
      <c r="D114">
        <v>13</v>
      </c>
      <c r="G114">
        <v>19</v>
      </c>
      <c r="H114" t="s">
        <v>28</v>
      </c>
      <c r="I114">
        <v>71</v>
      </c>
      <c r="J114">
        <v>71</v>
      </c>
      <c r="K114">
        <v>6.3661971830985902</v>
      </c>
      <c r="L114">
        <v>19.880633064693001</v>
      </c>
      <c r="M114">
        <v>13.5428506048484</v>
      </c>
      <c r="N114">
        <v>93.198853852467906</v>
      </c>
      <c r="O114">
        <v>0</v>
      </c>
      <c r="P114">
        <v>0</v>
      </c>
      <c r="Q114">
        <v>247.53106399999899</v>
      </c>
      <c r="R114">
        <v>227.669203581999</v>
      </c>
    </row>
    <row r="115" spans="1:18" x14ac:dyDescent="0.3">
      <c r="A115">
        <v>11</v>
      </c>
      <c r="B115" t="s">
        <v>5</v>
      </c>
      <c r="C115">
        <v>19.396860210498001</v>
      </c>
      <c r="D115">
        <v>13</v>
      </c>
      <c r="G115">
        <v>19</v>
      </c>
      <c r="H115" t="s">
        <v>29</v>
      </c>
      <c r="I115">
        <v>77</v>
      </c>
      <c r="J115">
        <v>77</v>
      </c>
      <c r="K115">
        <v>6.7792207792207702</v>
      </c>
      <c r="L115">
        <v>18.734123293236902</v>
      </c>
      <c r="M115">
        <v>13.5428506048484</v>
      </c>
      <c r="N115">
        <v>99.222753996570205</v>
      </c>
      <c r="O115">
        <v>0</v>
      </c>
      <c r="P115">
        <v>0</v>
      </c>
      <c r="Q115">
        <v>223.95350500000001</v>
      </c>
      <c r="R115">
        <v>208.253225184999</v>
      </c>
    </row>
    <row r="116" spans="1:18" x14ac:dyDescent="0.3">
      <c r="A116">
        <v>11</v>
      </c>
      <c r="B116" t="s">
        <v>6</v>
      </c>
      <c r="C116">
        <v>64.419159902599404</v>
      </c>
      <c r="D116">
        <v>13</v>
      </c>
      <c r="G116">
        <v>19</v>
      </c>
      <c r="H116" t="s">
        <v>30</v>
      </c>
      <c r="I116">
        <v>77</v>
      </c>
      <c r="J116">
        <v>77</v>
      </c>
      <c r="K116">
        <v>6.8961038961038899</v>
      </c>
      <c r="L116">
        <v>19.025368478234999</v>
      </c>
      <c r="M116">
        <v>13.5428506048484</v>
      </c>
      <c r="N116">
        <v>99.191213452340506</v>
      </c>
      <c r="O116">
        <v>0</v>
      </c>
      <c r="P116">
        <v>0</v>
      </c>
      <c r="Q116">
        <v>256.81599499999999</v>
      </c>
      <c r="R116">
        <v>242.601883219999</v>
      </c>
    </row>
    <row r="117" spans="1:18" x14ac:dyDescent="0.3">
      <c r="A117">
        <v>11</v>
      </c>
      <c r="B117" t="s">
        <v>7</v>
      </c>
      <c r="C117">
        <v>64.947706387885006</v>
      </c>
      <c r="D117">
        <v>13</v>
      </c>
      <c r="G117">
        <v>19</v>
      </c>
      <c r="H117" t="s">
        <v>31</v>
      </c>
      <c r="I117">
        <v>66</v>
      </c>
      <c r="J117">
        <v>66</v>
      </c>
      <c r="K117">
        <v>5.9545454545454497</v>
      </c>
      <c r="L117">
        <v>17.927873275752201</v>
      </c>
      <c r="M117">
        <v>13.5428506048484</v>
      </c>
      <c r="N117">
        <v>88.953044400968906</v>
      </c>
      <c r="O117">
        <v>0</v>
      </c>
      <c r="P117">
        <v>0</v>
      </c>
      <c r="Q117">
        <v>230.71820899999901</v>
      </c>
      <c r="R117">
        <v>212.75618244199899</v>
      </c>
    </row>
    <row r="118" spans="1:18" x14ac:dyDescent="0.3">
      <c r="A118">
        <v>11</v>
      </c>
      <c r="B118" t="s">
        <v>8</v>
      </c>
      <c r="C118">
        <v>78.099796126695495</v>
      </c>
      <c r="D118">
        <v>13</v>
      </c>
      <c r="G118">
        <v>19</v>
      </c>
      <c r="H118" t="s">
        <v>32</v>
      </c>
      <c r="I118">
        <v>72</v>
      </c>
      <c r="J118">
        <v>72</v>
      </c>
      <c r="K118">
        <v>5.93055555555555</v>
      </c>
      <c r="L118">
        <v>18.203597755381701</v>
      </c>
      <c r="M118">
        <v>13.5428506048484</v>
      </c>
      <c r="N118">
        <v>94.546518691203204</v>
      </c>
      <c r="O118">
        <v>0</v>
      </c>
      <c r="P118">
        <v>0</v>
      </c>
      <c r="Q118">
        <v>214.182177</v>
      </c>
      <c r="R118">
        <v>197.44243256099901</v>
      </c>
    </row>
    <row r="119" spans="1:18" x14ac:dyDescent="0.3">
      <c r="A119">
        <v>11</v>
      </c>
      <c r="B119" t="s">
        <v>9</v>
      </c>
      <c r="C119">
        <v>80.947940176162405</v>
      </c>
      <c r="D119">
        <v>13</v>
      </c>
      <c r="G119">
        <v>19</v>
      </c>
      <c r="H119" t="s">
        <v>33</v>
      </c>
      <c r="I119">
        <v>66</v>
      </c>
      <c r="J119">
        <v>66</v>
      </c>
      <c r="K119">
        <v>5.37878787878787</v>
      </c>
      <c r="L119">
        <v>19.284940042031401</v>
      </c>
      <c r="M119">
        <v>13.5428506048484</v>
      </c>
      <c r="N119">
        <v>93.477286147051004</v>
      </c>
      <c r="O119">
        <v>0</v>
      </c>
      <c r="P119">
        <v>0</v>
      </c>
      <c r="Q119">
        <v>246.05259899999999</v>
      </c>
      <c r="R119">
        <v>222.766846581999</v>
      </c>
    </row>
    <row r="120" spans="1:18" x14ac:dyDescent="0.3">
      <c r="A120">
        <v>11</v>
      </c>
      <c r="B120" t="s">
        <v>10</v>
      </c>
      <c r="C120">
        <v>118.02035172862</v>
      </c>
      <c r="D120">
        <v>13.3831775700934</v>
      </c>
      <c r="G120">
        <v>19</v>
      </c>
      <c r="H120" t="s">
        <v>34</v>
      </c>
      <c r="I120">
        <v>73</v>
      </c>
      <c r="J120">
        <v>73</v>
      </c>
      <c r="K120">
        <v>6.0821917808219101</v>
      </c>
      <c r="L120">
        <v>18.294570201906499</v>
      </c>
      <c r="M120">
        <v>13.5428506048484</v>
      </c>
      <c r="N120">
        <v>100.5241667289</v>
      </c>
      <c r="O120">
        <v>0</v>
      </c>
      <c r="P120">
        <v>0</v>
      </c>
      <c r="Q120">
        <v>243.07849299999901</v>
      </c>
      <c r="R120">
        <v>226.83992854899901</v>
      </c>
    </row>
    <row r="121" spans="1:18" x14ac:dyDescent="0.3">
      <c r="A121">
        <v>11</v>
      </c>
      <c r="B121" t="s">
        <v>11</v>
      </c>
      <c r="C121">
        <v>274.79907873864403</v>
      </c>
      <c r="D121">
        <v>14</v>
      </c>
      <c r="G121">
        <v>19</v>
      </c>
      <c r="H121" t="s">
        <v>35</v>
      </c>
      <c r="I121">
        <v>72</v>
      </c>
      <c r="J121">
        <v>72</v>
      </c>
      <c r="K121">
        <v>6.0416666666666599</v>
      </c>
      <c r="L121">
        <v>18.245756916754001</v>
      </c>
      <c r="M121">
        <v>13.5428506048484</v>
      </c>
      <c r="N121">
        <v>99.913756758555607</v>
      </c>
      <c r="O121">
        <v>0</v>
      </c>
      <c r="P121">
        <v>0</v>
      </c>
      <c r="Q121">
        <v>223.84179800000001</v>
      </c>
      <c r="R121">
        <v>207.40039928899901</v>
      </c>
    </row>
    <row r="122" spans="1:18" x14ac:dyDescent="0.3">
      <c r="A122">
        <v>11</v>
      </c>
      <c r="B122" t="s">
        <v>12</v>
      </c>
      <c r="C122">
        <v>352.17290580314801</v>
      </c>
      <c r="D122">
        <v>14</v>
      </c>
      <c r="G122">
        <v>19</v>
      </c>
      <c r="H122" t="s">
        <v>36</v>
      </c>
      <c r="I122">
        <v>71</v>
      </c>
      <c r="J122">
        <v>71</v>
      </c>
      <c r="K122">
        <v>5.87323943661971</v>
      </c>
      <c r="L122">
        <v>18.086416869177501</v>
      </c>
      <c r="M122">
        <v>13.5428506048484</v>
      </c>
      <c r="N122">
        <v>98.269747061670003</v>
      </c>
      <c r="O122">
        <v>0</v>
      </c>
      <c r="P122">
        <v>0</v>
      </c>
      <c r="Q122">
        <v>223.87052199999999</v>
      </c>
      <c r="R122">
        <v>207.814151490999</v>
      </c>
    </row>
    <row r="123" spans="1:18" x14ac:dyDescent="0.3">
      <c r="A123">
        <v>11</v>
      </c>
      <c r="B123" t="s">
        <v>13</v>
      </c>
      <c r="C123">
        <v>352.944428445737</v>
      </c>
      <c r="D123">
        <v>0</v>
      </c>
      <c r="G123">
        <v>20</v>
      </c>
      <c r="H123" t="s">
        <v>25</v>
      </c>
      <c r="I123">
        <v>83</v>
      </c>
      <c r="J123">
        <v>83</v>
      </c>
      <c r="K123">
        <v>7.5301204819277103</v>
      </c>
      <c r="L123">
        <v>19.422859014829399</v>
      </c>
      <c r="M123">
        <v>13.5107461256517</v>
      </c>
      <c r="N123">
        <v>101.861124276955</v>
      </c>
      <c r="O123">
        <v>0</v>
      </c>
      <c r="P123">
        <v>0</v>
      </c>
      <c r="Q123">
        <v>252.857981</v>
      </c>
      <c r="R123">
        <v>238.931687917999</v>
      </c>
    </row>
    <row r="124" spans="1:18" x14ac:dyDescent="0.3">
      <c r="A124">
        <v>12</v>
      </c>
      <c r="B124" t="s">
        <v>3</v>
      </c>
      <c r="C124">
        <v>15.479178875584999</v>
      </c>
      <c r="D124">
        <v>13</v>
      </c>
      <c r="G124">
        <v>20</v>
      </c>
      <c r="H124" t="s">
        <v>26</v>
      </c>
      <c r="I124">
        <v>83</v>
      </c>
      <c r="J124">
        <v>83</v>
      </c>
      <c r="K124">
        <v>7.3614457831325302</v>
      </c>
      <c r="L124">
        <v>19.355196556867</v>
      </c>
      <c r="M124">
        <v>13.5107461256517</v>
      </c>
      <c r="N124">
        <v>100.863870854193</v>
      </c>
      <c r="O124">
        <v>0</v>
      </c>
      <c r="P124">
        <v>0</v>
      </c>
      <c r="Q124">
        <v>242.06234899999899</v>
      </c>
      <c r="R124">
        <v>228.00540354199899</v>
      </c>
    </row>
    <row r="125" spans="1:18" x14ac:dyDescent="0.3">
      <c r="A125">
        <v>12</v>
      </c>
      <c r="B125" t="s">
        <v>4</v>
      </c>
      <c r="C125">
        <v>15.906414981371499</v>
      </c>
      <c r="D125">
        <v>13</v>
      </c>
      <c r="G125">
        <v>20</v>
      </c>
      <c r="H125" t="s">
        <v>27</v>
      </c>
      <c r="I125">
        <v>78</v>
      </c>
      <c r="J125">
        <v>78</v>
      </c>
      <c r="K125">
        <v>6.9230769230769198</v>
      </c>
      <c r="L125">
        <v>19.428340791058702</v>
      </c>
      <c r="M125">
        <v>13.5107461256517</v>
      </c>
      <c r="N125">
        <v>101.028140017846</v>
      </c>
      <c r="O125">
        <v>0</v>
      </c>
      <c r="P125">
        <v>0</v>
      </c>
      <c r="Q125">
        <v>262.69913300000002</v>
      </c>
      <c r="R125">
        <v>248.40245689399899</v>
      </c>
    </row>
    <row r="126" spans="1:18" x14ac:dyDescent="0.3">
      <c r="A126">
        <v>12</v>
      </c>
      <c r="B126" t="s">
        <v>5</v>
      </c>
      <c r="C126">
        <v>19.834800037051199</v>
      </c>
      <c r="D126">
        <v>13</v>
      </c>
      <c r="G126">
        <v>20</v>
      </c>
      <c r="H126" t="s">
        <v>28</v>
      </c>
      <c r="I126">
        <v>68</v>
      </c>
      <c r="J126">
        <v>68</v>
      </c>
      <c r="K126">
        <v>5.8823529411764701</v>
      </c>
      <c r="L126">
        <v>18.0752164911022</v>
      </c>
      <c r="M126">
        <v>13.5107461256517</v>
      </c>
      <c r="N126">
        <v>91.157116760559802</v>
      </c>
      <c r="O126">
        <v>0</v>
      </c>
      <c r="P126">
        <v>0</v>
      </c>
      <c r="Q126">
        <v>230.69114299999899</v>
      </c>
      <c r="R126">
        <v>212.973596262999</v>
      </c>
    </row>
    <row r="127" spans="1:18" x14ac:dyDescent="0.3">
      <c r="A127">
        <v>12</v>
      </c>
      <c r="B127" t="s">
        <v>6</v>
      </c>
      <c r="C127">
        <v>64.385604473508494</v>
      </c>
      <c r="D127">
        <v>13</v>
      </c>
      <c r="G127">
        <v>20</v>
      </c>
      <c r="H127" t="s">
        <v>29</v>
      </c>
      <c r="I127">
        <v>78</v>
      </c>
      <c r="J127">
        <v>78</v>
      </c>
      <c r="K127">
        <v>6.8076923076923004</v>
      </c>
      <c r="L127">
        <v>18.824204043030601</v>
      </c>
      <c r="M127">
        <v>13.5107461256517</v>
      </c>
      <c r="N127">
        <v>100.854729268916</v>
      </c>
      <c r="O127">
        <v>0</v>
      </c>
      <c r="P127">
        <v>0</v>
      </c>
      <c r="Q127">
        <v>240.07857899999999</v>
      </c>
      <c r="R127">
        <v>224.54884396199901</v>
      </c>
    </row>
    <row r="128" spans="1:18" x14ac:dyDescent="0.3">
      <c r="A128">
        <v>12</v>
      </c>
      <c r="B128" t="s">
        <v>7</v>
      </c>
      <c r="C128">
        <v>65.9605551801818</v>
      </c>
      <c r="D128">
        <v>13</v>
      </c>
      <c r="G128">
        <v>20</v>
      </c>
      <c r="H128" t="s">
        <v>30</v>
      </c>
      <c r="I128">
        <v>77</v>
      </c>
      <c r="J128">
        <v>77</v>
      </c>
      <c r="K128">
        <v>6.8571428571428497</v>
      </c>
      <c r="L128">
        <v>18.8123692095064</v>
      </c>
      <c r="M128">
        <v>13.5107461256517</v>
      </c>
      <c r="N128">
        <v>99.101787848287799</v>
      </c>
      <c r="O128">
        <v>0</v>
      </c>
      <c r="P128">
        <v>0</v>
      </c>
      <c r="Q128">
        <v>229.183528</v>
      </c>
      <c r="R128">
        <v>213.202561158999</v>
      </c>
    </row>
    <row r="129" spans="1:18" x14ac:dyDescent="0.3">
      <c r="A129">
        <v>12</v>
      </c>
      <c r="B129" t="s">
        <v>8</v>
      </c>
      <c r="C129">
        <v>78.909711620023899</v>
      </c>
      <c r="D129">
        <v>13.6527777777777</v>
      </c>
      <c r="G129">
        <v>20</v>
      </c>
      <c r="H129" t="s">
        <v>31</v>
      </c>
      <c r="I129">
        <v>64</v>
      </c>
      <c r="J129">
        <v>64</v>
      </c>
      <c r="K129">
        <v>6.65625</v>
      </c>
      <c r="L129">
        <v>18.9358348418512</v>
      </c>
      <c r="M129">
        <v>13.5107461256517</v>
      </c>
      <c r="N129">
        <v>82.9068185838358</v>
      </c>
      <c r="O129">
        <v>0</v>
      </c>
      <c r="P129">
        <v>0</v>
      </c>
      <c r="Q129">
        <v>243.73970499999999</v>
      </c>
      <c r="R129">
        <v>221.89591934999899</v>
      </c>
    </row>
    <row r="130" spans="1:18" x14ac:dyDescent="0.3">
      <c r="A130">
        <v>12</v>
      </c>
      <c r="B130" t="s">
        <v>9</v>
      </c>
      <c r="C130">
        <v>81.518779983314502</v>
      </c>
      <c r="D130">
        <v>14</v>
      </c>
      <c r="G130">
        <v>20</v>
      </c>
      <c r="H130" t="s">
        <v>32</v>
      </c>
      <c r="I130">
        <v>71</v>
      </c>
      <c r="J130">
        <v>71</v>
      </c>
      <c r="K130">
        <v>5.87323943661971</v>
      </c>
      <c r="L130">
        <v>18.221524851730699</v>
      </c>
      <c r="M130">
        <v>13.5107461256517</v>
      </c>
      <c r="N130">
        <v>93.471987400109398</v>
      </c>
      <c r="O130">
        <v>0</v>
      </c>
      <c r="P130">
        <v>0</v>
      </c>
      <c r="Q130">
        <v>235.636179</v>
      </c>
      <c r="R130">
        <v>219.72671696699899</v>
      </c>
    </row>
    <row r="131" spans="1:18" x14ac:dyDescent="0.3">
      <c r="A131">
        <v>12</v>
      </c>
      <c r="B131" t="s">
        <v>10</v>
      </c>
      <c r="C131">
        <v>117.30952058354499</v>
      </c>
      <c r="D131">
        <v>14</v>
      </c>
      <c r="G131">
        <v>20</v>
      </c>
      <c r="H131" t="s">
        <v>33</v>
      </c>
      <c r="I131">
        <v>56</v>
      </c>
      <c r="J131">
        <v>56</v>
      </c>
      <c r="K131">
        <v>5.21428571428571</v>
      </c>
      <c r="L131">
        <v>16.500526704528799</v>
      </c>
      <c r="M131">
        <v>13.5107461256517</v>
      </c>
      <c r="N131">
        <v>77.542105279573704</v>
      </c>
      <c r="O131">
        <v>0</v>
      </c>
      <c r="P131">
        <v>0</v>
      </c>
      <c r="Q131">
        <v>195.34800499999901</v>
      </c>
      <c r="R131">
        <v>174.99785050499901</v>
      </c>
    </row>
    <row r="132" spans="1:18" x14ac:dyDescent="0.3">
      <c r="A132">
        <v>12</v>
      </c>
      <c r="B132" t="s">
        <v>11</v>
      </c>
      <c r="C132">
        <v>276.27543770414201</v>
      </c>
      <c r="D132">
        <v>0</v>
      </c>
      <c r="G132">
        <v>20</v>
      </c>
      <c r="H132" t="s">
        <v>34</v>
      </c>
      <c r="I132">
        <v>71</v>
      </c>
      <c r="J132">
        <v>71</v>
      </c>
      <c r="K132">
        <v>6</v>
      </c>
      <c r="L132">
        <v>18.301121228690398</v>
      </c>
      <c r="M132">
        <v>13.5107461256517</v>
      </c>
      <c r="N132">
        <v>97.666802995990196</v>
      </c>
      <c r="O132">
        <v>0</v>
      </c>
      <c r="P132">
        <v>0</v>
      </c>
      <c r="Q132">
        <v>231.93477999999999</v>
      </c>
      <c r="R132">
        <v>214.95665153499999</v>
      </c>
    </row>
    <row r="133" spans="1:18" x14ac:dyDescent="0.3">
      <c r="A133">
        <v>12</v>
      </c>
      <c r="B133" t="s">
        <v>12</v>
      </c>
      <c r="C133">
        <v>354.17164539819601</v>
      </c>
      <c r="D133">
        <v>0</v>
      </c>
      <c r="G133">
        <v>20</v>
      </c>
      <c r="H133" t="s">
        <v>35</v>
      </c>
      <c r="I133">
        <v>73</v>
      </c>
      <c r="J133">
        <v>73</v>
      </c>
      <c r="K133">
        <v>6.0821917808219101</v>
      </c>
      <c r="L133">
        <v>18.563209844229601</v>
      </c>
      <c r="M133">
        <v>13.5107461256517</v>
      </c>
      <c r="N133">
        <v>100.851988219975</v>
      </c>
      <c r="O133">
        <v>0</v>
      </c>
      <c r="P133">
        <v>0</v>
      </c>
      <c r="Q133">
        <v>235.440279</v>
      </c>
      <c r="R133">
        <v>219.087775106999</v>
      </c>
    </row>
    <row r="134" spans="1:18" x14ac:dyDescent="0.3">
      <c r="A134">
        <v>12</v>
      </c>
      <c r="B134" t="s">
        <v>13</v>
      </c>
      <c r="C134">
        <v>353.53245899239801</v>
      </c>
      <c r="D134">
        <v>0</v>
      </c>
      <c r="G134">
        <v>20</v>
      </c>
      <c r="H134" t="s">
        <v>36</v>
      </c>
      <c r="I134">
        <v>73</v>
      </c>
      <c r="J134">
        <v>73</v>
      </c>
      <c r="K134">
        <v>6.0821917808219101</v>
      </c>
      <c r="L134">
        <v>17.955137633083201</v>
      </c>
      <c r="M134">
        <v>13.5107461256517</v>
      </c>
      <c r="N134">
        <v>101.10694917415501</v>
      </c>
      <c r="O134">
        <v>0</v>
      </c>
      <c r="P134">
        <v>0</v>
      </c>
      <c r="Q134">
        <v>218.63042100000001</v>
      </c>
      <c r="R134">
        <v>202.066380062999</v>
      </c>
    </row>
    <row r="135" spans="1:18" x14ac:dyDescent="0.3">
      <c r="A135">
        <v>13</v>
      </c>
      <c r="B135" t="s">
        <v>3</v>
      </c>
      <c r="C135">
        <v>15.7032561549611</v>
      </c>
      <c r="D135">
        <v>13</v>
      </c>
      <c r="G135">
        <v>21</v>
      </c>
      <c r="H135" t="s">
        <v>25</v>
      </c>
      <c r="I135">
        <v>82</v>
      </c>
      <c r="J135">
        <v>82</v>
      </c>
      <c r="K135">
        <v>7.5121951219512102</v>
      </c>
      <c r="L135">
        <v>19.5573732148628</v>
      </c>
      <c r="M135">
        <v>13.532745870936401</v>
      </c>
      <c r="N135">
        <v>100.258862729773</v>
      </c>
      <c r="O135">
        <v>0</v>
      </c>
      <c r="P135">
        <v>0</v>
      </c>
      <c r="Q135">
        <v>245.43398500000001</v>
      </c>
      <c r="R135">
        <v>231.07093370499899</v>
      </c>
    </row>
    <row r="136" spans="1:18" x14ac:dyDescent="0.3">
      <c r="A136">
        <v>13</v>
      </c>
      <c r="B136" t="s">
        <v>4</v>
      </c>
      <c r="C136">
        <v>15.6662776653216</v>
      </c>
      <c r="D136">
        <v>13</v>
      </c>
      <c r="G136">
        <v>21</v>
      </c>
      <c r="H136" t="s">
        <v>26</v>
      </c>
      <c r="I136">
        <v>82</v>
      </c>
      <c r="J136">
        <v>82</v>
      </c>
      <c r="K136">
        <v>7.2317073170731696</v>
      </c>
      <c r="L136">
        <v>18.987294771658501</v>
      </c>
      <c r="M136">
        <v>13.532745870936401</v>
      </c>
      <c r="N136">
        <v>100.718563898331</v>
      </c>
      <c r="O136">
        <v>0</v>
      </c>
      <c r="P136">
        <v>0</v>
      </c>
      <c r="Q136">
        <v>231.955300999999</v>
      </c>
      <c r="R136">
        <v>217.32624429799901</v>
      </c>
    </row>
    <row r="137" spans="1:18" x14ac:dyDescent="0.3">
      <c r="A137">
        <v>13</v>
      </c>
      <c r="B137" t="s">
        <v>5</v>
      </c>
      <c r="C137">
        <v>19.4348879683285</v>
      </c>
      <c r="D137">
        <v>13</v>
      </c>
      <c r="G137">
        <v>21</v>
      </c>
      <c r="H137" t="s">
        <v>27</v>
      </c>
      <c r="I137">
        <v>76</v>
      </c>
      <c r="J137">
        <v>76</v>
      </c>
      <c r="K137">
        <v>6.8684210526315699</v>
      </c>
      <c r="L137">
        <v>19.155324227834299</v>
      </c>
      <c r="M137">
        <v>13.532745870936401</v>
      </c>
      <c r="N137">
        <v>98.619801351814303</v>
      </c>
      <c r="O137">
        <v>0</v>
      </c>
      <c r="P137">
        <v>0</v>
      </c>
      <c r="Q137">
        <v>259.49117699999999</v>
      </c>
      <c r="R137">
        <v>245.189468435999</v>
      </c>
    </row>
    <row r="138" spans="1:18" x14ac:dyDescent="0.3">
      <c r="A138">
        <v>13</v>
      </c>
      <c r="B138" t="s">
        <v>6</v>
      </c>
      <c r="C138">
        <v>64.383083232577704</v>
      </c>
      <c r="D138">
        <v>13</v>
      </c>
      <c r="G138">
        <v>21</v>
      </c>
      <c r="H138" t="s">
        <v>28</v>
      </c>
      <c r="I138">
        <v>71</v>
      </c>
      <c r="J138">
        <v>71</v>
      </c>
      <c r="K138">
        <v>6.2253521126760498</v>
      </c>
      <c r="L138">
        <v>19.65039313155</v>
      </c>
      <c r="M138">
        <v>13.532745870936401</v>
      </c>
      <c r="N138">
        <v>95.166650607011803</v>
      </c>
      <c r="O138">
        <v>0</v>
      </c>
      <c r="P138">
        <v>0</v>
      </c>
      <c r="Q138">
        <v>242.91668499999901</v>
      </c>
      <c r="R138">
        <v>222.54515097399999</v>
      </c>
    </row>
    <row r="139" spans="1:18" x14ac:dyDescent="0.3">
      <c r="A139">
        <v>13</v>
      </c>
      <c r="B139" t="s">
        <v>7</v>
      </c>
      <c r="C139">
        <v>65.953505987851699</v>
      </c>
      <c r="D139">
        <v>13</v>
      </c>
      <c r="G139">
        <v>21</v>
      </c>
      <c r="H139" t="s">
        <v>29</v>
      </c>
      <c r="I139">
        <v>76</v>
      </c>
      <c r="J139">
        <v>76</v>
      </c>
      <c r="K139">
        <v>6.75</v>
      </c>
      <c r="L139">
        <v>18.3175505750492</v>
      </c>
      <c r="M139">
        <v>13.532745870936401</v>
      </c>
      <c r="N139">
        <v>99.227076043856201</v>
      </c>
      <c r="O139">
        <v>0</v>
      </c>
      <c r="P139">
        <v>0</v>
      </c>
      <c r="Q139">
        <v>223.002195</v>
      </c>
      <c r="R139">
        <v>206.64360772499899</v>
      </c>
    </row>
    <row r="140" spans="1:18" x14ac:dyDescent="0.3">
      <c r="A140">
        <v>13</v>
      </c>
      <c r="B140" t="s">
        <v>8</v>
      </c>
      <c r="C140">
        <v>79.2873606560388</v>
      </c>
      <c r="D140">
        <v>13.6527777777777</v>
      </c>
      <c r="G140">
        <v>21</v>
      </c>
      <c r="H140" t="s">
        <v>30</v>
      </c>
      <c r="I140">
        <v>74</v>
      </c>
      <c r="J140">
        <v>74</v>
      </c>
      <c r="K140">
        <v>6.8918918918918903</v>
      </c>
      <c r="L140">
        <v>18.780554155348899</v>
      </c>
      <c r="M140">
        <v>13.532745870936401</v>
      </c>
      <c r="N140">
        <v>94.595952554300993</v>
      </c>
      <c r="O140">
        <v>0</v>
      </c>
      <c r="P140">
        <v>0</v>
      </c>
      <c r="Q140">
        <v>249.111334</v>
      </c>
      <c r="R140">
        <v>233.73425988699901</v>
      </c>
    </row>
    <row r="141" spans="1:18" x14ac:dyDescent="0.3">
      <c r="A141">
        <v>13</v>
      </c>
      <c r="B141" t="s">
        <v>9</v>
      </c>
      <c r="C141">
        <v>80.913310519055301</v>
      </c>
      <c r="D141">
        <v>14</v>
      </c>
      <c r="G141">
        <v>21</v>
      </c>
      <c r="H141" t="s">
        <v>31</v>
      </c>
      <c r="I141">
        <v>65</v>
      </c>
      <c r="J141">
        <v>65</v>
      </c>
      <c r="K141">
        <v>5.9076923076923</v>
      </c>
      <c r="L141">
        <v>17.728942066639402</v>
      </c>
      <c r="M141">
        <v>13.532745870936401</v>
      </c>
      <c r="N141">
        <v>87.621888450328399</v>
      </c>
      <c r="O141">
        <v>0</v>
      </c>
      <c r="P141">
        <v>0</v>
      </c>
      <c r="Q141">
        <v>231.18337899999901</v>
      </c>
      <c r="R141">
        <v>213.222638692</v>
      </c>
    </row>
    <row r="142" spans="1:18" x14ac:dyDescent="0.3">
      <c r="A142">
        <v>13</v>
      </c>
      <c r="B142" t="s">
        <v>10</v>
      </c>
      <c r="C142">
        <v>117.213374705159</v>
      </c>
      <c r="D142">
        <v>14</v>
      </c>
      <c r="G142">
        <v>21</v>
      </c>
      <c r="H142" t="s">
        <v>32</v>
      </c>
      <c r="I142">
        <v>73</v>
      </c>
      <c r="J142">
        <v>73</v>
      </c>
      <c r="K142">
        <v>5.9589041095890396</v>
      </c>
      <c r="L142">
        <v>18.3689785287573</v>
      </c>
      <c r="M142">
        <v>13.532745870936401</v>
      </c>
      <c r="N142">
        <v>95.757201936055495</v>
      </c>
      <c r="O142">
        <v>0</v>
      </c>
      <c r="P142">
        <v>0</v>
      </c>
      <c r="Q142">
        <v>219.91379900000001</v>
      </c>
      <c r="R142">
        <v>203.45124832699901</v>
      </c>
    </row>
    <row r="143" spans="1:18" x14ac:dyDescent="0.3">
      <c r="A143">
        <v>13</v>
      </c>
      <c r="B143" t="s">
        <v>11</v>
      </c>
      <c r="C143">
        <v>274.55420712536198</v>
      </c>
      <c r="D143">
        <v>0</v>
      </c>
      <c r="G143">
        <v>21</v>
      </c>
      <c r="H143" t="s">
        <v>33</v>
      </c>
      <c r="I143">
        <v>66</v>
      </c>
      <c r="J143">
        <v>66</v>
      </c>
      <c r="K143">
        <v>5.4696969696969697</v>
      </c>
      <c r="L143">
        <v>19.269242220389799</v>
      </c>
      <c r="M143">
        <v>13.532745870936401</v>
      </c>
      <c r="N143">
        <v>93.091764530840194</v>
      </c>
      <c r="O143">
        <v>0</v>
      </c>
      <c r="P143">
        <v>0</v>
      </c>
      <c r="Q143">
        <v>241.64800299999999</v>
      </c>
      <c r="R143">
        <v>218.31881315899901</v>
      </c>
    </row>
    <row r="144" spans="1:18" x14ac:dyDescent="0.3">
      <c r="A144">
        <v>13</v>
      </c>
      <c r="B144" t="s">
        <v>12</v>
      </c>
      <c r="C144">
        <v>353.97541766398899</v>
      </c>
      <c r="D144">
        <v>0</v>
      </c>
      <c r="G144">
        <v>21</v>
      </c>
      <c r="H144" t="s">
        <v>34</v>
      </c>
      <c r="I144">
        <v>72</v>
      </c>
      <c r="J144">
        <v>72</v>
      </c>
      <c r="K144">
        <v>6.0416666666666599</v>
      </c>
      <c r="L144">
        <v>18.364020753554801</v>
      </c>
      <c r="M144">
        <v>13.532745870936401</v>
      </c>
      <c r="N144">
        <v>98.833250395037794</v>
      </c>
      <c r="O144">
        <v>0</v>
      </c>
      <c r="P144">
        <v>0</v>
      </c>
      <c r="Q144">
        <v>238.84226799999999</v>
      </c>
      <c r="R144">
        <v>222.201046128999</v>
      </c>
    </row>
    <row r="145" spans="1:18" x14ac:dyDescent="0.3">
      <c r="A145">
        <v>13</v>
      </c>
      <c r="B145" t="s">
        <v>13</v>
      </c>
      <c r="C145">
        <v>353.69810445918301</v>
      </c>
      <c r="D145">
        <v>0</v>
      </c>
      <c r="G145">
        <v>21</v>
      </c>
      <c r="H145" t="s">
        <v>35</v>
      </c>
      <c r="I145">
        <v>73</v>
      </c>
      <c r="J145">
        <v>73</v>
      </c>
      <c r="K145">
        <v>6.0821917808219101</v>
      </c>
      <c r="L145">
        <v>18.288742626012699</v>
      </c>
      <c r="M145">
        <v>13.532745870936401</v>
      </c>
      <c r="N145">
        <v>99.879935920202996</v>
      </c>
      <c r="O145">
        <v>0</v>
      </c>
      <c r="P145">
        <v>0</v>
      </c>
      <c r="Q145">
        <v>236.21500900000001</v>
      </c>
      <c r="R145">
        <v>220.236202896999</v>
      </c>
    </row>
    <row r="146" spans="1:18" x14ac:dyDescent="0.3">
      <c r="A146">
        <v>14</v>
      </c>
      <c r="B146" t="s">
        <v>3</v>
      </c>
      <c r="C146">
        <v>15.128085071638299</v>
      </c>
      <c r="D146">
        <v>13</v>
      </c>
      <c r="G146">
        <v>21</v>
      </c>
      <c r="H146" t="s">
        <v>36</v>
      </c>
      <c r="I146">
        <v>73</v>
      </c>
      <c r="J146">
        <v>73</v>
      </c>
      <c r="K146">
        <v>5.9726027397260202</v>
      </c>
      <c r="L146">
        <v>18.607942712633999</v>
      </c>
      <c r="M146">
        <v>13.532745870936401</v>
      </c>
      <c r="N146">
        <v>100.045196482983</v>
      </c>
      <c r="O146">
        <v>0</v>
      </c>
      <c r="P146">
        <v>0</v>
      </c>
      <c r="Q146">
        <v>238.65151599999999</v>
      </c>
      <c r="R146">
        <v>222.71454238299901</v>
      </c>
    </row>
    <row r="147" spans="1:18" x14ac:dyDescent="0.3">
      <c r="A147">
        <v>14</v>
      </c>
      <c r="B147" t="s">
        <v>4</v>
      </c>
      <c r="C147">
        <v>15.403172635928099</v>
      </c>
      <c r="D147">
        <v>13</v>
      </c>
      <c r="G147">
        <v>22</v>
      </c>
      <c r="H147" t="s">
        <v>25</v>
      </c>
      <c r="I147">
        <v>82</v>
      </c>
      <c r="J147">
        <v>82</v>
      </c>
      <c r="K147">
        <v>7.5121951219512102</v>
      </c>
      <c r="L147">
        <v>19.222978659561701</v>
      </c>
      <c r="M147">
        <v>13.478924595645699</v>
      </c>
      <c r="N147">
        <v>100.091432221441</v>
      </c>
      <c r="O147">
        <v>0</v>
      </c>
      <c r="P147">
        <v>0</v>
      </c>
      <c r="Q147">
        <v>245.63653600000001</v>
      </c>
      <c r="R147">
        <v>231.155284287999</v>
      </c>
    </row>
    <row r="148" spans="1:18" x14ac:dyDescent="0.3">
      <c r="A148">
        <v>14</v>
      </c>
      <c r="B148" t="s">
        <v>5</v>
      </c>
      <c r="C148">
        <v>19.831753223128</v>
      </c>
      <c r="D148">
        <v>13</v>
      </c>
      <c r="G148">
        <v>22</v>
      </c>
      <c r="H148" t="s">
        <v>26</v>
      </c>
      <c r="I148">
        <v>81</v>
      </c>
      <c r="J148">
        <v>81</v>
      </c>
      <c r="K148">
        <v>7.2098765432098704</v>
      </c>
      <c r="L148">
        <v>18.861565765851498</v>
      </c>
      <c r="M148">
        <v>13.478924595645699</v>
      </c>
      <c r="N148">
        <v>98.705227723764196</v>
      </c>
      <c r="O148">
        <v>0</v>
      </c>
      <c r="P148">
        <v>0</v>
      </c>
      <c r="Q148">
        <v>223.05010499999901</v>
      </c>
      <c r="R148">
        <v>209.03822051999899</v>
      </c>
    </row>
    <row r="149" spans="1:18" x14ac:dyDescent="0.3">
      <c r="A149">
        <v>14</v>
      </c>
      <c r="B149" t="s">
        <v>6</v>
      </c>
      <c r="C149">
        <v>64.338227129447603</v>
      </c>
      <c r="D149">
        <v>13</v>
      </c>
      <c r="G149">
        <v>22</v>
      </c>
      <c r="H149" t="s">
        <v>27</v>
      </c>
      <c r="I149">
        <v>77</v>
      </c>
      <c r="J149">
        <v>77</v>
      </c>
      <c r="K149">
        <v>6.8961038961038899</v>
      </c>
      <c r="L149">
        <v>19.257443778777802</v>
      </c>
      <c r="M149">
        <v>13.478924595645699</v>
      </c>
      <c r="N149">
        <v>99.037460432591899</v>
      </c>
      <c r="O149">
        <v>0</v>
      </c>
      <c r="P149">
        <v>0</v>
      </c>
      <c r="Q149">
        <v>268.85661099999999</v>
      </c>
      <c r="R149">
        <v>254.26590505299899</v>
      </c>
    </row>
    <row r="150" spans="1:18" x14ac:dyDescent="0.3">
      <c r="A150">
        <v>14</v>
      </c>
      <c r="B150" t="s">
        <v>7</v>
      </c>
      <c r="C150">
        <v>65.575401710738006</v>
      </c>
      <c r="D150">
        <v>13</v>
      </c>
      <c r="G150">
        <v>22</v>
      </c>
      <c r="H150" t="s">
        <v>28</v>
      </c>
      <c r="I150">
        <v>71</v>
      </c>
      <c r="J150">
        <v>71</v>
      </c>
      <c r="K150">
        <v>6.1549295774647801</v>
      </c>
      <c r="L150">
        <v>19.535498272530202</v>
      </c>
      <c r="M150">
        <v>13.478924595645699</v>
      </c>
      <c r="N150">
        <v>93.975453992937702</v>
      </c>
      <c r="O150">
        <v>0</v>
      </c>
      <c r="P150">
        <v>0</v>
      </c>
      <c r="Q150">
        <v>243.365161999999</v>
      </c>
      <c r="R150">
        <v>223.15700076099901</v>
      </c>
    </row>
    <row r="151" spans="1:18" x14ac:dyDescent="0.3">
      <c r="A151">
        <v>14</v>
      </c>
      <c r="B151" t="s">
        <v>8</v>
      </c>
      <c r="C151">
        <v>78.258208874121294</v>
      </c>
      <c r="D151">
        <v>13.6527777777777</v>
      </c>
      <c r="G151">
        <v>22</v>
      </c>
      <c r="H151" t="s">
        <v>29</v>
      </c>
      <c r="I151">
        <v>78</v>
      </c>
      <c r="J151">
        <v>78</v>
      </c>
      <c r="K151">
        <v>6.8076923076923004</v>
      </c>
      <c r="L151">
        <v>18.718370165404</v>
      </c>
      <c r="M151">
        <v>13.478924595645699</v>
      </c>
      <c r="N151">
        <v>100.76491229304099</v>
      </c>
      <c r="O151">
        <v>0</v>
      </c>
      <c r="P151">
        <v>0</v>
      </c>
      <c r="Q151">
        <v>223.58585599999901</v>
      </c>
      <c r="R151">
        <v>207.253776232999</v>
      </c>
    </row>
    <row r="152" spans="1:18" x14ac:dyDescent="0.3">
      <c r="A152">
        <v>14</v>
      </c>
      <c r="B152" t="s">
        <v>9</v>
      </c>
      <c r="C152">
        <v>80.330176309342704</v>
      </c>
      <c r="D152">
        <v>14</v>
      </c>
      <c r="G152">
        <v>22</v>
      </c>
      <c r="H152" t="s">
        <v>30</v>
      </c>
      <c r="I152">
        <v>73</v>
      </c>
      <c r="J152">
        <v>73</v>
      </c>
      <c r="K152">
        <v>7</v>
      </c>
      <c r="L152">
        <v>18.712298545872699</v>
      </c>
      <c r="M152">
        <v>13.478924595645699</v>
      </c>
      <c r="N152">
        <v>92.251611895488196</v>
      </c>
      <c r="O152">
        <v>0</v>
      </c>
      <c r="P152">
        <v>0</v>
      </c>
      <c r="Q152">
        <v>257.86260099999998</v>
      </c>
      <c r="R152">
        <v>241.85653009699899</v>
      </c>
    </row>
    <row r="153" spans="1:18" x14ac:dyDescent="0.3">
      <c r="A153">
        <v>14</v>
      </c>
      <c r="B153" t="s">
        <v>10</v>
      </c>
      <c r="C153">
        <v>116.66882463939901</v>
      </c>
      <c r="D153">
        <v>14</v>
      </c>
      <c r="G153">
        <v>22</v>
      </c>
      <c r="H153" t="s">
        <v>31</v>
      </c>
      <c r="I153">
        <v>64</v>
      </c>
      <c r="J153">
        <v>64</v>
      </c>
      <c r="K153">
        <v>5.96875</v>
      </c>
      <c r="L153">
        <v>17.3637806191504</v>
      </c>
      <c r="M153">
        <v>13.478924595645699</v>
      </c>
      <c r="N153">
        <v>86.438183954207105</v>
      </c>
      <c r="O153">
        <v>0</v>
      </c>
      <c r="P153">
        <v>0</v>
      </c>
      <c r="Q153">
        <v>230.75926299999901</v>
      </c>
      <c r="R153">
        <v>212.67612004399899</v>
      </c>
    </row>
    <row r="154" spans="1:18" x14ac:dyDescent="0.3">
      <c r="A154">
        <v>14</v>
      </c>
      <c r="B154" t="s">
        <v>11</v>
      </c>
      <c r="C154">
        <v>272.55752398268203</v>
      </c>
      <c r="D154">
        <v>0</v>
      </c>
      <c r="G154">
        <v>22</v>
      </c>
      <c r="H154" t="s">
        <v>32</v>
      </c>
      <c r="I154">
        <v>72</v>
      </c>
      <c r="J154">
        <v>72</v>
      </c>
      <c r="K154">
        <v>5.9166666666666599</v>
      </c>
      <c r="L154">
        <v>18.052266399798999</v>
      </c>
      <c r="M154">
        <v>13.478924595645699</v>
      </c>
      <c r="N154">
        <v>94.928932991326704</v>
      </c>
      <c r="O154">
        <v>0</v>
      </c>
      <c r="P154">
        <v>0</v>
      </c>
      <c r="Q154">
        <v>205.96348800000001</v>
      </c>
      <c r="R154">
        <v>189.274011699</v>
      </c>
    </row>
    <row r="155" spans="1:18" x14ac:dyDescent="0.3">
      <c r="A155">
        <v>14</v>
      </c>
      <c r="B155" t="s">
        <v>12</v>
      </c>
      <c r="C155">
        <v>353.926709988666</v>
      </c>
      <c r="D155">
        <v>0</v>
      </c>
      <c r="G155">
        <v>22</v>
      </c>
      <c r="H155" t="s">
        <v>33</v>
      </c>
      <c r="I155">
        <v>66</v>
      </c>
      <c r="J155">
        <v>66</v>
      </c>
      <c r="K155">
        <v>5.37878787878787</v>
      </c>
      <c r="L155">
        <v>19.293054590571199</v>
      </c>
      <c r="M155">
        <v>13.478924595645699</v>
      </c>
      <c r="N155">
        <v>93.316435390390197</v>
      </c>
      <c r="O155">
        <v>0</v>
      </c>
      <c r="P155">
        <v>0</v>
      </c>
      <c r="Q155">
        <v>243.632744</v>
      </c>
      <c r="R155">
        <v>220.27356590699901</v>
      </c>
    </row>
    <row r="156" spans="1:18" x14ac:dyDescent="0.3">
      <c r="A156">
        <v>14</v>
      </c>
      <c r="B156" t="s">
        <v>13</v>
      </c>
      <c r="C156">
        <v>352.57960174514801</v>
      </c>
      <c r="D156">
        <v>0</v>
      </c>
      <c r="G156">
        <v>22</v>
      </c>
      <c r="H156" t="s">
        <v>34</v>
      </c>
      <c r="I156">
        <v>73</v>
      </c>
      <c r="J156">
        <v>73</v>
      </c>
      <c r="K156">
        <v>6.0821917808219101</v>
      </c>
      <c r="L156">
        <v>18.332234160247399</v>
      </c>
      <c r="M156">
        <v>13.478924595645699</v>
      </c>
      <c r="N156">
        <v>99.665059335574199</v>
      </c>
      <c r="O156">
        <v>0</v>
      </c>
      <c r="P156">
        <v>0</v>
      </c>
      <c r="Q156">
        <v>238.08930000000001</v>
      </c>
      <c r="R156">
        <v>221.07568262999999</v>
      </c>
    </row>
    <row r="157" spans="1:18" x14ac:dyDescent="0.3">
      <c r="A157">
        <v>15</v>
      </c>
      <c r="B157" t="s">
        <v>3</v>
      </c>
      <c r="C157">
        <v>15.3130928291408</v>
      </c>
      <c r="D157">
        <v>13</v>
      </c>
      <c r="G157">
        <v>22</v>
      </c>
      <c r="H157" t="s">
        <v>35</v>
      </c>
      <c r="I157">
        <v>73</v>
      </c>
      <c r="J157">
        <v>73</v>
      </c>
      <c r="K157">
        <v>6.0821917808219101</v>
      </c>
      <c r="L157">
        <v>18.231864534554798</v>
      </c>
      <c r="M157">
        <v>13.478924595645699</v>
      </c>
      <c r="N157">
        <v>100.567439562906</v>
      </c>
      <c r="O157">
        <v>0</v>
      </c>
      <c r="P157">
        <v>0</v>
      </c>
      <c r="Q157">
        <v>223.183424</v>
      </c>
      <c r="R157">
        <v>206.65411917199901</v>
      </c>
    </row>
    <row r="158" spans="1:18" x14ac:dyDescent="0.3">
      <c r="A158">
        <v>15</v>
      </c>
      <c r="B158" t="s">
        <v>4</v>
      </c>
      <c r="C158">
        <v>15.162455732099099</v>
      </c>
      <c r="D158">
        <v>13</v>
      </c>
      <c r="G158">
        <v>22</v>
      </c>
      <c r="H158" t="s">
        <v>36</v>
      </c>
      <c r="I158">
        <v>72</v>
      </c>
      <c r="J158">
        <v>72</v>
      </c>
      <c r="K158">
        <v>5.9166666666666599</v>
      </c>
      <c r="L158">
        <v>18.401394821989999</v>
      </c>
      <c r="M158">
        <v>13.478924595645699</v>
      </c>
      <c r="N158">
        <v>99.445365431868197</v>
      </c>
      <c r="O158">
        <v>0</v>
      </c>
      <c r="P158">
        <v>0</v>
      </c>
      <c r="Q158">
        <v>237.924654</v>
      </c>
      <c r="R158">
        <v>221.842874426999</v>
      </c>
    </row>
    <row r="159" spans="1:18" x14ac:dyDescent="0.3">
      <c r="A159">
        <v>15</v>
      </c>
      <c r="B159" t="s">
        <v>5</v>
      </c>
      <c r="C159">
        <v>19.7283255084511</v>
      </c>
      <c r="D159">
        <v>13</v>
      </c>
      <c r="G159">
        <v>23</v>
      </c>
      <c r="H159" t="s">
        <v>25</v>
      </c>
      <c r="I159">
        <v>82</v>
      </c>
      <c r="J159">
        <v>82</v>
      </c>
      <c r="K159">
        <v>7.5121951219512102</v>
      </c>
      <c r="L159">
        <v>19.457907756632501</v>
      </c>
      <c r="M159">
        <v>13.5364390509468</v>
      </c>
      <c r="N159">
        <v>100.156118016696</v>
      </c>
      <c r="O159">
        <v>0</v>
      </c>
      <c r="P159">
        <v>0</v>
      </c>
      <c r="Q159">
        <v>248.09828200000001</v>
      </c>
      <c r="R159">
        <v>233.59380213099899</v>
      </c>
    </row>
    <row r="160" spans="1:18" x14ac:dyDescent="0.3">
      <c r="A160">
        <v>15</v>
      </c>
      <c r="B160" t="s">
        <v>6</v>
      </c>
      <c r="C160">
        <v>64.066305568537899</v>
      </c>
      <c r="D160">
        <v>13</v>
      </c>
      <c r="G160">
        <v>23</v>
      </c>
      <c r="H160" t="s">
        <v>26</v>
      </c>
      <c r="I160">
        <v>82</v>
      </c>
      <c r="J160">
        <v>82</v>
      </c>
      <c r="K160">
        <v>7.2317073170731696</v>
      </c>
      <c r="L160">
        <v>19.143323779088298</v>
      </c>
      <c r="M160">
        <v>13.5364390509468</v>
      </c>
      <c r="N160">
        <v>101.450121543634</v>
      </c>
      <c r="O160">
        <v>0</v>
      </c>
      <c r="P160">
        <v>0</v>
      </c>
      <c r="Q160">
        <v>235.697982</v>
      </c>
      <c r="R160">
        <v>221.72199848099899</v>
      </c>
    </row>
    <row r="161" spans="1:18" x14ac:dyDescent="0.3">
      <c r="A161">
        <v>15</v>
      </c>
      <c r="B161" t="s">
        <v>7</v>
      </c>
      <c r="C161">
        <v>65.048070047215404</v>
      </c>
      <c r="D161">
        <v>13</v>
      </c>
      <c r="G161">
        <v>23</v>
      </c>
      <c r="H161" t="s">
        <v>27</v>
      </c>
      <c r="I161">
        <v>77</v>
      </c>
      <c r="J161">
        <v>77</v>
      </c>
      <c r="K161">
        <v>6.8961038961038899</v>
      </c>
      <c r="L161">
        <v>19.0188637316169</v>
      </c>
      <c r="M161">
        <v>13.5364390509468</v>
      </c>
      <c r="N161">
        <v>99.820633909340899</v>
      </c>
      <c r="O161">
        <v>0</v>
      </c>
      <c r="P161">
        <v>0</v>
      </c>
      <c r="Q161">
        <v>252.93224199999901</v>
      </c>
      <c r="R161">
        <v>238.384489650999</v>
      </c>
    </row>
    <row r="162" spans="1:18" x14ac:dyDescent="0.3">
      <c r="A162">
        <v>15</v>
      </c>
      <c r="B162" t="s">
        <v>8</v>
      </c>
      <c r="C162">
        <v>78.977936155910996</v>
      </c>
      <c r="D162">
        <v>13.6527777777777</v>
      </c>
      <c r="G162">
        <v>23</v>
      </c>
      <c r="H162" t="s">
        <v>28</v>
      </c>
      <c r="I162">
        <v>68</v>
      </c>
      <c r="J162">
        <v>68</v>
      </c>
      <c r="K162">
        <v>5.8823529411764701</v>
      </c>
      <c r="L162">
        <v>17.8842305111889</v>
      </c>
      <c r="M162">
        <v>13.5364390509468</v>
      </c>
      <c r="N162">
        <v>90.167024139909302</v>
      </c>
      <c r="O162">
        <v>0</v>
      </c>
      <c r="P162">
        <v>0</v>
      </c>
      <c r="Q162">
        <v>229.528445</v>
      </c>
      <c r="R162">
        <v>212.316445638999</v>
      </c>
    </row>
    <row r="163" spans="1:18" x14ac:dyDescent="0.3">
      <c r="A163">
        <v>15</v>
      </c>
      <c r="B163" t="s">
        <v>9</v>
      </c>
      <c r="C163">
        <v>80.937015164874396</v>
      </c>
      <c r="D163">
        <v>14</v>
      </c>
      <c r="G163">
        <v>23</v>
      </c>
      <c r="H163" t="s">
        <v>29</v>
      </c>
      <c r="I163">
        <v>78</v>
      </c>
      <c r="J163">
        <v>78</v>
      </c>
      <c r="K163">
        <v>6.8076923076923004</v>
      </c>
      <c r="L163">
        <v>18.651434734932302</v>
      </c>
      <c r="M163">
        <v>13.5364390509468</v>
      </c>
      <c r="N163">
        <v>100.457379002126</v>
      </c>
      <c r="O163">
        <v>0</v>
      </c>
      <c r="P163">
        <v>0</v>
      </c>
      <c r="Q163">
        <v>239.22188999999901</v>
      </c>
      <c r="R163">
        <v>223.73583700499901</v>
      </c>
    </row>
    <row r="164" spans="1:18" x14ac:dyDescent="0.3">
      <c r="A164">
        <v>15</v>
      </c>
      <c r="B164" t="s">
        <v>10</v>
      </c>
      <c r="C164">
        <v>117.28722513579</v>
      </c>
      <c r="D164">
        <v>14</v>
      </c>
      <c r="G164">
        <v>23</v>
      </c>
      <c r="H164" t="s">
        <v>30</v>
      </c>
      <c r="I164">
        <v>76</v>
      </c>
      <c r="J164">
        <v>76</v>
      </c>
      <c r="K164">
        <v>6.75</v>
      </c>
      <c r="L164">
        <v>18.577392515038799</v>
      </c>
      <c r="M164">
        <v>13.5364390509468</v>
      </c>
      <c r="N164">
        <v>98.648538263545703</v>
      </c>
      <c r="O164">
        <v>0</v>
      </c>
      <c r="P164">
        <v>0</v>
      </c>
      <c r="Q164">
        <v>226.66614899999999</v>
      </c>
      <c r="R164">
        <v>210.89420675699901</v>
      </c>
    </row>
    <row r="165" spans="1:18" x14ac:dyDescent="0.3">
      <c r="A165">
        <v>15</v>
      </c>
      <c r="B165" t="s">
        <v>11</v>
      </c>
      <c r="C165">
        <v>274.92609785697499</v>
      </c>
      <c r="D165">
        <v>0</v>
      </c>
      <c r="G165">
        <v>23</v>
      </c>
      <c r="H165" t="s">
        <v>31</v>
      </c>
      <c r="I165">
        <v>64</v>
      </c>
      <c r="J165">
        <v>64</v>
      </c>
      <c r="K165">
        <v>6.390625</v>
      </c>
      <c r="L165">
        <v>19.040384424717001</v>
      </c>
      <c r="M165">
        <v>13.5364390509468</v>
      </c>
      <c r="N165">
        <v>84.070219233718504</v>
      </c>
      <c r="O165">
        <v>0</v>
      </c>
      <c r="P165">
        <v>0</v>
      </c>
      <c r="Q165">
        <v>238.75094000000001</v>
      </c>
      <c r="R165">
        <v>216.73041734799901</v>
      </c>
    </row>
    <row r="166" spans="1:18" x14ac:dyDescent="0.3">
      <c r="A166">
        <v>15</v>
      </c>
      <c r="B166" t="s">
        <v>12</v>
      </c>
      <c r="C166">
        <v>352.21119562732298</v>
      </c>
      <c r="D166">
        <v>0</v>
      </c>
      <c r="G166">
        <v>23</v>
      </c>
      <c r="H166" t="s">
        <v>32</v>
      </c>
      <c r="I166">
        <v>72</v>
      </c>
      <c r="J166">
        <v>72</v>
      </c>
      <c r="K166">
        <v>5.9166666666666599</v>
      </c>
      <c r="L166">
        <v>18.608185121500899</v>
      </c>
      <c r="M166">
        <v>13.5364390509468</v>
      </c>
      <c r="N166">
        <v>94.589947460718307</v>
      </c>
      <c r="O166">
        <v>0</v>
      </c>
      <c r="P166">
        <v>0</v>
      </c>
      <c r="Q166">
        <v>235.013364</v>
      </c>
      <c r="R166">
        <v>219.15152770200001</v>
      </c>
    </row>
    <row r="167" spans="1:18" x14ac:dyDescent="0.3">
      <c r="A167">
        <v>15</v>
      </c>
      <c r="B167" t="s">
        <v>13</v>
      </c>
      <c r="C167">
        <v>354.658029342769</v>
      </c>
      <c r="D167">
        <v>0</v>
      </c>
      <c r="G167">
        <v>23</v>
      </c>
      <c r="H167" t="s">
        <v>33</v>
      </c>
      <c r="I167">
        <v>57</v>
      </c>
      <c r="J167">
        <v>57</v>
      </c>
      <c r="K167">
        <v>5.2807017543859596</v>
      </c>
      <c r="L167">
        <v>16.848488253749899</v>
      </c>
      <c r="M167">
        <v>13.5364390509468</v>
      </c>
      <c r="N167">
        <v>80.0246908010959</v>
      </c>
      <c r="O167">
        <v>0</v>
      </c>
      <c r="P167">
        <v>0</v>
      </c>
      <c r="Q167">
        <v>206.24157599999899</v>
      </c>
      <c r="R167">
        <v>186.524306187999</v>
      </c>
    </row>
    <row r="168" spans="1:18" x14ac:dyDescent="0.3">
      <c r="A168">
        <v>16</v>
      </c>
      <c r="B168" t="s">
        <v>3</v>
      </c>
      <c r="C168">
        <v>15.460149649849599</v>
      </c>
      <c r="D168">
        <v>13</v>
      </c>
      <c r="G168">
        <v>23</v>
      </c>
      <c r="H168" t="s">
        <v>34</v>
      </c>
      <c r="I168">
        <v>73</v>
      </c>
      <c r="J168">
        <v>73</v>
      </c>
      <c r="K168">
        <v>6.0821917808219101</v>
      </c>
      <c r="L168">
        <v>18.5192310088079</v>
      </c>
      <c r="M168">
        <v>13.5364390509468</v>
      </c>
      <c r="N168">
        <v>100.212986265259</v>
      </c>
      <c r="O168">
        <v>0</v>
      </c>
      <c r="P168">
        <v>0</v>
      </c>
      <c r="Q168">
        <v>231.84077300000001</v>
      </c>
      <c r="R168">
        <v>214.83669292399901</v>
      </c>
    </row>
    <row r="169" spans="1:18" x14ac:dyDescent="0.3">
      <c r="A169">
        <v>16</v>
      </c>
      <c r="B169" t="s">
        <v>4</v>
      </c>
      <c r="C169">
        <v>15.042566073665499</v>
      </c>
      <c r="D169">
        <v>13</v>
      </c>
      <c r="G169">
        <v>23</v>
      </c>
      <c r="H169" t="s">
        <v>35</v>
      </c>
      <c r="I169">
        <v>73</v>
      </c>
      <c r="J169">
        <v>73</v>
      </c>
      <c r="K169">
        <v>6.0821917808219101</v>
      </c>
      <c r="L169">
        <v>18.8334734688002</v>
      </c>
      <c r="M169">
        <v>13.5364390509468</v>
      </c>
      <c r="N169">
        <v>101.152202444804</v>
      </c>
      <c r="O169">
        <v>0</v>
      </c>
      <c r="P169">
        <v>0</v>
      </c>
      <c r="Q169">
        <v>244.16207700000001</v>
      </c>
      <c r="R169">
        <v>228.02253006599901</v>
      </c>
    </row>
    <row r="170" spans="1:18" x14ac:dyDescent="0.3">
      <c r="A170">
        <v>16</v>
      </c>
      <c r="B170" t="s">
        <v>5</v>
      </c>
      <c r="C170">
        <v>19.532951824056902</v>
      </c>
      <c r="D170">
        <v>13</v>
      </c>
      <c r="G170">
        <v>23</v>
      </c>
      <c r="H170" t="s">
        <v>36</v>
      </c>
      <c r="I170">
        <v>72</v>
      </c>
      <c r="J170">
        <v>72</v>
      </c>
      <c r="K170">
        <v>6.0416666666666599</v>
      </c>
      <c r="L170">
        <v>18.285710813254301</v>
      </c>
      <c r="M170">
        <v>13.5364390509468</v>
      </c>
      <c r="N170">
        <v>99.847458249631401</v>
      </c>
      <c r="O170">
        <v>0</v>
      </c>
      <c r="P170">
        <v>0</v>
      </c>
      <c r="Q170">
        <v>226.85408200000001</v>
      </c>
      <c r="R170">
        <v>210.73397790099901</v>
      </c>
    </row>
    <row r="171" spans="1:18" x14ac:dyDescent="0.3">
      <c r="A171">
        <v>16</v>
      </c>
      <c r="B171" t="s">
        <v>6</v>
      </c>
      <c r="C171">
        <v>64.357883572390904</v>
      </c>
      <c r="D171">
        <v>13</v>
      </c>
      <c r="G171">
        <v>24</v>
      </c>
      <c r="H171" t="s">
        <v>25</v>
      </c>
      <c r="I171">
        <v>82</v>
      </c>
      <c r="J171">
        <v>82</v>
      </c>
      <c r="K171">
        <v>7.5121951219512102</v>
      </c>
      <c r="L171">
        <v>19.3171361401225</v>
      </c>
      <c r="M171">
        <v>13.534628928524899</v>
      </c>
      <c r="N171">
        <v>99.8841101066172</v>
      </c>
      <c r="O171">
        <v>0</v>
      </c>
      <c r="P171">
        <v>0</v>
      </c>
      <c r="Q171">
        <v>247.27296200000001</v>
      </c>
      <c r="R171">
        <v>232.85740598599901</v>
      </c>
    </row>
    <row r="172" spans="1:18" x14ac:dyDescent="0.3">
      <c r="A172">
        <v>16</v>
      </c>
      <c r="B172" t="s">
        <v>7</v>
      </c>
      <c r="C172">
        <v>65.545372786081202</v>
      </c>
      <c r="D172">
        <v>13</v>
      </c>
      <c r="G172">
        <v>24</v>
      </c>
      <c r="H172" t="s">
        <v>26</v>
      </c>
      <c r="I172">
        <v>82</v>
      </c>
      <c r="J172">
        <v>82</v>
      </c>
      <c r="K172">
        <v>7.3414634146341404</v>
      </c>
      <c r="L172">
        <v>18.892231313510401</v>
      </c>
      <c r="M172">
        <v>13.534628928524899</v>
      </c>
      <c r="N172">
        <v>100.524268613394</v>
      </c>
      <c r="O172">
        <v>0</v>
      </c>
      <c r="P172">
        <v>0</v>
      </c>
      <c r="Q172">
        <v>230.041697999999</v>
      </c>
      <c r="R172">
        <v>215.993765663999</v>
      </c>
    </row>
    <row r="173" spans="1:18" x14ac:dyDescent="0.3">
      <c r="A173">
        <v>16</v>
      </c>
      <c r="B173" t="s">
        <v>8</v>
      </c>
      <c r="C173">
        <v>79.083724127044903</v>
      </c>
      <c r="D173">
        <v>13.6527777777777</v>
      </c>
      <c r="G173">
        <v>24</v>
      </c>
      <c r="H173" t="s">
        <v>27</v>
      </c>
      <c r="I173">
        <v>79</v>
      </c>
      <c r="J173">
        <v>79</v>
      </c>
      <c r="K173">
        <v>7.1392405063291102</v>
      </c>
      <c r="L173">
        <v>19.689233414964001</v>
      </c>
      <c r="M173">
        <v>13.534628928524899</v>
      </c>
      <c r="N173">
        <v>101.874370272733</v>
      </c>
      <c r="O173">
        <v>0</v>
      </c>
      <c r="P173">
        <v>0</v>
      </c>
      <c r="Q173">
        <v>267.770487</v>
      </c>
      <c r="R173">
        <v>254.18840765099901</v>
      </c>
    </row>
    <row r="174" spans="1:18" x14ac:dyDescent="0.3">
      <c r="A174">
        <v>16</v>
      </c>
      <c r="B174" t="s">
        <v>9</v>
      </c>
      <c r="C174">
        <v>80.428200432974705</v>
      </c>
      <c r="D174">
        <v>14</v>
      </c>
      <c r="G174">
        <v>24</v>
      </c>
      <c r="H174" t="s">
        <v>28</v>
      </c>
      <c r="I174">
        <v>72</v>
      </c>
      <c r="J174">
        <v>72</v>
      </c>
      <c r="K174">
        <v>6.1944444444444402</v>
      </c>
      <c r="L174">
        <v>20.185635222003999</v>
      </c>
      <c r="M174">
        <v>13.534628928524899</v>
      </c>
      <c r="N174">
        <v>94.454185322484804</v>
      </c>
      <c r="O174">
        <v>0</v>
      </c>
      <c r="P174">
        <v>0</v>
      </c>
      <c r="Q174">
        <v>255.05200299999899</v>
      </c>
      <c r="R174">
        <v>235.310486873999</v>
      </c>
    </row>
    <row r="175" spans="1:18" x14ac:dyDescent="0.3">
      <c r="A175">
        <v>16</v>
      </c>
      <c r="B175" t="s">
        <v>10</v>
      </c>
      <c r="C175">
        <v>116.406410787217</v>
      </c>
      <c r="D175">
        <v>14</v>
      </c>
      <c r="G175">
        <v>24</v>
      </c>
      <c r="H175" t="s">
        <v>29</v>
      </c>
      <c r="I175">
        <v>77</v>
      </c>
      <c r="J175">
        <v>77</v>
      </c>
      <c r="K175">
        <v>6.7792207792207702</v>
      </c>
      <c r="L175">
        <v>18.478969418978</v>
      </c>
      <c r="M175">
        <v>13.534628928524899</v>
      </c>
      <c r="N175">
        <v>99.248748215047101</v>
      </c>
      <c r="O175">
        <v>0</v>
      </c>
      <c r="P175">
        <v>0</v>
      </c>
      <c r="Q175">
        <v>224.06045599999999</v>
      </c>
      <c r="R175">
        <v>208.35970872799899</v>
      </c>
    </row>
    <row r="176" spans="1:18" x14ac:dyDescent="0.3">
      <c r="A176">
        <v>16</v>
      </c>
      <c r="B176" t="s">
        <v>11</v>
      </c>
      <c r="C176">
        <v>273.94545932257</v>
      </c>
      <c r="D176">
        <v>0</v>
      </c>
      <c r="G176">
        <v>24</v>
      </c>
      <c r="H176" t="s">
        <v>30</v>
      </c>
      <c r="I176">
        <v>77</v>
      </c>
      <c r="J176">
        <v>77</v>
      </c>
      <c r="K176">
        <v>6.8961038961038899</v>
      </c>
      <c r="L176">
        <v>19.011040857775001</v>
      </c>
      <c r="M176">
        <v>13.534628928524899</v>
      </c>
      <c r="N176">
        <v>99.900287964369795</v>
      </c>
      <c r="O176">
        <v>0</v>
      </c>
      <c r="P176">
        <v>0</v>
      </c>
      <c r="Q176">
        <v>256.09656799999999</v>
      </c>
      <c r="R176">
        <v>241.88078740399899</v>
      </c>
    </row>
    <row r="177" spans="1:18" x14ac:dyDescent="0.3">
      <c r="A177">
        <v>16</v>
      </c>
      <c r="B177" t="s">
        <v>12</v>
      </c>
      <c r="C177">
        <v>351.75200189148302</v>
      </c>
      <c r="D177">
        <v>0</v>
      </c>
      <c r="G177">
        <v>24</v>
      </c>
      <c r="H177" t="s">
        <v>31</v>
      </c>
      <c r="I177">
        <v>64</v>
      </c>
      <c r="J177">
        <v>64</v>
      </c>
      <c r="K177">
        <v>5.859375</v>
      </c>
      <c r="L177">
        <v>17.464898635417601</v>
      </c>
      <c r="M177">
        <v>13.534628928524899</v>
      </c>
      <c r="N177">
        <v>86.540067898425306</v>
      </c>
      <c r="O177">
        <v>0</v>
      </c>
      <c r="P177">
        <v>0</v>
      </c>
      <c r="Q177">
        <v>223.72533300000001</v>
      </c>
      <c r="R177">
        <v>205.477598978999</v>
      </c>
    </row>
    <row r="178" spans="1:18" x14ac:dyDescent="0.3">
      <c r="A178">
        <v>16</v>
      </c>
      <c r="B178" t="s">
        <v>13</v>
      </c>
      <c r="C178">
        <v>352.65723196748797</v>
      </c>
      <c r="D178">
        <v>0</v>
      </c>
      <c r="G178">
        <v>24</v>
      </c>
      <c r="H178" t="s">
        <v>32</v>
      </c>
      <c r="I178">
        <v>71</v>
      </c>
      <c r="J178">
        <v>71</v>
      </c>
      <c r="K178">
        <v>5.9577464788732302</v>
      </c>
      <c r="L178">
        <v>17.8083900220857</v>
      </c>
      <c r="M178">
        <v>13.534628928524899</v>
      </c>
      <c r="N178">
        <v>93.053324364605601</v>
      </c>
      <c r="O178">
        <v>0</v>
      </c>
      <c r="P178">
        <v>0</v>
      </c>
      <c r="Q178">
        <v>209.43679799999899</v>
      </c>
      <c r="R178">
        <v>192.25231443899901</v>
      </c>
    </row>
    <row r="179" spans="1:18" x14ac:dyDescent="0.3">
      <c r="A179">
        <v>17</v>
      </c>
      <c r="B179" t="s">
        <v>3</v>
      </c>
      <c r="C179">
        <v>15.0826880851944</v>
      </c>
      <c r="D179">
        <v>13</v>
      </c>
      <c r="G179">
        <v>24</v>
      </c>
      <c r="H179" t="s">
        <v>33</v>
      </c>
      <c r="I179">
        <v>63</v>
      </c>
      <c r="J179">
        <v>63</v>
      </c>
      <c r="K179">
        <v>5.3809523809523796</v>
      </c>
      <c r="L179">
        <v>19.076872780355401</v>
      </c>
      <c r="M179">
        <v>13.534628928524899</v>
      </c>
      <c r="N179">
        <v>90.024342000585094</v>
      </c>
      <c r="O179">
        <v>0</v>
      </c>
      <c r="P179">
        <v>0</v>
      </c>
      <c r="Q179">
        <v>244.98065299999999</v>
      </c>
      <c r="R179">
        <v>221.57318349699901</v>
      </c>
    </row>
    <row r="180" spans="1:18" x14ac:dyDescent="0.3">
      <c r="A180">
        <v>17</v>
      </c>
      <c r="B180" t="s">
        <v>4</v>
      </c>
      <c r="C180">
        <v>15.489704930048401</v>
      </c>
      <c r="D180">
        <v>13</v>
      </c>
      <c r="G180">
        <v>24</v>
      </c>
      <c r="H180" t="s">
        <v>34</v>
      </c>
      <c r="I180">
        <v>72</v>
      </c>
      <c r="J180">
        <v>72</v>
      </c>
      <c r="K180">
        <v>6.0416666666666599</v>
      </c>
      <c r="L180">
        <v>18.430198301753599</v>
      </c>
      <c r="M180">
        <v>13.534628928524899</v>
      </c>
      <c r="N180">
        <v>98.572316193778605</v>
      </c>
      <c r="O180">
        <v>0</v>
      </c>
      <c r="P180">
        <v>0</v>
      </c>
      <c r="Q180">
        <v>229.92087299999901</v>
      </c>
      <c r="R180">
        <v>213.416098718999</v>
      </c>
    </row>
    <row r="181" spans="1:18" x14ac:dyDescent="0.3">
      <c r="A181">
        <v>17</v>
      </c>
      <c r="B181" t="s">
        <v>5</v>
      </c>
      <c r="C181">
        <v>19.557257230746799</v>
      </c>
      <c r="D181">
        <v>13</v>
      </c>
      <c r="G181">
        <v>24</v>
      </c>
      <c r="H181" t="s">
        <v>35</v>
      </c>
      <c r="I181">
        <v>72</v>
      </c>
      <c r="J181">
        <v>72</v>
      </c>
      <c r="K181">
        <v>6.0416666666666599</v>
      </c>
      <c r="L181">
        <v>18.504867476773999</v>
      </c>
      <c r="M181">
        <v>13.534628928524899</v>
      </c>
      <c r="N181">
        <v>98.829874669921907</v>
      </c>
      <c r="O181">
        <v>0</v>
      </c>
      <c r="P181">
        <v>0</v>
      </c>
      <c r="Q181">
        <v>234.94126900000001</v>
      </c>
      <c r="R181">
        <v>218.54111412699899</v>
      </c>
    </row>
    <row r="182" spans="1:18" x14ac:dyDescent="0.3">
      <c r="A182">
        <v>17</v>
      </c>
      <c r="B182" t="s">
        <v>6</v>
      </c>
      <c r="C182">
        <v>64.166063313258107</v>
      </c>
      <c r="D182">
        <v>13</v>
      </c>
      <c r="G182">
        <v>24</v>
      </c>
      <c r="H182" t="s">
        <v>36</v>
      </c>
      <c r="I182">
        <v>74</v>
      </c>
      <c r="J182">
        <v>74</v>
      </c>
      <c r="K182">
        <v>6.0810810810810798</v>
      </c>
      <c r="L182">
        <v>18.6707233319813</v>
      </c>
      <c r="M182">
        <v>13.534628928524899</v>
      </c>
      <c r="N182">
        <v>101.072192231183</v>
      </c>
      <c r="O182">
        <v>0</v>
      </c>
      <c r="P182">
        <v>0</v>
      </c>
      <c r="Q182">
        <v>238.695392</v>
      </c>
      <c r="R182">
        <v>222.466158610999</v>
      </c>
    </row>
    <row r="183" spans="1:18" x14ac:dyDescent="0.3">
      <c r="A183">
        <v>17</v>
      </c>
      <c r="B183" t="s">
        <v>7</v>
      </c>
      <c r="C183">
        <v>65.889319129105303</v>
      </c>
      <c r="D183">
        <v>13</v>
      </c>
      <c r="G183">
        <v>25</v>
      </c>
      <c r="H183" t="s">
        <v>25</v>
      </c>
      <c r="I183">
        <v>82</v>
      </c>
      <c r="J183">
        <v>82</v>
      </c>
      <c r="K183">
        <v>7.5121951219512102</v>
      </c>
      <c r="L183">
        <v>19.472386338171901</v>
      </c>
      <c r="M183">
        <v>13.507438959460099</v>
      </c>
      <c r="N183">
        <v>99.6394509211882</v>
      </c>
      <c r="O183">
        <v>0</v>
      </c>
      <c r="P183">
        <v>0</v>
      </c>
      <c r="Q183">
        <v>252.35387800000001</v>
      </c>
      <c r="R183">
        <v>238.37056693899899</v>
      </c>
    </row>
    <row r="184" spans="1:18" x14ac:dyDescent="0.3">
      <c r="A184">
        <v>17</v>
      </c>
      <c r="B184" t="s">
        <v>8</v>
      </c>
      <c r="C184">
        <v>79.093604053957506</v>
      </c>
      <c r="D184">
        <v>13</v>
      </c>
      <c r="G184">
        <v>25</v>
      </c>
      <c r="H184" t="s">
        <v>26</v>
      </c>
      <c r="I184">
        <v>82</v>
      </c>
      <c r="J184">
        <v>82</v>
      </c>
      <c r="K184">
        <v>7.2317073170731696</v>
      </c>
      <c r="L184">
        <v>19.448574715363002</v>
      </c>
      <c r="M184">
        <v>13.507438959460099</v>
      </c>
      <c r="N184">
        <v>99.958121402131397</v>
      </c>
      <c r="O184">
        <v>0</v>
      </c>
      <c r="P184">
        <v>0</v>
      </c>
      <c r="Q184">
        <v>248.86480599999899</v>
      </c>
      <c r="R184">
        <v>234.76495660299901</v>
      </c>
    </row>
    <row r="185" spans="1:18" x14ac:dyDescent="0.3">
      <c r="A185">
        <v>17</v>
      </c>
      <c r="B185" t="s">
        <v>9</v>
      </c>
      <c r="C185">
        <v>80.445515340366597</v>
      </c>
      <c r="D185">
        <v>13</v>
      </c>
      <c r="G185">
        <v>25</v>
      </c>
      <c r="H185" t="s">
        <v>27</v>
      </c>
      <c r="I185">
        <v>78</v>
      </c>
      <c r="J185">
        <v>78</v>
      </c>
      <c r="K185">
        <v>6.9230769230769198</v>
      </c>
      <c r="L185">
        <v>19.291399359124402</v>
      </c>
      <c r="M185">
        <v>13.507438959460099</v>
      </c>
      <c r="N185">
        <v>100.25202665090301</v>
      </c>
      <c r="O185">
        <v>0</v>
      </c>
      <c r="P185">
        <v>0</v>
      </c>
      <c r="Q185">
        <v>260.64561600000002</v>
      </c>
      <c r="R185">
        <v>246.61237456799901</v>
      </c>
    </row>
    <row r="186" spans="1:18" x14ac:dyDescent="0.3">
      <c r="A186">
        <v>17</v>
      </c>
      <c r="B186" t="s">
        <v>10</v>
      </c>
      <c r="C186">
        <v>117.930328725872</v>
      </c>
      <c r="D186">
        <v>13.3738317757009</v>
      </c>
      <c r="G186">
        <v>25</v>
      </c>
      <c r="H186" t="s">
        <v>28</v>
      </c>
      <c r="I186">
        <v>68</v>
      </c>
      <c r="J186">
        <v>68</v>
      </c>
      <c r="K186">
        <v>5.8823529411764701</v>
      </c>
      <c r="L186">
        <v>17.930491541840102</v>
      </c>
      <c r="M186">
        <v>13.507438959460099</v>
      </c>
      <c r="N186">
        <v>90.4166001643394</v>
      </c>
      <c r="O186">
        <v>0</v>
      </c>
      <c r="P186">
        <v>0</v>
      </c>
      <c r="Q186">
        <v>224.90879299999901</v>
      </c>
      <c r="R186">
        <v>207.53054330799901</v>
      </c>
    </row>
    <row r="187" spans="1:18" x14ac:dyDescent="0.3">
      <c r="A187">
        <v>17</v>
      </c>
      <c r="B187" t="s">
        <v>11</v>
      </c>
      <c r="C187">
        <v>273.40748702954198</v>
      </c>
      <c r="D187">
        <v>14</v>
      </c>
      <c r="G187">
        <v>25</v>
      </c>
      <c r="H187" t="s">
        <v>29</v>
      </c>
      <c r="I187">
        <v>78</v>
      </c>
      <c r="J187">
        <v>78</v>
      </c>
      <c r="K187">
        <v>6.8076923076923004</v>
      </c>
      <c r="L187">
        <v>18.855323299914399</v>
      </c>
      <c r="M187">
        <v>13.507438959460099</v>
      </c>
      <c r="N187">
        <v>100.895351208554</v>
      </c>
      <c r="O187">
        <v>0</v>
      </c>
      <c r="P187">
        <v>0</v>
      </c>
      <c r="Q187">
        <v>242.51174899999901</v>
      </c>
      <c r="R187">
        <v>227.234757917</v>
      </c>
    </row>
    <row r="188" spans="1:18" x14ac:dyDescent="0.3">
      <c r="A188">
        <v>17</v>
      </c>
      <c r="B188" t="s">
        <v>12</v>
      </c>
      <c r="C188">
        <v>355.29410570696803</v>
      </c>
      <c r="D188">
        <v>14</v>
      </c>
      <c r="G188">
        <v>25</v>
      </c>
      <c r="H188" t="s">
        <v>30</v>
      </c>
      <c r="I188">
        <v>76</v>
      </c>
      <c r="J188">
        <v>76</v>
      </c>
      <c r="K188">
        <v>6.75</v>
      </c>
      <c r="L188">
        <v>18.659279840318</v>
      </c>
      <c r="M188">
        <v>13.507438959460099</v>
      </c>
      <c r="N188">
        <v>98.008589273912804</v>
      </c>
      <c r="O188">
        <v>0</v>
      </c>
      <c r="P188">
        <v>0</v>
      </c>
      <c r="Q188">
        <v>225.960972</v>
      </c>
      <c r="R188">
        <v>210.44323736099901</v>
      </c>
    </row>
    <row r="189" spans="1:18" x14ac:dyDescent="0.3">
      <c r="A189">
        <v>17</v>
      </c>
      <c r="B189" t="s">
        <v>13</v>
      </c>
      <c r="C189">
        <v>354.321218154836</v>
      </c>
      <c r="D189">
        <v>0</v>
      </c>
      <c r="G189">
        <v>25</v>
      </c>
      <c r="H189" t="s">
        <v>31</v>
      </c>
      <c r="I189">
        <v>66</v>
      </c>
      <c r="J189">
        <v>66</v>
      </c>
      <c r="K189">
        <v>6.3333333333333304</v>
      </c>
      <c r="L189">
        <v>19.184488321735099</v>
      </c>
      <c r="M189">
        <v>13.507438959460099</v>
      </c>
      <c r="N189">
        <v>86.481116037993701</v>
      </c>
      <c r="O189">
        <v>0</v>
      </c>
      <c r="P189">
        <v>0</v>
      </c>
      <c r="Q189">
        <v>246.095977</v>
      </c>
      <c r="R189">
        <v>224.79860211699901</v>
      </c>
    </row>
    <row r="190" spans="1:18" x14ac:dyDescent="0.3">
      <c r="A190">
        <v>18</v>
      </c>
      <c r="B190" t="s">
        <v>3</v>
      </c>
      <c r="C190">
        <v>15.113036311179201</v>
      </c>
      <c r="D190">
        <v>13</v>
      </c>
      <c r="G190">
        <v>25</v>
      </c>
      <c r="H190" t="s">
        <v>32</v>
      </c>
      <c r="I190">
        <v>73</v>
      </c>
      <c r="J190">
        <v>73</v>
      </c>
      <c r="K190">
        <v>5.9589041095890396</v>
      </c>
      <c r="L190">
        <v>18.475948949573201</v>
      </c>
      <c r="M190">
        <v>13.507438959460099</v>
      </c>
      <c r="N190">
        <v>95.654689094785098</v>
      </c>
      <c r="O190">
        <v>0</v>
      </c>
      <c r="P190">
        <v>0</v>
      </c>
      <c r="Q190">
        <v>235.45665299999999</v>
      </c>
      <c r="R190">
        <v>219.48650478899901</v>
      </c>
    </row>
    <row r="191" spans="1:18" x14ac:dyDescent="0.3">
      <c r="A191">
        <v>18</v>
      </c>
      <c r="B191" t="s">
        <v>4</v>
      </c>
      <c r="C191">
        <v>15.358936799357499</v>
      </c>
      <c r="D191">
        <v>13</v>
      </c>
      <c r="G191">
        <v>25</v>
      </c>
      <c r="H191" t="s">
        <v>33</v>
      </c>
      <c r="I191">
        <v>56</v>
      </c>
      <c r="J191">
        <v>56</v>
      </c>
      <c r="K191">
        <v>5.21428571428571</v>
      </c>
      <c r="L191">
        <v>16.531694895591698</v>
      </c>
      <c r="M191">
        <v>13.507438959460099</v>
      </c>
      <c r="N191">
        <v>79.127126950001696</v>
      </c>
      <c r="O191">
        <v>0</v>
      </c>
      <c r="P191">
        <v>0</v>
      </c>
      <c r="Q191">
        <v>195.47362099999901</v>
      </c>
      <c r="R191">
        <v>175.41067201799899</v>
      </c>
    </row>
    <row r="192" spans="1:18" x14ac:dyDescent="0.3">
      <c r="A192">
        <v>18</v>
      </c>
      <c r="B192" t="s">
        <v>5</v>
      </c>
      <c r="C192">
        <v>19.9566228114662</v>
      </c>
      <c r="D192">
        <v>13</v>
      </c>
      <c r="G192">
        <v>25</v>
      </c>
      <c r="H192" t="s">
        <v>34</v>
      </c>
      <c r="I192">
        <v>72</v>
      </c>
      <c r="J192">
        <v>72</v>
      </c>
      <c r="K192">
        <v>6.0416666666666599</v>
      </c>
      <c r="L192">
        <v>18.212587728117299</v>
      </c>
      <c r="M192">
        <v>13.507438959460099</v>
      </c>
      <c r="N192">
        <v>99.578330113823199</v>
      </c>
      <c r="O192">
        <v>0</v>
      </c>
      <c r="P192">
        <v>0</v>
      </c>
      <c r="Q192">
        <v>234.20865499999999</v>
      </c>
      <c r="R192">
        <v>216.98464140499999</v>
      </c>
    </row>
    <row r="193" spans="1:18" x14ac:dyDescent="0.3">
      <c r="A193">
        <v>18</v>
      </c>
      <c r="B193" t="s">
        <v>6</v>
      </c>
      <c r="C193">
        <v>65.302938593319993</v>
      </c>
      <c r="D193">
        <v>13</v>
      </c>
      <c r="G193">
        <v>25</v>
      </c>
      <c r="H193" t="s">
        <v>35</v>
      </c>
      <c r="I193">
        <v>73</v>
      </c>
      <c r="J193">
        <v>73</v>
      </c>
      <c r="K193">
        <v>6.0821917808219101</v>
      </c>
      <c r="L193">
        <v>18.461826032842598</v>
      </c>
      <c r="M193">
        <v>13.507438959460099</v>
      </c>
      <c r="N193">
        <v>100.80209624806599</v>
      </c>
      <c r="O193">
        <v>0</v>
      </c>
      <c r="P193">
        <v>0</v>
      </c>
      <c r="Q193">
        <v>235.18837400000001</v>
      </c>
      <c r="R193">
        <v>218.92416516199901</v>
      </c>
    </row>
    <row r="194" spans="1:18" x14ac:dyDescent="0.3">
      <c r="A194">
        <v>18</v>
      </c>
      <c r="B194" t="s">
        <v>7</v>
      </c>
      <c r="C194">
        <v>65.627109015962006</v>
      </c>
      <c r="D194">
        <v>13</v>
      </c>
      <c r="G194">
        <v>25</v>
      </c>
      <c r="H194" t="s">
        <v>36</v>
      </c>
      <c r="I194">
        <v>71</v>
      </c>
      <c r="J194">
        <v>71</v>
      </c>
      <c r="K194">
        <v>6</v>
      </c>
      <c r="L194">
        <v>18.020308735336101</v>
      </c>
      <c r="M194">
        <v>13.507438959460099</v>
      </c>
      <c r="N194">
        <v>97.318813488412502</v>
      </c>
      <c r="O194">
        <v>0</v>
      </c>
      <c r="P194">
        <v>0</v>
      </c>
      <c r="Q194">
        <v>217.661385</v>
      </c>
      <c r="R194">
        <v>201.095598359999</v>
      </c>
    </row>
    <row r="195" spans="1:18" x14ac:dyDescent="0.3">
      <c r="A195">
        <v>18</v>
      </c>
      <c r="B195" t="s">
        <v>8</v>
      </c>
      <c r="C195">
        <v>78.647940154537494</v>
      </c>
      <c r="D195">
        <v>13</v>
      </c>
      <c r="G195">
        <v>26</v>
      </c>
      <c r="H195" t="s">
        <v>25</v>
      </c>
      <c r="I195">
        <v>101</v>
      </c>
      <c r="J195">
        <v>93</v>
      </c>
      <c r="K195">
        <v>9.4950495049504902</v>
      </c>
      <c r="L195">
        <v>20.2036345610138</v>
      </c>
      <c r="M195">
        <v>16.416181453721101</v>
      </c>
      <c r="N195">
        <v>107.17969027801099</v>
      </c>
      <c r="O195">
        <v>0</v>
      </c>
      <c r="P195">
        <v>0</v>
      </c>
      <c r="Q195">
        <v>240.99225199999901</v>
      </c>
      <c r="R195">
        <v>217.81657029899901</v>
      </c>
    </row>
    <row r="196" spans="1:18" x14ac:dyDescent="0.3">
      <c r="A196">
        <v>18</v>
      </c>
      <c r="B196" t="s">
        <v>9</v>
      </c>
      <c r="C196">
        <v>81.436001573368301</v>
      </c>
      <c r="D196">
        <v>13</v>
      </c>
      <c r="G196">
        <v>26</v>
      </c>
      <c r="H196" t="s">
        <v>26</v>
      </c>
      <c r="I196">
        <v>97</v>
      </c>
      <c r="J196">
        <v>97</v>
      </c>
      <c r="K196">
        <v>8.7835051546391707</v>
      </c>
      <c r="L196">
        <v>20.439237502649199</v>
      </c>
      <c r="M196">
        <v>16.416181453721101</v>
      </c>
      <c r="N196">
        <v>102.35344355697799</v>
      </c>
      <c r="O196">
        <v>0</v>
      </c>
      <c r="P196">
        <v>0</v>
      </c>
      <c r="Q196">
        <v>252.777275</v>
      </c>
      <c r="R196">
        <v>233.47511719399901</v>
      </c>
    </row>
    <row r="197" spans="1:18" x14ac:dyDescent="0.3">
      <c r="A197">
        <v>18</v>
      </c>
      <c r="B197" t="s">
        <v>10</v>
      </c>
      <c r="C197">
        <v>117.76596484656</v>
      </c>
      <c r="D197">
        <v>13.3738317757009</v>
      </c>
      <c r="G197">
        <v>26</v>
      </c>
      <c r="H197" t="s">
        <v>27</v>
      </c>
      <c r="I197">
        <v>111</v>
      </c>
      <c r="J197">
        <v>103</v>
      </c>
      <c r="K197">
        <v>9.4504504504504503</v>
      </c>
      <c r="L197">
        <v>21.5314174300206</v>
      </c>
      <c r="M197">
        <v>16.416181453721101</v>
      </c>
      <c r="N197">
        <v>117.547031760011</v>
      </c>
      <c r="O197">
        <v>0</v>
      </c>
      <c r="P197">
        <v>0</v>
      </c>
      <c r="Q197">
        <v>277.26519899999897</v>
      </c>
      <c r="R197">
        <v>260.87232682699897</v>
      </c>
    </row>
    <row r="198" spans="1:18" x14ac:dyDescent="0.3">
      <c r="A198">
        <v>18</v>
      </c>
      <c r="B198" t="s">
        <v>11</v>
      </c>
      <c r="C198">
        <v>273.72097053521799</v>
      </c>
      <c r="D198">
        <v>14</v>
      </c>
      <c r="G198">
        <v>26</v>
      </c>
      <c r="H198" t="s">
        <v>28</v>
      </c>
      <c r="I198">
        <v>111</v>
      </c>
      <c r="J198">
        <v>111</v>
      </c>
      <c r="K198">
        <v>11.306306306306301</v>
      </c>
      <c r="L198">
        <v>21.116514252411999</v>
      </c>
      <c r="M198">
        <v>16.416181453721101</v>
      </c>
      <c r="N198">
        <v>116.156733655469</v>
      </c>
      <c r="O198">
        <v>0</v>
      </c>
      <c r="P198">
        <v>0</v>
      </c>
      <c r="Q198">
        <v>263.29749500000003</v>
      </c>
      <c r="R198">
        <v>249.560873614999</v>
      </c>
    </row>
    <row r="199" spans="1:18" x14ac:dyDescent="0.3">
      <c r="A199">
        <v>18</v>
      </c>
      <c r="B199" t="s">
        <v>12</v>
      </c>
      <c r="C199">
        <v>352.76921820649198</v>
      </c>
      <c r="D199">
        <v>14</v>
      </c>
      <c r="G199">
        <v>27</v>
      </c>
      <c r="H199" t="s">
        <v>25</v>
      </c>
      <c r="I199">
        <v>83</v>
      </c>
      <c r="J199">
        <v>83</v>
      </c>
      <c r="K199">
        <v>7.5301204819277103</v>
      </c>
      <c r="L199">
        <v>19.780897231610901</v>
      </c>
      <c r="M199">
        <v>13.4652187528045</v>
      </c>
      <c r="N199">
        <v>101.169994200574</v>
      </c>
      <c r="O199">
        <v>0</v>
      </c>
      <c r="P199">
        <v>0</v>
      </c>
      <c r="Q199">
        <v>245.414289</v>
      </c>
      <c r="R199">
        <v>231.22831363199899</v>
      </c>
    </row>
    <row r="200" spans="1:18" x14ac:dyDescent="0.3">
      <c r="A200">
        <v>18</v>
      </c>
      <c r="B200" t="s">
        <v>13</v>
      </c>
      <c r="C200">
        <v>353.93599377038998</v>
      </c>
      <c r="D200">
        <v>0</v>
      </c>
      <c r="G200">
        <v>27</v>
      </c>
      <c r="H200" t="s">
        <v>26</v>
      </c>
      <c r="I200">
        <v>81</v>
      </c>
      <c r="J200">
        <v>81</v>
      </c>
      <c r="K200">
        <v>7.2098765432098704</v>
      </c>
      <c r="L200">
        <v>18.984695111394199</v>
      </c>
      <c r="M200">
        <v>13.4652187528045</v>
      </c>
      <c r="N200">
        <v>98.536015874451394</v>
      </c>
      <c r="O200">
        <v>0</v>
      </c>
      <c r="P200">
        <v>0</v>
      </c>
      <c r="Q200">
        <v>218.474097999999</v>
      </c>
      <c r="R200">
        <v>203.75260770399899</v>
      </c>
    </row>
    <row r="201" spans="1:18" x14ac:dyDescent="0.3">
      <c r="A201">
        <v>19</v>
      </c>
      <c r="B201" t="s">
        <v>3</v>
      </c>
      <c r="C201">
        <v>15.1480145084613</v>
      </c>
      <c r="D201">
        <v>13</v>
      </c>
      <c r="G201">
        <v>27</v>
      </c>
      <c r="H201" t="s">
        <v>27</v>
      </c>
      <c r="I201">
        <v>77</v>
      </c>
      <c r="J201">
        <v>77</v>
      </c>
      <c r="K201">
        <v>6.8961038961038899</v>
      </c>
      <c r="L201">
        <v>18.927550986736701</v>
      </c>
      <c r="M201">
        <v>13.4652187528045</v>
      </c>
      <c r="N201">
        <v>100.12638255460401</v>
      </c>
      <c r="O201">
        <v>0</v>
      </c>
      <c r="P201">
        <v>0</v>
      </c>
      <c r="Q201">
        <v>269.00383199999999</v>
      </c>
      <c r="R201">
        <v>254.20814327099899</v>
      </c>
    </row>
    <row r="202" spans="1:18" x14ac:dyDescent="0.3">
      <c r="A202">
        <v>19</v>
      </c>
      <c r="B202" t="s">
        <v>4</v>
      </c>
      <c r="C202">
        <v>15.059204285990001</v>
      </c>
      <c r="D202">
        <v>13</v>
      </c>
      <c r="G202">
        <v>27</v>
      </c>
      <c r="H202" t="s">
        <v>28</v>
      </c>
      <c r="I202">
        <v>72</v>
      </c>
      <c r="J202">
        <v>72</v>
      </c>
      <c r="K202">
        <v>6.1944444444444402</v>
      </c>
      <c r="L202">
        <v>19.4813780822154</v>
      </c>
      <c r="M202">
        <v>13.4652187528045</v>
      </c>
      <c r="N202">
        <v>95.426129244322098</v>
      </c>
      <c r="O202">
        <v>0</v>
      </c>
      <c r="P202">
        <v>0</v>
      </c>
      <c r="Q202">
        <v>240.13144899999901</v>
      </c>
      <c r="R202">
        <v>220.23442183199899</v>
      </c>
    </row>
    <row r="203" spans="1:18" x14ac:dyDescent="0.3">
      <c r="A203">
        <v>19</v>
      </c>
      <c r="B203" t="s">
        <v>5</v>
      </c>
      <c r="C203">
        <v>19.840631882291699</v>
      </c>
      <c r="D203">
        <v>13</v>
      </c>
      <c r="G203">
        <v>27</v>
      </c>
      <c r="H203" t="s">
        <v>29</v>
      </c>
      <c r="I203">
        <v>76</v>
      </c>
      <c r="J203">
        <v>76</v>
      </c>
      <c r="K203">
        <v>6.7631578947368398</v>
      </c>
      <c r="L203">
        <v>18.351603805444299</v>
      </c>
      <c r="M203">
        <v>13.4652187528045</v>
      </c>
      <c r="N203">
        <v>97.915354109947799</v>
      </c>
      <c r="O203">
        <v>0</v>
      </c>
      <c r="P203">
        <v>0</v>
      </c>
      <c r="Q203">
        <v>220.571023</v>
      </c>
      <c r="R203">
        <v>203.054204088999</v>
      </c>
    </row>
    <row r="204" spans="1:18" x14ac:dyDescent="0.3">
      <c r="A204">
        <v>19</v>
      </c>
      <c r="B204" t="s">
        <v>6</v>
      </c>
      <c r="C204">
        <v>64.582868169008293</v>
      </c>
      <c r="D204">
        <v>13</v>
      </c>
      <c r="G204">
        <v>27</v>
      </c>
      <c r="H204" t="s">
        <v>30</v>
      </c>
      <c r="I204">
        <v>72</v>
      </c>
      <c r="J204">
        <v>72</v>
      </c>
      <c r="K204">
        <v>7.0416666666666599</v>
      </c>
      <c r="L204">
        <v>18.318590718445002</v>
      </c>
      <c r="M204">
        <v>13.4652187528045</v>
      </c>
      <c r="N204">
        <v>91.148577513775805</v>
      </c>
      <c r="O204">
        <v>0</v>
      </c>
      <c r="P204">
        <v>0</v>
      </c>
      <c r="Q204">
        <v>248.273923</v>
      </c>
      <c r="R204">
        <v>232.34486412599901</v>
      </c>
    </row>
    <row r="205" spans="1:18" x14ac:dyDescent="0.3">
      <c r="A205">
        <v>19</v>
      </c>
      <c r="B205" t="s">
        <v>7</v>
      </c>
      <c r="C205">
        <v>65.830241675827907</v>
      </c>
      <c r="D205">
        <v>13</v>
      </c>
      <c r="G205">
        <v>27</v>
      </c>
      <c r="H205" t="s">
        <v>31</v>
      </c>
      <c r="I205">
        <v>65</v>
      </c>
      <c r="J205">
        <v>65</v>
      </c>
      <c r="K205">
        <v>5.9076923076923</v>
      </c>
      <c r="L205">
        <v>17.6493585193885</v>
      </c>
      <c r="M205">
        <v>13.4652187528045</v>
      </c>
      <c r="N205">
        <v>87.205958325586593</v>
      </c>
      <c r="O205">
        <v>0</v>
      </c>
      <c r="P205">
        <v>0</v>
      </c>
      <c r="Q205">
        <v>232.597734</v>
      </c>
      <c r="R205">
        <v>214.547399861999</v>
      </c>
    </row>
    <row r="206" spans="1:18" x14ac:dyDescent="0.3">
      <c r="A206">
        <v>19</v>
      </c>
      <c r="B206" t="s">
        <v>8</v>
      </c>
      <c r="C206">
        <v>78.761139504302093</v>
      </c>
      <c r="D206">
        <v>13</v>
      </c>
      <c r="G206">
        <v>27</v>
      </c>
      <c r="H206" t="s">
        <v>32</v>
      </c>
      <c r="I206">
        <v>73</v>
      </c>
      <c r="J206">
        <v>73</v>
      </c>
      <c r="K206">
        <v>5.9589041095890396</v>
      </c>
      <c r="L206">
        <v>18.318487906443298</v>
      </c>
      <c r="M206">
        <v>13.4652187528045</v>
      </c>
      <c r="N206">
        <v>95.8804112974628</v>
      </c>
      <c r="O206">
        <v>0</v>
      </c>
      <c r="P206">
        <v>0</v>
      </c>
      <c r="Q206">
        <v>217.88099299999999</v>
      </c>
      <c r="R206">
        <v>201.75368447899899</v>
      </c>
    </row>
    <row r="207" spans="1:18" x14ac:dyDescent="0.3">
      <c r="A207">
        <v>19</v>
      </c>
      <c r="B207" t="s">
        <v>9</v>
      </c>
      <c r="C207">
        <v>81.235438529380801</v>
      </c>
      <c r="D207">
        <v>13</v>
      </c>
      <c r="G207">
        <v>27</v>
      </c>
      <c r="H207" t="s">
        <v>33</v>
      </c>
      <c r="I207">
        <v>65</v>
      </c>
      <c r="J207">
        <v>65</v>
      </c>
      <c r="K207">
        <v>5.4</v>
      </c>
      <c r="L207">
        <v>19.331998150932801</v>
      </c>
      <c r="M207">
        <v>13.4652187528045</v>
      </c>
      <c r="N207">
        <v>92.671168441595</v>
      </c>
      <c r="O207">
        <v>0</v>
      </c>
      <c r="P207">
        <v>0</v>
      </c>
      <c r="Q207">
        <v>246.82731799999999</v>
      </c>
      <c r="R207">
        <v>222.790500165</v>
      </c>
    </row>
    <row r="208" spans="1:18" x14ac:dyDescent="0.3">
      <c r="A208">
        <v>19</v>
      </c>
      <c r="B208" t="s">
        <v>10</v>
      </c>
      <c r="C208">
        <v>116.914769723505</v>
      </c>
      <c r="D208">
        <v>12.8796296296296</v>
      </c>
      <c r="G208">
        <v>27</v>
      </c>
      <c r="H208" t="s">
        <v>34</v>
      </c>
      <c r="I208">
        <v>72</v>
      </c>
      <c r="J208">
        <v>72</v>
      </c>
      <c r="K208">
        <v>6.0416666666666599</v>
      </c>
      <c r="L208">
        <v>18.464610712616299</v>
      </c>
      <c r="M208">
        <v>13.4652187528045</v>
      </c>
      <c r="N208">
        <v>99.739235937790994</v>
      </c>
      <c r="O208">
        <v>0</v>
      </c>
      <c r="P208">
        <v>0</v>
      </c>
      <c r="Q208">
        <v>242.958832</v>
      </c>
      <c r="R208">
        <v>226.414628265999</v>
      </c>
    </row>
    <row r="209" spans="1:18" x14ac:dyDescent="0.3">
      <c r="A209">
        <v>19</v>
      </c>
      <c r="B209" t="s">
        <v>11</v>
      </c>
      <c r="C209">
        <v>275.26739879795002</v>
      </c>
      <c r="D209">
        <v>13.257485029940099</v>
      </c>
      <c r="G209">
        <v>27</v>
      </c>
      <c r="H209" t="s">
        <v>35</v>
      </c>
      <c r="I209">
        <v>73</v>
      </c>
      <c r="J209">
        <v>73</v>
      </c>
      <c r="K209">
        <v>6.1643835616438301</v>
      </c>
      <c r="L209">
        <v>18.707804322076299</v>
      </c>
      <c r="M209">
        <v>13.4652187528045</v>
      </c>
      <c r="N209">
        <v>99.696155660490604</v>
      </c>
      <c r="O209">
        <v>0</v>
      </c>
      <c r="P209">
        <v>0</v>
      </c>
      <c r="Q209">
        <v>235.72820300000001</v>
      </c>
      <c r="R209">
        <v>219.724475458999</v>
      </c>
    </row>
    <row r="210" spans="1:18" x14ac:dyDescent="0.3">
      <c r="A210">
        <v>19</v>
      </c>
      <c r="B210" t="s">
        <v>12</v>
      </c>
      <c r="C210">
        <v>354.64436217805701</v>
      </c>
      <c r="D210">
        <v>14</v>
      </c>
      <c r="G210">
        <v>27</v>
      </c>
      <c r="H210" t="s">
        <v>36</v>
      </c>
      <c r="I210">
        <v>72</v>
      </c>
      <c r="J210">
        <v>72</v>
      </c>
      <c r="K210">
        <v>5.9166666666666599</v>
      </c>
      <c r="L210">
        <v>18.104471857951399</v>
      </c>
      <c r="M210">
        <v>13.4652187528045</v>
      </c>
      <c r="N210">
        <v>98.493429580586707</v>
      </c>
      <c r="O210">
        <v>0</v>
      </c>
      <c r="P210">
        <v>0</v>
      </c>
      <c r="Q210">
        <v>229.800522</v>
      </c>
      <c r="R210">
        <v>213.18185798099901</v>
      </c>
    </row>
    <row r="211" spans="1:18" x14ac:dyDescent="0.3">
      <c r="A211">
        <v>19</v>
      </c>
      <c r="B211" t="s">
        <v>13</v>
      </c>
      <c r="C211">
        <v>355.13578045939499</v>
      </c>
      <c r="D211">
        <v>14</v>
      </c>
      <c r="G211">
        <v>28</v>
      </c>
      <c r="H211" t="s">
        <v>25</v>
      </c>
      <c r="I211">
        <v>102</v>
      </c>
      <c r="J211">
        <v>94</v>
      </c>
      <c r="K211">
        <v>9.5784313725490193</v>
      </c>
      <c r="L211">
        <v>20.2378813210643</v>
      </c>
      <c r="M211">
        <v>16.354420133241501</v>
      </c>
      <c r="N211">
        <v>107.495175770891</v>
      </c>
      <c r="O211">
        <v>0</v>
      </c>
      <c r="P211">
        <v>0</v>
      </c>
      <c r="Q211">
        <v>242.123446</v>
      </c>
      <c r="R211">
        <v>219.13396814599901</v>
      </c>
    </row>
    <row r="212" spans="1:18" x14ac:dyDescent="0.3">
      <c r="A212">
        <v>20</v>
      </c>
      <c r="B212" t="s">
        <v>3</v>
      </c>
      <c r="C212">
        <v>15.1407742137417</v>
      </c>
      <c r="D212">
        <v>13</v>
      </c>
      <c r="G212">
        <v>28</v>
      </c>
      <c r="H212" t="s">
        <v>26</v>
      </c>
      <c r="I212">
        <v>94</v>
      </c>
      <c r="J212">
        <v>94</v>
      </c>
      <c r="K212">
        <v>8.9361702127659495</v>
      </c>
      <c r="L212">
        <v>20.5482009458363</v>
      </c>
      <c r="M212">
        <v>16.354420133241501</v>
      </c>
      <c r="N212">
        <v>99.473057128951197</v>
      </c>
      <c r="O212">
        <v>0</v>
      </c>
      <c r="P212">
        <v>0</v>
      </c>
      <c r="Q212">
        <v>248.28569199999899</v>
      </c>
      <c r="R212">
        <v>229.05426013099901</v>
      </c>
    </row>
    <row r="213" spans="1:18" x14ac:dyDescent="0.3">
      <c r="A213">
        <v>20</v>
      </c>
      <c r="B213" t="s">
        <v>4</v>
      </c>
      <c r="C213">
        <v>15.0674993742906</v>
      </c>
      <c r="D213">
        <v>13</v>
      </c>
      <c r="G213">
        <v>28</v>
      </c>
      <c r="H213" t="s">
        <v>27</v>
      </c>
      <c r="I213">
        <v>111</v>
      </c>
      <c r="J213">
        <v>103</v>
      </c>
      <c r="K213">
        <v>9.5945945945945894</v>
      </c>
      <c r="L213">
        <v>21.686498235730902</v>
      </c>
      <c r="M213">
        <v>16.354420133241501</v>
      </c>
      <c r="N213">
        <v>117.222001152046</v>
      </c>
      <c r="O213">
        <v>0</v>
      </c>
      <c r="P213">
        <v>0</v>
      </c>
      <c r="Q213">
        <v>277.94869999999901</v>
      </c>
      <c r="R213">
        <v>261.96865268699901</v>
      </c>
    </row>
    <row r="214" spans="1:18" x14ac:dyDescent="0.3">
      <c r="A214">
        <v>20</v>
      </c>
      <c r="B214" t="s">
        <v>5</v>
      </c>
      <c r="C214">
        <v>19.589799525064802</v>
      </c>
      <c r="D214">
        <v>13</v>
      </c>
      <c r="G214">
        <v>28</v>
      </c>
      <c r="H214" t="s">
        <v>28</v>
      </c>
      <c r="I214">
        <v>113</v>
      </c>
      <c r="J214">
        <v>113</v>
      </c>
      <c r="K214">
        <v>11.4424778761061</v>
      </c>
      <c r="L214">
        <v>21.139756287982099</v>
      </c>
      <c r="M214">
        <v>16.354420133241501</v>
      </c>
      <c r="N214">
        <v>117.37910954563201</v>
      </c>
      <c r="O214">
        <v>0</v>
      </c>
      <c r="P214">
        <v>0</v>
      </c>
      <c r="Q214">
        <v>265.52580399999999</v>
      </c>
      <c r="R214">
        <v>251.643203421999</v>
      </c>
    </row>
    <row r="215" spans="1:18" x14ac:dyDescent="0.3">
      <c r="A215">
        <v>20</v>
      </c>
      <c r="B215" t="s">
        <v>6</v>
      </c>
      <c r="C215">
        <v>64.756906688527593</v>
      </c>
      <c r="D215">
        <v>13</v>
      </c>
      <c r="G215">
        <v>29</v>
      </c>
      <c r="H215" t="s">
        <v>25</v>
      </c>
      <c r="I215">
        <v>101</v>
      </c>
      <c r="J215">
        <v>101</v>
      </c>
      <c r="K215">
        <v>9.6237623762376199</v>
      </c>
      <c r="L215">
        <v>20.967110286330101</v>
      </c>
      <c r="M215">
        <v>16.3396382182008</v>
      </c>
      <c r="N215">
        <v>106.145762954674</v>
      </c>
      <c r="O215">
        <v>0</v>
      </c>
      <c r="P215">
        <v>0</v>
      </c>
      <c r="Q215">
        <v>259.06797899999998</v>
      </c>
      <c r="R215">
        <v>235.89175950499899</v>
      </c>
    </row>
    <row r="216" spans="1:18" x14ac:dyDescent="0.3">
      <c r="A216">
        <v>20</v>
      </c>
      <c r="B216" t="s">
        <v>7</v>
      </c>
      <c r="C216">
        <v>66.324397634796298</v>
      </c>
      <c r="D216">
        <v>13</v>
      </c>
      <c r="G216">
        <v>29</v>
      </c>
      <c r="H216" t="s">
        <v>26</v>
      </c>
      <c r="I216">
        <v>94</v>
      </c>
      <c r="J216">
        <v>94</v>
      </c>
      <c r="K216">
        <v>8.9361702127659495</v>
      </c>
      <c r="L216">
        <v>20.580073307186801</v>
      </c>
      <c r="M216">
        <v>16.3396382182008</v>
      </c>
      <c r="N216">
        <v>99.987501468052997</v>
      </c>
      <c r="O216">
        <v>0</v>
      </c>
      <c r="P216">
        <v>0</v>
      </c>
      <c r="Q216">
        <v>249.142912</v>
      </c>
      <c r="R216">
        <v>229.14689957599899</v>
      </c>
    </row>
    <row r="217" spans="1:18" x14ac:dyDescent="0.3">
      <c r="A217">
        <v>20</v>
      </c>
      <c r="B217" t="s">
        <v>8</v>
      </c>
      <c r="C217">
        <v>78.794564281973294</v>
      </c>
      <c r="D217">
        <v>13</v>
      </c>
      <c r="G217">
        <v>29</v>
      </c>
      <c r="H217" t="s">
        <v>27</v>
      </c>
      <c r="I217">
        <v>112</v>
      </c>
      <c r="J217">
        <v>104</v>
      </c>
      <c r="K217">
        <v>9.52678571428571</v>
      </c>
      <c r="L217">
        <v>21.636438891085199</v>
      </c>
      <c r="M217">
        <v>16.3396382182008</v>
      </c>
      <c r="N217">
        <v>117.950145642899</v>
      </c>
      <c r="O217">
        <v>0</v>
      </c>
      <c r="P217">
        <v>0</v>
      </c>
      <c r="Q217">
        <v>278.07567099999898</v>
      </c>
      <c r="R217">
        <v>262.074165587999</v>
      </c>
    </row>
    <row r="218" spans="1:18" x14ac:dyDescent="0.3">
      <c r="A218">
        <v>20</v>
      </c>
      <c r="B218" t="s">
        <v>9</v>
      </c>
      <c r="C218">
        <v>81.528744928712896</v>
      </c>
      <c r="D218">
        <v>13</v>
      </c>
      <c r="G218">
        <v>29</v>
      </c>
      <c r="H218" t="s">
        <v>28</v>
      </c>
      <c r="I218">
        <v>113</v>
      </c>
      <c r="J218">
        <v>113</v>
      </c>
      <c r="K218">
        <v>11.522123893805301</v>
      </c>
      <c r="L218">
        <v>21.107215301555701</v>
      </c>
      <c r="M218">
        <v>16.3396382182008</v>
      </c>
      <c r="N218">
        <v>117.086821825795</v>
      </c>
      <c r="O218">
        <v>0</v>
      </c>
      <c r="P218">
        <v>0</v>
      </c>
      <c r="Q218">
        <v>259.43330800000001</v>
      </c>
      <c r="R218">
        <v>246.14398501899899</v>
      </c>
    </row>
    <row r="219" spans="1:18" x14ac:dyDescent="0.3">
      <c r="A219">
        <v>20</v>
      </c>
      <c r="B219" t="s">
        <v>10</v>
      </c>
      <c r="C219">
        <v>117.098824347316</v>
      </c>
      <c r="D219">
        <v>12.8796296296296</v>
      </c>
      <c r="G219">
        <v>30</v>
      </c>
      <c r="H219" t="s">
        <v>25</v>
      </c>
      <c r="I219">
        <v>102</v>
      </c>
      <c r="J219">
        <v>94</v>
      </c>
      <c r="K219">
        <v>9.5784313725490193</v>
      </c>
      <c r="L219">
        <v>20.279505761720198</v>
      </c>
      <c r="M219">
        <v>16.301806170881498</v>
      </c>
      <c r="N219">
        <v>107.064597665815</v>
      </c>
      <c r="O219">
        <v>0</v>
      </c>
      <c r="P219">
        <v>0</v>
      </c>
      <c r="Q219">
        <v>245.65993399999999</v>
      </c>
      <c r="R219">
        <v>222.570292934999</v>
      </c>
    </row>
    <row r="220" spans="1:18" x14ac:dyDescent="0.3">
      <c r="A220">
        <v>20</v>
      </c>
      <c r="B220" t="s">
        <v>11</v>
      </c>
      <c r="C220">
        <v>273.554589458512</v>
      </c>
      <c r="D220">
        <v>13.317365269461</v>
      </c>
      <c r="G220">
        <v>30</v>
      </c>
      <c r="H220" t="s">
        <v>26</v>
      </c>
      <c r="I220">
        <v>94</v>
      </c>
      <c r="J220">
        <v>94</v>
      </c>
      <c r="K220">
        <v>8.9361702127659495</v>
      </c>
      <c r="L220">
        <v>20.574124645396299</v>
      </c>
      <c r="M220">
        <v>16.301806170881498</v>
      </c>
      <c r="N220">
        <v>98.937532664254306</v>
      </c>
      <c r="O220">
        <v>0</v>
      </c>
      <c r="P220">
        <v>0</v>
      </c>
      <c r="Q220">
        <v>249.168046</v>
      </c>
      <c r="R220">
        <v>229.75595964799899</v>
      </c>
    </row>
    <row r="221" spans="1:18" x14ac:dyDescent="0.3">
      <c r="A221">
        <v>20</v>
      </c>
      <c r="B221" t="s">
        <v>12</v>
      </c>
      <c r="C221">
        <v>354.18136811826599</v>
      </c>
      <c r="D221">
        <v>14</v>
      </c>
      <c r="G221">
        <v>30</v>
      </c>
      <c r="H221" t="s">
        <v>27</v>
      </c>
      <c r="I221">
        <v>112</v>
      </c>
      <c r="J221">
        <v>104</v>
      </c>
      <c r="K221">
        <v>9.52678571428571</v>
      </c>
      <c r="L221">
        <v>21.686048781125599</v>
      </c>
      <c r="M221">
        <v>16.301806170881498</v>
      </c>
      <c r="N221">
        <v>117.90576827795201</v>
      </c>
      <c r="O221">
        <v>0</v>
      </c>
      <c r="P221">
        <v>0</v>
      </c>
      <c r="Q221">
        <v>278.07567099999898</v>
      </c>
      <c r="R221">
        <v>262.074165587999</v>
      </c>
    </row>
    <row r="222" spans="1:18" x14ac:dyDescent="0.3">
      <c r="A222">
        <v>20</v>
      </c>
      <c r="B222" t="s">
        <v>13</v>
      </c>
      <c r="C222">
        <v>352.78776271915302</v>
      </c>
      <c r="D222">
        <v>14</v>
      </c>
      <c r="G222">
        <v>30</v>
      </c>
      <c r="H222" t="s">
        <v>28</v>
      </c>
      <c r="I222">
        <v>112</v>
      </c>
      <c r="J222">
        <v>112</v>
      </c>
      <c r="K222">
        <v>11.3660714285714</v>
      </c>
      <c r="L222">
        <v>20.716721348185501</v>
      </c>
      <c r="M222">
        <v>16.301806170881498</v>
      </c>
      <c r="N222">
        <v>116.240868005778</v>
      </c>
      <c r="O222">
        <v>0</v>
      </c>
      <c r="P222">
        <v>0</v>
      </c>
      <c r="Q222">
        <v>263.34402399999999</v>
      </c>
      <c r="R222">
        <v>249.73258364199901</v>
      </c>
    </row>
    <row r="223" spans="1:18" x14ac:dyDescent="0.3">
      <c r="A223">
        <v>21</v>
      </c>
      <c r="B223" t="s">
        <v>3</v>
      </c>
      <c r="C223">
        <v>15.3326055184558</v>
      </c>
      <c r="D223">
        <v>13</v>
      </c>
      <c r="G223">
        <v>31</v>
      </c>
      <c r="H223" t="s">
        <v>25</v>
      </c>
      <c r="I223">
        <v>102</v>
      </c>
      <c r="J223">
        <v>94</v>
      </c>
      <c r="K223">
        <v>9.4607843137254903</v>
      </c>
      <c r="L223">
        <v>20.363963547227801</v>
      </c>
      <c r="M223">
        <v>16.379294545216901</v>
      </c>
      <c r="N223">
        <v>108.236374792362</v>
      </c>
      <c r="O223">
        <v>0</v>
      </c>
      <c r="P223">
        <v>0</v>
      </c>
      <c r="Q223">
        <v>246.141344</v>
      </c>
      <c r="R223">
        <v>222.808558419999</v>
      </c>
    </row>
    <row r="224" spans="1:18" x14ac:dyDescent="0.3">
      <c r="A224">
        <v>21</v>
      </c>
      <c r="B224" t="s">
        <v>4</v>
      </c>
      <c r="C224">
        <v>15.5667356392595</v>
      </c>
      <c r="D224">
        <v>13</v>
      </c>
      <c r="G224">
        <v>31</v>
      </c>
      <c r="H224" t="s">
        <v>26</v>
      </c>
      <c r="I224">
        <v>95</v>
      </c>
      <c r="J224">
        <v>95</v>
      </c>
      <c r="K224">
        <v>8.8736842105263101</v>
      </c>
      <c r="L224">
        <v>20.610401521024901</v>
      </c>
      <c r="M224">
        <v>16.379294545216901</v>
      </c>
      <c r="N224">
        <v>99.692947862516803</v>
      </c>
      <c r="O224">
        <v>0</v>
      </c>
      <c r="P224">
        <v>0</v>
      </c>
      <c r="Q224">
        <v>250.458607</v>
      </c>
      <c r="R224">
        <v>230.82841583899901</v>
      </c>
    </row>
    <row r="225" spans="1:18" x14ac:dyDescent="0.3">
      <c r="A225">
        <v>21</v>
      </c>
      <c r="B225" t="s">
        <v>5</v>
      </c>
      <c r="C225">
        <v>20.006309047427699</v>
      </c>
      <c r="D225">
        <v>13</v>
      </c>
      <c r="G225">
        <v>31</v>
      </c>
      <c r="H225" t="s">
        <v>27</v>
      </c>
      <c r="I225">
        <v>112</v>
      </c>
      <c r="J225">
        <v>104</v>
      </c>
      <c r="K225">
        <v>9.52678571428571</v>
      </c>
      <c r="L225">
        <v>21.713175541006201</v>
      </c>
      <c r="M225">
        <v>16.379294545216901</v>
      </c>
      <c r="N225">
        <v>117.921095279474</v>
      </c>
      <c r="O225">
        <v>0</v>
      </c>
      <c r="P225">
        <v>0</v>
      </c>
      <c r="Q225">
        <v>278.07567099999898</v>
      </c>
      <c r="R225">
        <v>262.074165587999</v>
      </c>
    </row>
    <row r="226" spans="1:18" x14ac:dyDescent="0.3">
      <c r="A226">
        <v>21</v>
      </c>
      <c r="B226" t="s">
        <v>6</v>
      </c>
      <c r="C226">
        <v>64.638613537239806</v>
      </c>
      <c r="D226">
        <v>13</v>
      </c>
      <c r="G226">
        <v>31</v>
      </c>
      <c r="H226" t="s">
        <v>28</v>
      </c>
      <c r="I226">
        <v>111</v>
      </c>
      <c r="J226">
        <v>111</v>
      </c>
      <c r="K226">
        <v>11.2162162162162</v>
      </c>
      <c r="L226">
        <v>20.569475050035901</v>
      </c>
      <c r="M226">
        <v>16.379294545216901</v>
      </c>
      <c r="N226">
        <v>116.39053478650401</v>
      </c>
      <c r="O226">
        <v>0</v>
      </c>
      <c r="P226">
        <v>0</v>
      </c>
      <c r="Q226">
        <v>257.88482599999998</v>
      </c>
      <c r="R226">
        <v>244.175120077999</v>
      </c>
    </row>
    <row r="227" spans="1:18" x14ac:dyDescent="0.3">
      <c r="A227">
        <v>21</v>
      </c>
      <c r="B227" t="s">
        <v>7</v>
      </c>
      <c r="C227">
        <v>65.741106676733196</v>
      </c>
      <c r="D227">
        <v>13</v>
      </c>
      <c r="G227">
        <v>32</v>
      </c>
      <c r="H227" t="s">
        <v>25</v>
      </c>
      <c r="I227">
        <v>83</v>
      </c>
      <c r="J227">
        <v>83</v>
      </c>
      <c r="K227">
        <v>7.5301204819277103</v>
      </c>
      <c r="L227">
        <v>19.5261482321357</v>
      </c>
      <c r="M227">
        <v>13.4874275136163</v>
      </c>
      <c r="N227">
        <v>101.48367081593</v>
      </c>
      <c r="O227">
        <v>0</v>
      </c>
      <c r="P227">
        <v>0</v>
      </c>
      <c r="Q227">
        <v>245.52427800000001</v>
      </c>
      <c r="R227">
        <v>231.326444828999</v>
      </c>
    </row>
    <row r="228" spans="1:18" x14ac:dyDescent="0.3">
      <c r="A228">
        <v>21</v>
      </c>
      <c r="B228" t="s">
        <v>8</v>
      </c>
      <c r="C228">
        <v>78.765069499205893</v>
      </c>
      <c r="D228">
        <v>13</v>
      </c>
      <c r="G228">
        <v>32</v>
      </c>
      <c r="H228" t="s">
        <v>26</v>
      </c>
      <c r="I228">
        <v>82</v>
      </c>
      <c r="J228">
        <v>82</v>
      </c>
      <c r="K228">
        <v>7.2317073170731696</v>
      </c>
      <c r="L228">
        <v>19.2367330609733</v>
      </c>
      <c r="M228">
        <v>13.4874275136163</v>
      </c>
      <c r="N228">
        <v>99.427826814845503</v>
      </c>
      <c r="O228">
        <v>0</v>
      </c>
      <c r="P228">
        <v>0</v>
      </c>
      <c r="Q228">
        <v>227.49435399999999</v>
      </c>
      <c r="R228">
        <v>212.935228311999</v>
      </c>
    </row>
    <row r="229" spans="1:18" x14ac:dyDescent="0.3">
      <c r="A229">
        <v>21</v>
      </c>
      <c r="B229" t="s">
        <v>9</v>
      </c>
      <c r="C229">
        <v>80.533418974736804</v>
      </c>
      <c r="D229">
        <v>13</v>
      </c>
      <c r="G229">
        <v>32</v>
      </c>
      <c r="H229" t="s">
        <v>27</v>
      </c>
      <c r="I229">
        <v>77</v>
      </c>
      <c r="J229">
        <v>77</v>
      </c>
      <c r="K229">
        <v>6.8961038961038899</v>
      </c>
      <c r="L229">
        <v>19.181829629699401</v>
      </c>
      <c r="M229">
        <v>13.4874275136163</v>
      </c>
      <c r="N229">
        <v>99.843327390440805</v>
      </c>
      <c r="O229">
        <v>0</v>
      </c>
      <c r="P229">
        <v>0</v>
      </c>
      <c r="Q229">
        <v>263.623807</v>
      </c>
      <c r="R229">
        <v>248.665443960999</v>
      </c>
    </row>
    <row r="230" spans="1:18" x14ac:dyDescent="0.3">
      <c r="A230">
        <v>21</v>
      </c>
      <c r="B230" t="s">
        <v>10</v>
      </c>
      <c r="C230">
        <v>118.421485526494</v>
      </c>
      <c r="D230">
        <v>12.8796296296296</v>
      </c>
      <c r="G230">
        <v>32</v>
      </c>
      <c r="H230" t="s">
        <v>28</v>
      </c>
      <c r="I230">
        <v>71</v>
      </c>
      <c r="J230">
        <v>71</v>
      </c>
      <c r="K230">
        <v>6.1549295774647801</v>
      </c>
      <c r="L230">
        <v>19.689163382919698</v>
      </c>
      <c r="M230">
        <v>13.4874275136163</v>
      </c>
      <c r="N230">
        <v>93.348592620671695</v>
      </c>
      <c r="O230">
        <v>0</v>
      </c>
      <c r="P230">
        <v>0</v>
      </c>
      <c r="Q230">
        <v>239.74311799999899</v>
      </c>
      <c r="R230">
        <v>219.98735017899901</v>
      </c>
    </row>
    <row r="231" spans="1:18" x14ac:dyDescent="0.3">
      <c r="A231">
        <v>21</v>
      </c>
      <c r="B231" t="s">
        <v>11</v>
      </c>
      <c r="C231">
        <v>276.17748512525401</v>
      </c>
      <c r="D231">
        <v>13.257485029940099</v>
      </c>
      <c r="G231">
        <v>32</v>
      </c>
      <c r="H231" t="s">
        <v>29</v>
      </c>
      <c r="I231">
        <v>78</v>
      </c>
      <c r="J231">
        <v>78</v>
      </c>
      <c r="K231">
        <v>6.9615384615384599</v>
      </c>
      <c r="L231">
        <v>18.711921119011901</v>
      </c>
      <c r="M231">
        <v>13.4874275136163</v>
      </c>
      <c r="N231">
        <v>99.972505162260902</v>
      </c>
      <c r="O231">
        <v>0</v>
      </c>
      <c r="P231">
        <v>0</v>
      </c>
      <c r="Q231">
        <v>221.222523</v>
      </c>
      <c r="R231">
        <v>205.131420953999</v>
      </c>
    </row>
    <row r="232" spans="1:18" x14ac:dyDescent="0.3">
      <c r="A232">
        <v>21</v>
      </c>
      <c r="B232" t="s">
        <v>12</v>
      </c>
      <c r="C232">
        <v>352.79530971435099</v>
      </c>
      <c r="D232">
        <v>14</v>
      </c>
      <c r="G232">
        <v>32</v>
      </c>
      <c r="H232" t="s">
        <v>30</v>
      </c>
      <c r="I232">
        <v>72</v>
      </c>
      <c r="J232">
        <v>72</v>
      </c>
      <c r="K232">
        <v>6.9583333333333304</v>
      </c>
      <c r="L232">
        <v>18.7652245438526</v>
      </c>
      <c r="M232">
        <v>13.4874275136163</v>
      </c>
      <c r="N232">
        <v>90.712384383817593</v>
      </c>
      <c r="O232">
        <v>0</v>
      </c>
      <c r="P232">
        <v>0</v>
      </c>
      <c r="Q232">
        <v>254.254346</v>
      </c>
      <c r="R232">
        <v>238.39889775999899</v>
      </c>
    </row>
    <row r="233" spans="1:18" x14ac:dyDescent="0.3">
      <c r="A233">
        <v>21</v>
      </c>
      <c r="B233" t="s">
        <v>13</v>
      </c>
      <c r="C233">
        <v>351.20405303607401</v>
      </c>
      <c r="D233">
        <v>14</v>
      </c>
      <c r="G233">
        <v>32</v>
      </c>
      <c r="H233" t="s">
        <v>31</v>
      </c>
      <c r="I233">
        <v>66</v>
      </c>
      <c r="J233">
        <v>66</v>
      </c>
      <c r="K233">
        <v>5.9545454545454497</v>
      </c>
      <c r="L233">
        <v>17.7762393676601</v>
      </c>
      <c r="M233">
        <v>13.4874275136163</v>
      </c>
      <c r="N233">
        <v>89.880246718977205</v>
      </c>
      <c r="O233">
        <v>0</v>
      </c>
      <c r="P233">
        <v>0</v>
      </c>
      <c r="Q233">
        <v>233.02750800000001</v>
      </c>
      <c r="R233">
        <v>215.097038198999</v>
      </c>
    </row>
    <row r="234" spans="1:18" x14ac:dyDescent="0.3">
      <c r="A234">
        <v>22</v>
      </c>
      <c r="B234" t="s">
        <v>3</v>
      </c>
      <c r="C234">
        <v>14.9995746937223</v>
      </c>
      <c r="D234">
        <v>13</v>
      </c>
      <c r="G234">
        <v>32</v>
      </c>
      <c r="H234" t="s">
        <v>32</v>
      </c>
      <c r="I234">
        <v>72</v>
      </c>
      <c r="J234">
        <v>72</v>
      </c>
      <c r="K234">
        <v>5.9166666666666599</v>
      </c>
      <c r="L234">
        <v>18.055059776422301</v>
      </c>
      <c r="M234">
        <v>13.4874275136163</v>
      </c>
      <c r="N234">
        <v>95.027555155221094</v>
      </c>
      <c r="O234">
        <v>0</v>
      </c>
      <c r="P234">
        <v>0</v>
      </c>
      <c r="Q234">
        <v>213.97679400000001</v>
      </c>
      <c r="R234">
        <v>197.09590387199901</v>
      </c>
    </row>
    <row r="235" spans="1:18" x14ac:dyDescent="0.3">
      <c r="A235">
        <v>22</v>
      </c>
      <c r="B235" t="s">
        <v>4</v>
      </c>
      <c r="C235">
        <v>15.2974760202332</v>
      </c>
      <c r="D235">
        <v>13</v>
      </c>
      <c r="G235">
        <v>32</v>
      </c>
      <c r="H235" t="s">
        <v>33</v>
      </c>
      <c r="I235">
        <v>65</v>
      </c>
      <c r="J235">
        <v>65</v>
      </c>
      <c r="K235">
        <v>5.4153846153846104</v>
      </c>
      <c r="L235">
        <v>19.2417689100918</v>
      </c>
      <c r="M235">
        <v>13.4874275136163</v>
      </c>
      <c r="N235">
        <v>91.685002631756106</v>
      </c>
      <c r="O235">
        <v>0</v>
      </c>
      <c r="P235">
        <v>0</v>
      </c>
      <c r="Q235">
        <v>243.310316</v>
      </c>
      <c r="R235">
        <v>220.46800859499899</v>
      </c>
    </row>
    <row r="236" spans="1:18" x14ac:dyDescent="0.3">
      <c r="A236">
        <v>22</v>
      </c>
      <c r="B236" t="s">
        <v>5</v>
      </c>
      <c r="C236">
        <v>19.749128702706699</v>
      </c>
      <c r="D236">
        <v>13</v>
      </c>
      <c r="G236">
        <v>32</v>
      </c>
      <c r="H236" t="s">
        <v>34</v>
      </c>
      <c r="I236">
        <v>73</v>
      </c>
      <c r="J236">
        <v>73</v>
      </c>
      <c r="K236">
        <v>6.0821917808219101</v>
      </c>
      <c r="L236">
        <v>18.556274681040399</v>
      </c>
      <c r="M236">
        <v>13.4874275136163</v>
      </c>
      <c r="N236">
        <v>100.05875191837499</v>
      </c>
      <c r="O236">
        <v>0</v>
      </c>
      <c r="P236">
        <v>0</v>
      </c>
      <c r="Q236">
        <v>242.855313999999</v>
      </c>
      <c r="R236">
        <v>226.68351920199899</v>
      </c>
    </row>
    <row r="237" spans="1:18" x14ac:dyDescent="0.3">
      <c r="A237">
        <v>22</v>
      </c>
      <c r="B237" t="s">
        <v>6</v>
      </c>
      <c r="C237">
        <v>64.082381919518895</v>
      </c>
      <c r="D237">
        <v>13</v>
      </c>
      <c r="G237">
        <v>32</v>
      </c>
      <c r="H237" t="s">
        <v>35</v>
      </c>
      <c r="I237">
        <v>72</v>
      </c>
      <c r="J237">
        <v>72</v>
      </c>
      <c r="K237">
        <v>6.0416666666666599</v>
      </c>
      <c r="L237">
        <v>18.305324082933801</v>
      </c>
      <c r="M237">
        <v>13.4874275136163</v>
      </c>
      <c r="N237">
        <v>98.819820409440297</v>
      </c>
      <c r="O237">
        <v>0</v>
      </c>
      <c r="P237">
        <v>0</v>
      </c>
      <c r="Q237">
        <v>230.916459</v>
      </c>
      <c r="R237">
        <v>214.34751728699899</v>
      </c>
    </row>
    <row r="238" spans="1:18" x14ac:dyDescent="0.3">
      <c r="A238">
        <v>22</v>
      </c>
      <c r="B238" t="s">
        <v>7</v>
      </c>
      <c r="C238">
        <v>65.934726453289898</v>
      </c>
      <c r="D238">
        <v>13</v>
      </c>
      <c r="G238">
        <v>32</v>
      </c>
      <c r="H238" t="s">
        <v>36</v>
      </c>
      <c r="I238">
        <v>73</v>
      </c>
      <c r="J238">
        <v>73</v>
      </c>
      <c r="K238">
        <v>5.9589041095890396</v>
      </c>
      <c r="L238">
        <v>18.612304124667599</v>
      </c>
      <c r="M238">
        <v>13.4874275136163</v>
      </c>
      <c r="N238">
        <v>99.659082149267604</v>
      </c>
      <c r="O238">
        <v>0</v>
      </c>
      <c r="P238">
        <v>0</v>
      </c>
      <c r="Q238">
        <v>229.407049</v>
      </c>
      <c r="R238">
        <v>212.96403648699899</v>
      </c>
    </row>
    <row r="239" spans="1:18" x14ac:dyDescent="0.3">
      <c r="A239">
        <v>22</v>
      </c>
      <c r="B239" t="s">
        <v>8</v>
      </c>
      <c r="C239">
        <v>78.053917330039894</v>
      </c>
      <c r="D239">
        <v>13</v>
      </c>
      <c r="G239">
        <v>33</v>
      </c>
      <c r="H239" t="s">
        <v>25</v>
      </c>
      <c r="I239">
        <v>101</v>
      </c>
      <c r="J239">
        <v>93</v>
      </c>
      <c r="K239">
        <v>9.4950495049504902</v>
      </c>
      <c r="L239">
        <v>20.368416016828402</v>
      </c>
      <c r="M239">
        <v>16.387479700127201</v>
      </c>
      <c r="N239">
        <v>106.167039905301</v>
      </c>
      <c r="O239">
        <v>0</v>
      </c>
      <c r="P239">
        <v>0</v>
      </c>
      <c r="Q239">
        <v>246.29375999999999</v>
      </c>
      <c r="R239">
        <v>222.485892747999</v>
      </c>
    </row>
    <row r="240" spans="1:18" x14ac:dyDescent="0.3">
      <c r="A240">
        <v>22</v>
      </c>
      <c r="B240" t="s">
        <v>9</v>
      </c>
      <c r="C240">
        <v>81.761790091813396</v>
      </c>
      <c r="D240">
        <v>13</v>
      </c>
      <c r="G240">
        <v>33</v>
      </c>
      <c r="H240" t="s">
        <v>26</v>
      </c>
      <c r="I240">
        <v>94</v>
      </c>
      <c r="J240">
        <v>94</v>
      </c>
      <c r="K240">
        <v>8.9361702127659495</v>
      </c>
      <c r="L240">
        <v>20.450915505135601</v>
      </c>
      <c r="M240">
        <v>16.387479700127201</v>
      </c>
      <c r="N240">
        <v>99.775247436768893</v>
      </c>
      <c r="O240">
        <v>0</v>
      </c>
      <c r="P240">
        <v>0</v>
      </c>
      <c r="Q240">
        <v>249.168046</v>
      </c>
      <c r="R240">
        <v>229.75595964799899</v>
      </c>
    </row>
    <row r="241" spans="1:18" x14ac:dyDescent="0.3">
      <c r="A241">
        <v>22</v>
      </c>
      <c r="B241" t="s">
        <v>10</v>
      </c>
      <c r="C241">
        <v>117.484977378227</v>
      </c>
      <c r="D241">
        <v>12.8796296296296</v>
      </c>
      <c r="G241">
        <v>33</v>
      </c>
      <c r="H241" t="s">
        <v>27</v>
      </c>
      <c r="I241">
        <v>112</v>
      </c>
      <c r="J241">
        <v>104</v>
      </c>
      <c r="K241">
        <v>9.52678571428571</v>
      </c>
      <c r="L241">
        <v>21.559175772385199</v>
      </c>
      <c r="M241">
        <v>16.387479700127201</v>
      </c>
      <c r="N241">
        <v>118.51211777849301</v>
      </c>
      <c r="O241">
        <v>0</v>
      </c>
      <c r="P241">
        <v>0</v>
      </c>
      <c r="Q241">
        <v>277.40083999999899</v>
      </c>
      <c r="R241">
        <v>261.41585064999902</v>
      </c>
    </row>
    <row r="242" spans="1:18" x14ac:dyDescent="0.3">
      <c r="A242">
        <v>22</v>
      </c>
      <c r="B242" t="s">
        <v>11</v>
      </c>
      <c r="C242">
        <v>274.12725527703401</v>
      </c>
      <c r="D242">
        <v>13.2634730538922</v>
      </c>
      <c r="G242">
        <v>33</v>
      </c>
      <c r="H242" t="s">
        <v>28</v>
      </c>
      <c r="I242">
        <v>112</v>
      </c>
      <c r="J242">
        <v>112</v>
      </c>
      <c r="K242">
        <v>11.3660714285714</v>
      </c>
      <c r="L242">
        <v>20.715063325023699</v>
      </c>
      <c r="M242">
        <v>16.387479700127201</v>
      </c>
      <c r="N242">
        <v>118.00754678286999</v>
      </c>
      <c r="O242">
        <v>0</v>
      </c>
      <c r="P242">
        <v>0</v>
      </c>
      <c r="Q242">
        <v>263.34402399999999</v>
      </c>
      <c r="R242">
        <v>249.73258364199901</v>
      </c>
    </row>
    <row r="243" spans="1:18" x14ac:dyDescent="0.3">
      <c r="A243">
        <v>22</v>
      </c>
      <c r="B243" t="s">
        <v>12</v>
      </c>
      <c r="C243">
        <v>354.17665897455697</v>
      </c>
      <c r="D243">
        <v>14</v>
      </c>
      <c r="G243">
        <v>34</v>
      </c>
      <c r="H243" t="s">
        <v>25</v>
      </c>
      <c r="I243">
        <v>102</v>
      </c>
      <c r="J243">
        <v>94</v>
      </c>
      <c r="K243">
        <v>9.5784313725490193</v>
      </c>
      <c r="L243">
        <v>20.5305872854581</v>
      </c>
      <c r="M243">
        <v>16.297614021400999</v>
      </c>
      <c r="N243">
        <v>107.215023230395</v>
      </c>
      <c r="O243">
        <v>0</v>
      </c>
      <c r="P243">
        <v>0</v>
      </c>
      <c r="Q243">
        <v>245.65993399999999</v>
      </c>
      <c r="R243">
        <v>222.570292934999</v>
      </c>
    </row>
    <row r="244" spans="1:18" x14ac:dyDescent="0.3">
      <c r="A244">
        <v>22</v>
      </c>
      <c r="B244" t="s">
        <v>13</v>
      </c>
      <c r="C244">
        <v>353.38634906943298</v>
      </c>
      <c r="D244">
        <v>14</v>
      </c>
      <c r="G244">
        <v>34</v>
      </c>
      <c r="H244" t="s">
        <v>26</v>
      </c>
      <c r="I244">
        <v>94</v>
      </c>
      <c r="J244">
        <v>94</v>
      </c>
      <c r="K244">
        <v>8.9361702127659495</v>
      </c>
      <c r="L244">
        <v>20.365118775508101</v>
      </c>
      <c r="M244">
        <v>16.297614021400999</v>
      </c>
      <c r="N244">
        <v>97.819011845426203</v>
      </c>
      <c r="O244">
        <v>0</v>
      </c>
      <c r="P244">
        <v>0</v>
      </c>
      <c r="Q244">
        <v>249.168046</v>
      </c>
      <c r="R244">
        <v>229.75595964799899</v>
      </c>
    </row>
    <row r="245" spans="1:18" x14ac:dyDescent="0.3">
      <c r="A245">
        <v>23</v>
      </c>
      <c r="B245" t="s">
        <v>3</v>
      </c>
      <c r="C245">
        <v>15.4525599124455</v>
      </c>
      <c r="D245">
        <v>13</v>
      </c>
      <c r="G245">
        <v>34</v>
      </c>
      <c r="H245" t="s">
        <v>27</v>
      </c>
      <c r="I245">
        <v>112</v>
      </c>
      <c r="J245">
        <v>104</v>
      </c>
      <c r="K245">
        <v>9.52678571428571</v>
      </c>
      <c r="L245">
        <v>21.667332064751701</v>
      </c>
      <c r="M245">
        <v>16.297614021400999</v>
      </c>
      <c r="N245">
        <v>118.236301620657</v>
      </c>
      <c r="O245">
        <v>0</v>
      </c>
      <c r="P245">
        <v>0</v>
      </c>
      <c r="Q245">
        <v>278.07567099999898</v>
      </c>
      <c r="R245">
        <v>262.074165587999</v>
      </c>
    </row>
    <row r="246" spans="1:18" x14ac:dyDescent="0.3">
      <c r="A246">
        <v>23</v>
      </c>
      <c r="B246" t="s">
        <v>4</v>
      </c>
      <c r="C246">
        <v>15.304375615329599</v>
      </c>
      <c r="D246">
        <v>13</v>
      </c>
      <c r="G246">
        <v>34</v>
      </c>
      <c r="H246" t="s">
        <v>28</v>
      </c>
      <c r="I246">
        <v>112</v>
      </c>
      <c r="J246">
        <v>112</v>
      </c>
      <c r="K246">
        <v>11.3660714285714</v>
      </c>
      <c r="L246">
        <v>20.837832476480301</v>
      </c>
      <c r="M246">
        <v>16.297614021400999</v>
      </c>
      <c r="N246">
        <v>116.765241881347</v>
      </c>
      <c r="O246">
        <v>0</v>
      </c>
      <c r="P246">
        <v>0</v>
      </c>
      <c r="Q246">
        <v>263.34402399999999</v>
      </c>
      <c r="R246">
        <v>249.73258364199901</v>
      </c>
    </row>
    <row r="247" spans="1:18" x14ac:dyDescent="0.3">
      <c r="A247">
        <v>23</v>
      </c>
      <c r="B247" t="s">
        <v>5</v>
      </c>
      <c r="C247">
        <v>19.599373242727999</v>
      </c>
      <c r="D247">
        <v>13</v>
      </c>
      <c r="G247">
        <v>35</v>
      </c>
      <c r="H247" t="s">
        <v>25</v>
      </c>
      <c r="I247">
        <v>102</v>
      </c>
      <c r="J247">
        <v>94</v>
      </c>
      <c r="K247">
        <v>9.5784313725490193</v>
      </c>
      <c r="L247">
        <v>20.291880016770602</v>
      </c>
      <c r="M247">
        <v>16.348354121460499</v>
      </c>
      <c r="N247">
        <v>107.45242551059501</v>
      </c>
      <c r="O247">
        <v>0</v>
      </c>
      <c r="P247">
        <v>0</v>
      </c>
      <c r="Q247">
        <v>245.65993399999999</v>
      </c>
      <c r="R247">
        <v>222.570292934999</v>
      </c>
    </row>
    <row r="248" spans="1:18" x14ac:dyDescent="0.3">
      <c r="A248">
        <v>23</v>
      </c>
      <c r="B248" t="s">
        <v>6</v>
      </c>
      <c r="C248">
        <v>64.312849017045806</v>
      </c>
      <c r="D248">
        <v>13</v>
      </c>
      <c r="G248">
        <v>35</v>
      </c>
      <c r="H248" t="s">
        <v>26</v>
      </c>
      <c r="I248">
        <v>94</v>
      </c>
      <c r="J248">
        <v>94</v>
      </c>
      <c r="K248">
        <v>8.9361702127659495</v>
      </c>
      <c r="L248">
        <v>20.253108151984701</v>
      </c>
      <c r="M248">
        <v>16.348354121460499</v>
      </c>
      <c r="N248">
        <v>99.641939613911305</v>
      </c>
      <c r="O248">
        <v>0</v>
      </c>
      <c r="P248">
        <v>0</v>
      </c>
      <c r="Q248">
        <v>249.168046</v>
      </c>
      <c r="R248">
        <v>229.75595964799899</v>
      </c>
    </row>
    <row r="249" spans="1:18" x14ac:dyDescent="0.3">
      <c r="A249">
        <v>23</v>
      </c>
      <c r="B249" t="s">
        <v>7</v>
      </c>
      <c r="C249">
        <v>66.163404369514097</v>
      </c>
      <c r="D249">
        <v>13</v>
      </c>
      <c r="G249">
        <v>35</v>
      </c>
      <c r="H249" t="s">
        <v>27</v>
      </c>
      <c r="I249">
        <v>112</v>
      </c>
      <c r="J249">
        <v>104</v>
      </c>
      <c r="K249">
        <v>9.52678571428571</v>
      </c>
      <c r="L249">
        <v>21.7356265572189</v>
      </c>
      <c r="M249">
        <v>16.348354121460499</v>
      </c>
      <c r="N249">
        <v>118.143125817156</v>
      </c>
      <c r="O249">
        <v>0</v>
      </c>
      <c r="P249">
        <v>0</v>
      </c>
      <c r="Q249">
        <v>278.07567099999898</v>
      </c>
      <c r="R249">
        <v>262.074165587999</v>
      </c>
    </row>
    <row r="250" spans="1:18" x14ac:dyDescent="0.3">
      <c r="A250">
        <v>23</v>
      </c>
      <c r="B250" t="s">
        <v>8</v>
      </c>
      <c r="C250">
        <v>78.801795677965799</v>
      </c>
      <c r="D250">
        <v>13</v>
      </c>
      <c r="G250">
        <v>35</v>
      </c>
      <c r="H250" t="s">
        <v>28</v>
      </c>
      <c r="I250">
        <v>111</v>
      </c>
      <c r="J250">
        <v>111</v>
      </c>
      <c r="K250">
        <v>11.306306306306301</v>
      </c>
      <c r="L250">
        <v>20.512095491638</v>
      </c>
      <c r="M250">
        <v>16.348354121460499</v>
      </c>
      <c r="N250">
        <v>116.168070337773</v>
      </c>
      <c r="O250">
        <v>0</v>
      </c>
      <c r="P250">
        <v>0</v>
      </c>
      <c r="Q250">
        <v>257.896748</v>
      </c>
      <c r="R250">
        <v>244.73450056399901</v>
      </c>
    </row>
    <row r="251" spans="1:18" x14ac:dyDescent="0.3">
      <c r="A251">
        <v>23</v>
      </c>
      <c r="B251" t="s">
        <v>9</v>
      </c>
      <c r="C251">
        <v>81.302159140766904</v>
      </c>
      <c r="D251">
        <v>13</v>
      </c>
      <c r="G251">
        <v>36</v>
      </c>
      <c r="H251" t="s">
        <v>25</v>
      </c>
      <c r="I251">
        <v>95</v>
      </c>
      <c r="J251">
        <v>95</v>
      </c>
      <c r="K251">
        <v>10.5473684210526</v>
      </c>
      <c r="L251">
        <v>18.8715978322323</v>
      </c>
      <c r="M251">
        <v>17.2199173968034</v>
      </c>
      <c r="N251">
        <v>111.202273522844</v>
      </c>
      <c r="O251">
        <v>0</v>
      </c>
      <c r="P251">
        <v>0</v>
      </c>
      <c r="Q251">
        <v>223.388262</v>
      </c>
      <c r="R251">
        <v>209.30826372599901</v>
      </c>
    </row>
    <row r="252" spans="1:18" x14ac:dyDescent="0.3">
      <c r="A252">
        <v>23</v>
      </c>
      <c r="B252" t="s">
        <v>10</v>
      </c>
      <c r="C252">
        <v>117.986032293796</v>
      </c>
      <c r="D252">
        <v>12.8796296296296</v>
      </c>
      <c r="G252">
        <v>36</v>
      </c>
      <c r="H252" t="s">
        <v>26</v>
      </c>
      <c r="I252">
        <v>93</v>
      </c>
      <c r="J252">
        <v>90</v>
      </c>
      <c r="K252">
        <v>8.4086021505376305</v>
      </c>
      <c r="L252">
        <v>20.2605693943615</v>
      </c>
      <c r="M252">
        <v>17.2199173968034</v>
      </c>
      <c r="N252">
        <v>117.374832833119</v>
      </c>
      <c r="O252">
        <v>0</v>
      </c>
      <c r="P252">
        <v>0</v>
      </c>
      <c r="Q252">
        <v>261.25220299999899</v>
      </c>
      <c r="R252">
        <v>242.28868226699899</v>
      </c>
    </row>
    <row r="253" spans="1:18" x14ac:dyDescent="0.3">
      <c r="A253">
        <v>23</v>
      </c>
      <c r="B253" t="s">
        <v>11</v>
      </c>
      <c r="C253">
        <v>274.82384025150202</v>
      </c>
      <c r="D253">
        <v>13.317365269461</v>
      </c>
      <c r="G253">
        <v>36</v>
      </c>
      <c r="H253" t="s">
        <v>27</v>
      </c>
      <c r="I253">
        <v>82</v>
      </c>
      <c r="J253">
        <v>82</v>
      </c>
      <c r="K253">
        <v>9.7560975609756095</v>
      </c>
      <c r="L253">
        <v>19.883308598580101</v>
      </c>
      <c r="M253">
        <v>17.2199173968034</v>
      </c>
      <c r="N253">
        <v>98.510788297448997</v>
      </c>
      <c r="O253">
        <v>0</v>
      </c>
      <c r="P253">
        <v>0</v>
      </c>
      <c r="Q253">
        <v>283.15730200000002</v>
      </c>
      <c r="R253">
        <v>262.871943157999</v>
      </c>
    </row>
    <row r="254" spans="1:18" x14ac:dyDescent="0.3">
      <c r="A254">
        <v>23</v>
      </c>
      <c r="B254" t="s">
        <v>12</v>
      </c>
      <c r="C254">
        <v>354.75444009431902</v>
      </c>
      <c r="D254">
        <v>14</v>
      </c>
      <c r="G254">
        <v>36</v>
      </c>
      <c r="H254" t="s">
        <v>28</v>
      </c>
      <c r="I254">
        <v>100</v>
      </c>
      <c r="J254">
        <v>100</v>
      </c>
      <c r="K254">
        <v>10.87</v>
      </c>
      <c r="L254">
        <v>20.037936833333401</v>
      </c>
      <c r="M254">
        <v>17.2199173968034</v>
      </c>
      <c r="N254">
        <v>116.795555519581</v>
      </c>
      <c r="O254">
        <v>0</v>
      </c>
      <c r="P254">
        <v>0</v>
      </c>
      <c r="Q254">
        <v>258.75201099999998</v>
      </c>
      <c r="R254">
        <v>246.41016872799901</v>
      </c>
    </row>
    <row r="255" spans="1:18" x14ac:dyDescent="0.3">
      <c r="A255">
        <v>23</v>
      </c>
      <c r="B255" t="s">
        <v>13</v>
      </c>
      <c r="C255">
        <v>351.919166636032</v>
      </c>
      <c r="D255">
        <v>14</v>
      </c>
      <c r="G255">
        <v>36</v>
      </c>
      <c r="H255" t="s">
        <v>29</v>
      </c>
      <c r="I255">
        <v>101</v>
      </c>
      <c r="J255">
        <v>101</v>
      </c>
      <c r="K255">
        <v>11.1485148514851</v>
      </c>
      <c r="L255">
        <v>19.823386406434398</v>
      </c>
      <c r="M255">
        <v>17.2199173968034</v>
      </c>
      <c r="N255">
        <v>117.64201426681601</v>
      </c>
      <c r="O255">
        <v>0</v>
      </c>
      <c r="P255">
        <v>0</v>
      </c>
      <c r="Q255">
        <v>266.53743200000002</v>
      </c>
      <c r="R255">
        <v>254.13772754600001</v>
      </c>
    </row>
    <row r="256" spans="1:18" x14ac:dyDescent="0.3">
      <c r="A256">
        <v>24</v>
      </c>
      <c r="B256" t="s">
        <v>3</v>
      </c>
      <c r="C256">
        <v>15.3197976373809</v>
      </c>
      <c r="D256">
        <v>13</v>
      </c>
      <c r="G256">
        <v>36</v>
      </c>
      <c r="H256" t="s">
        <v>30</v>
      </c>
      <c r="I256">
        <v>94</v>
      </c>
      <c r="J256">
        <v>91</v>
      </c>
      <c r="K256">
        <v>8.6702127659574408</v>
      </c>
      <c r="L256">
        <v>20.499730434800401</v>
      </c>
      <c r="M256">
        <v>17.2199173968034</v>
      </c>
      <c r="N256">
        <v>118.92706262230099</v>
      </c>
      <c r="O256">
        <v>0</v>
      </c>
      <c r="P256">
        <v>0</v>
      </c>
      <c r="Q256">
        <v>276.53891599999997</v>
      </c>
      <c r="R256">
        <v>256.52294294099897</v>
      </c>
    </row>
    <row r="257" spans="1:18" x14ac:dyDescent="0.3">
      <c r="A257">
        <v>24</v>
      </c>
      <c r="B257" t="s">
        <v>4</v>
      </c>
      <c r="C257">
        <v>15.3218522955172</v>
      </c>
      <c r="D257">
        <v>13</v>
      </c>
      <c r="G257">
        <v>36</v>
      </c>
      <c r="H257" t="s">
        <v>31</v>
      </c>
      <c r="I257">
        <v>75</v>
      </c>
      <c r="J257">
        <v>75</v>
      </c>
      <c r="K257">
        <v>9.0666666666666593</v>
      </c>
      <c r="L257">
        <v>18.782460680845599</v>
      </c>
      <c r="M257">
        <v>17.2199173968034</v>
      </c>
      <c r="N257">
        <v>98.232640086804295</v>
      </c>
      <c r="O257">
        <v>0</v>
      </c>
      <c r="P257">
        <v>0</v>
      </c>
      <c r="Q257">
        <v>269.71474799999999</v>
      </c>
      <c r="R257">
        <v>251.13977757699899</v>
      </c>
    </row>
    <row r="258" spans="1:18" x14ac:dyDescent="0.3">
      <c r="A258">
        <v>24</v>
      </c>
      <c r="B258" t="s">
        <v>5</v>
      </c>
      <c r="C258">
        <v>19.6048895899381</v>
      </c>
      <c r="D258">
        <v>13</v>
      </c>
      <c r="G258">
        <v>36</v>
      </c>
      <c r="H258" t="s">
        <v>32</v>
      </c>
      <c r="I258">
        <v>94</v>
      </c>
      <c r="J258">
        <v>94</v>
      </c>
      <c r="K258">
        <v>10.0744680851063</v>
      </c>
      <c r="L258">
        <v>19.3348608793072</v>
      </c>
      <c r="M258">
        <v>17.2199173968034</v>
      </c>
      <c r="N258">
        <v>116.750537484864</v>
      </c>
      <c r="O258">
        <v>0</v>
      </c>
      <c r="P258">
        <v>0</v>
      </c>
      <c r="Q258">
        <v>260.034629</v>
      </c>
      <c r="R258">
        <v>248.491935691999</v>
      </c>
    </row>
    <row r="259" spans="1:18" x14ac:dyDescent="0.3">
      <c r="A259">
        <v>24</v>
      </c>
      <c r="B259" t="s">
        <v>6</v>
      </c>
      <c r="C259">
        <v>64.055147413041496</v>
      </c>
      <c r="D259">
        <v>13</v>
      </c>
      <c r="G259">
        <v>37</v>
      </c>
      <c r="H259" t="s">
        <v>25</v>
      </c>
      <c r="I259">
        <v>95</v>
      </c>
      <c r="J259">
        <v>95</v>
      </c>
      <c r="K259">
        <v>10.5473684210526</v>
      </c>
      <c r="L259">
        <v>18.990991662757999</v>
      </c>
      <c r="M259">
        <v>17.246718745243101</v>
      </c>
      <c r="N259">
        <v>111.60206450254501</v>
      </c>
      <c r="O259">
        <v>0</v>
      </c>
      <c r="P259">
        <v>0</v>
      </c>
      <c r="Q259">
        <v>228.54020800000001</v>
      </c>
      <c r="R259">
        <v>214.18428186399899</v>
      </c>
    </row>
    <row r="260" spans="1:18" x14ac:dyDescent="0.3">
      <c r="A260">
        <v>24</v>
      </c>
      <c r="B260" t="s">
        <v>7</v>
      </c>
      <c r="C260">
        <v>65.243144458151093</v>
      </c>
      <c r="D260">
        <v>13</v>
      </c>
      <c r="G260">
        <v>37</v>
      </c>
      <c r="H260" t="s">
        <v>26</v>
      </c>
      <c r="I260">
        <v>94</v>
      </c>
      <c r="J260">
        <v>91</v>
      </c>
      <c r="K260">
        <v>8.4468085106382897</v>
      </c>
      <c r="L260">
        <v>20.505946945715898</v>
      </c>
      <c r="M260">
        <v>17.246718745243101</v>
      </c>
      <c r="N260">
        <v>118.70577617007299</v>
      </c>
      <c r="O260">
        <v>0</v>
      </c>
      <c r="P260">
        <v>0</v>
      </c>
      <c r="Q260">
        <v>270.621793999999</v>
      </c>
      <c r="R260">
        <v>252.57140347499899</v>
      </c>
    </row>
    <row r="261" spans="1:18" x14ac:dyDescent="0.3">
      <c r="A261">
        <v>24</v>
      </c>
      <c r="B261" t="s">
        <v>8</v>
      </c>
      <c r="C261">
        <v>78.812174152595304</v>
      </c>
      <c r="D261">
        <v>13</v>
      </c>
      <c r="G261">
        <v>37</v>
      </c>
      <c r="H261" t="s">
        <v>27</v>
      </c>
      <c r="I261">
        <v>83</v>
      </c>
      <c r="J261">
        <v>83</v>
      </c>
      <c r="K261">
        <v>9.7831325301204792</v>
      </c>
      <c r="L261">
        <v>20.207905410397299</v>
      </c>
      <c r="M261">
        <v>17.246718745243101</v>
      </c>
      <c r="N261">
        <v>99.491749949229003</v>
      </c>
      <c r="O261">
        <v>0</v>
      </c>
      <c r="P261">
        <v>0</v>
      </c>
      <c r="Q261">
        <v>289.31320499999998</v>
      </c>
      <c r="R261">
        <v>268.621312146999</v>
      </c>
    </row>
    <row r="262" spans="1:18" x14ac:dyDescent="0.3">
      <c r="A262">
        <v>24</v>
      </c>
      <c r="B262" t="s">
        <v>9</v>
      </c>
      <c r="C262">
        <v>80.875996154607094</v>
      </c>
      <c r="D262">
        <v>13</v>
      </c>
      <c r="G262">
        <v>37</v>
      </c>
      <c r="H262" t="s">
        <v>28</v>
      </c>
      <c r="I262">
        <v>100</v>
      </c>
      <c r="J262">
        <v>100</v>
      </c>
      <c r="K262">
        <v>10.87</v>
      </c>
      <c r="L262">
        <v>19.7103887549655</v>
      </c>
      <c r="M262">
        <v>17.246718745243101</v>
      </c>
      <c r="N262">
        <v>117.005369782827</v>
      </c>
      <c r="O262">
        <v>0</v>
      </c>
      <c r="P262">
        <v>0</v>
      </c>
      <c r="Q262">
        <v>248.56340800000001</v>
      </c>
      <c r="R262">
        <v>236.483081524</v>
      </c>
    </row>
    <row r="263" spans="1:18" x14ac:dyDescent="0.3">
      <c r="A263">
        <v>24</v>
      </c>
      <c r="B263" t="s">
        <v>10</v>
      </c>
      <c r="C263">
        <v>117.581895361153</v>
      </c>
      <c r="D263">
        <v>12.8796296296296</v>
      </c>
      <c r="G263">
        <v>37</v>
      </c>
      <c r="H263" t="s">
        <v>29</v>
      </c>
      <c r="I263">
        <v>100</v>
      </c>
      <c r="J263">
        <v>100</v>
      </c>
      <c r="K263">
        <v>10.87</v>
      </c>
      <c r="L263">
        <v>19.797519652905098</v>
      </c>
      <c r="M263">
        <v>17.246718745243101</v>
      </c>
      <c r="N263">
        <v>116.009362861385</v>
      </c>
      <c r="O263">
        <v>0</v>
      </c>
      <c r="P263">
        <v>0</v>
      </c>
      <c r="Q263">
        <v>266.25892800000003</v>
      </c>
      <c r="R263">
        <v>253.472610293999</v>
      </c>
    </row>
    <row r="264" spans="1:18" x14ac:dyDescent="0.3">
      <c r="A264">
        <v>24</v>
      </c>
      <c r="B264" t="s">
        <v>11</v>
      </c>
      <c r="C264">
        <v>274.56990561944502</v>
      </c>
      <c r="D264">
        <v>13.2634730538922</v>
      </c>
      <c r="G264">
        <v>37</v>
      </c>
      <c r="H264" t="s">
        <v>30</v>
      </c>
      <c r="I264">
        <v>95</v>
      </c>
      <c r="J264">
        <v>92</v>
      </c>
      <c r="K264">
        <v>8.7157894736842092</v>
      </c>
      <c r="L264">
        <v>20.559310704020501</v>
      </c>
      <c r="M264">
        <v>17.246718745243101</v>
      </c>
      <c r="N264">
        <v>119.24942815789601</v>
      </c>
      <c r="O264">
        <v>0</v>
      </c>
      <c r="P264">
        <v>0</v>
      </c>
      <c r="Q264">
        <v>282.46823000000001</v>
      </c>
      <c r="R264">
        <v>261.93346475999903</v>
      </c>
    </row>
    <row r="265" spans="1:18" x14ac:dyDescent="0.3">
      <c r="A265">
        <v>24</v>
      </c>
      <c r="B265" t="s">
        <v>12</v>
      </c>
      <c r="C265">
        <v>355.77093043618203</v>
      </c>
      <c r="D265">
        <v>14</v>
      </c>
      <c r="G265">
        <v>37</v>
      </c>
      <c r="H265" t="s">
        <v>31</v>
      </c>
      <c r="I265">
        <v>86</v>
      </c>
      <c r="J265">
        <v>83</v>
      </c>
      <c r="K265">
        <v>8.6976744186046506</v>
      </c>
      <c r="L265">
        <v>21.598777020020101</v>
      </c>
      <c r="M265">
        <v>17.246718745243101</v>
      </c>
      <c r="N265">
        <v>116.801253119832</v>
      </c>
      <c r="O265">
        <v>0</v>
      </c>
      <c r="P265">
        <v>0</v>
      </c>
      <c r="Q265">
        <v>293.22097400000001</v>
      </c>
      <c r="R265">
        <v>272.53581533999898</v>
      </c>
    </row>
    <row r="266" spans="1:18" x14ac:dyDescent="0.3">
      <c r="A266">
        <v>24</v>
      </c>
      <c r="B266" t="s">
        <v>13</v>
      </c>
      <c r="C266">
        <v>351.99149751633701</v>
      </c>
      <c r="D266">
        <v>14</v>
      </c>
      <c r="G266">
        <v>37</v>
      </c>
      <c r="H266" t="s">
        <v>32</v>
      </c>
      <c r="I266">
        <v>92</v>
      </c>
      <c r="J266">
        <v>92</v>
      </c>
      <c r="K266">
        <v>9.9130434782608692</v>
      </c>
      <c r="L266">
        <v>19.060429067408599</v>
      </c>
      <c r="M266">
        <v>17.246718745243101</v>
      </c>
      <c r="N266">
        <v>115.21108895409699</v>
      </c>
      <c r="O266">
        <v>0</v>
      </c>
      <c r="P266">
        <v>0</v>
      </c>
      <c r="Q266">
        <v>254.72377900000001</v>
      </c>
      <c r="R266">
        <v>242.96633417199899</v>
      </c>
    </row>
    <row r="267" spans="1:18" x14ac:dyDescent="0.3">
      <c r="A267">
        <v>25</v>
      </c>
      <c r="B267" t="s">
        <v>3</v>
      </c>
      <c r="C267">
        <v>15.364277195091301</v>
      </c>
      <c r="D267">
        <v>13</v>
      </c>
      <c r="G267">
        <v>38</v>
      </c>
      <c r="H267" t="s">
        <v>25</v>
      </c>
      <c r="I267">
        <v>94</v>
      </c>
      <c r="J267">
        <v>94</v>
      </c>
      <c r="K267">
        <v>10.531914893617</v>
      </c>
      <c r="L267">
        <v>18.7358943301975</v>
      </c>
      <c r="M267">
        <v>16.897369070324999</v>
      </c>
      <c r="N267">
        <v>110.59440353875399</v>
      </c>
      <c r="O267">
        <v>0</v>
      </c>
      <c r="P267">
        <v>0</v>
      </c>
      <c r="Q267">
        <v>221.802437</v>
      </c>
      <c r="R267">
        <v>207.21228776599901</v>
      </c>
    </row>
    <row r="268" spans="1:18" x14ac:dyDescent="0.3">
      <c r="A268">
        <v>25</v>
      </c>
      <c r="B268" t="s">
        <v>4</v>
      </c>
      <c r="C268">
        <v>15.530890351869999</v>
      </c>
      <c r="D268">
        <v>13</v>
      </c>
      <c r="G268">
        <v>38</v>
      </c>
      <c r="H268" t="s">
        <v>26</v>
      </c>
      <c r="I268">
        <v>92</v>
      </c>
      <c r="J268">
        <v>91</v>
      </c>
      <c r="K268">
        <v>8.3695652173912993</v>
      </c>
      <c r="L268">
        <v>20.0280276986838</v>
      </c>
      <c r="M268">
        <v>16.897369070324999</v>
      </c>
      <c r="N268">
        <v>115.13016607261901</v>
      </c>
      <c r="O268">
        <v>0</v>
      </c>
      <c r="P268">
        <v>0</v>
      </c>
      <c r="Q268">
        <v>251.001735999999</v>
      </c>
      <c r="R268">
        <v>232.342787950999</v>
      </c>
    </row>
    <row r="269" spans="1:18" x14ac:dyDescent="0.3">
      <c r="A269">
        <v>25</v>
      </c>
      <c r="B269" t="s">
        <v>5</v>
      </c>
      <c r="C269">
        <v>19.728321873550801</v>
      </c>
      <c r="D269">
        <v>13</v>
      </c>
      <c r="G269">
        <v>38</v>
      </c>
      <c r="H269" t="s">
        <v>27</v>
      </c>
      <c r="I269">
        <v>83</v>
      </c>
      <c r="J269">
        <v>83</v>
      </c>
      <c r="K269">
        <v>9.7831325301204792</v>
      </c>
      <c r="L269">
        <v>19.798583522401898</v>
      </c>
      <c r="M269">
        <v>16.897369070324999</v>
      </c>
      <c r="N269">
        <v>100.228130722378</v>
      </c>
      <c r="O269">
        <v>0</v>
      </c>
      <c r="P269">
        <v>0</v>
      </c>
      <c r="Q269">
        <v>282.93158299999999</v>
      </c>
      <c r="R269">
        <v>262.32842067599898</v>
      </c>
    </row>
    <row r="270" spans="1:18" x14ac:dyDescent="0.3">
      <c r="A270">
        <v>25</v>
      </c>
      <c r="B270" t="s">
        <v>6</v>
      </c>
      <c r="C270">
        <v>64.700705795140095</v>
      </c>
      <c r="D270">
        <v>13</v>
      </c>
      <c r="G270">
        <v>38</v>
      </c>
      <c r="H270" t="s">
        <v>28</v>
      </c>
      <c r="I270">
        <v>101</v>
      </c>
      <c r="J270">
        <v>98</v>
      </c>
      <c r="K270">
        <v>10.7722772277227</v>
      </c>
      <c r="L270">
        <v>20.880285000118501</v>
      </c>
      <c r="M270">
        <v>16.897369070324999</v>
      </c>
      <c r="N270">
        <v>119.305233303287</v>
      </c>
      <c r="O270">
        <v>0</v>
      </c>
      <c r="P270">
        <v>0</v>
      </c>
      <c r="Q270">
        <v>266.48837500000002</v>
      </c>
      <c r="R270">
        <v>250.01584553499899</v>
      </c>
    </row>
    <row r="271" spans="1:18" x14ac:dyDescent="0.3">
      <c r="A271">
        <v>25</v>
      </c>
      <c r="B271" t="s">
        <v>7</v>
      </c>
      <c r="C271">
        <v>66.413081404711306</v>
      </c>
      <c r="D271">
        <v>13</v>
      </c>
      <c r="G271">
        <v>38</v>
      </c>
      <c r="H271" t="s">
        <v>29</v>
      </c>
      <c r="I271">
        <v>100</v>
      </c>
      <c r="J271">
        <v>100</v>
      </c>
      <c r="K271">
        <v>10.87</v>
      </c>
      <c r="L271">
        <v>19.769052393820601</v>
      </c>
      <c r="M271">
        <v>16.897369070324999</v>
      </c>
      <c r="N271">
        <v>116.483504142028</v>
      </c>
      <c r="O271">
        <v>0</v>
      </c>
      <c r="P271">
        <v>0</v>
      </c>
      <c r="Q271">
        <v>269.90985999999998</v>
      </c>
      <c r="R271">
        <v>256.93240310499903</v>
      </c>
    </row>
    <row r="272" spans="1:18" x14ac:dyDescent="0.3">
      <c r="A272">
        <v>25</v>
      </c>
      <c r="B272" t="s">
        <v>8</v>
      </c>
      <c r="C272">
        <v>78.392015192410895</v>
      </c>
      <c r="D272">
        <v>13</v>
      </c>
      <c r="G272">
        <v>38</v>
      </c>
      <c r="H272" t="s">
        <v>30</v>
      </c>
      <c r="I272">
        <v>96</v>
      </c>
      <c r="J272">
        <v>93</v>
      </c>
      <c r="K272">
        <v>8.75</v>
      </c>
      <c r="L272">
        <v>20.687861425158498</v>
      </c>
      <c r="M272">
        <v>16.897369070324999</v>
      </c>
      <c r="N272">
        <v>119.968499564982</v>
      </c>
      <c r="O272">
        <v>0</v>
      </c>
      <c r="P272">
        <v>0</v>
      </c>
      <c r="Q272">
        <v>285.74740500000001</v>
      </c>
      <c r="R272">
        <v>265.42149852999898</v>
      </c>
    </row>
    <row r="273" spans="1:18" x14ac:dyDescent="0.3">
      <c r="A273">
        <v>25</v>
      </c>
      <c r="B273" t="s">
        <v>9</v>
      </c>
      <c r="C273">
        <v>82.2154404821583</v>
      </c>
      <c r="D273">
        <v>13</v>
      </c>
      <c r="G273">
        <v>38</v>
      </c>
      <c r="H273" t="s">
        <v>31</v>
      </c>
      <c r="I273">
        <v>74</v>
      </c>
      <c r="J273">
        <v>74</v>
      </c>
      <c r="K273">
        <v>9.0540540540540508</v>
      </c>
      <c r="L273">
        <v>18.870604735495998</v>
      </c>
      <c r="M273">
        <v>16.897369070324999</v>
      </c>
      <c r="N273">
        <v>96.898489226420494</v>
      </c>
      <c r="O273">
        <v>0</v>
      </c>
      <c r="P273">
        <v>0</v>
      </c>
      <c r="Q273">
        <v>265.13805400000001</v>
      </c>
      <c r="R273">
        <v>246.80506129999901</v>
      </c>
    </row>
    <row r="274" spans="1:18" x14ac:dyDescent="0.3">
      <c r="A274">
        <v>25</v>
      </c>
      <c r="B274" t="s">
        <v>10</v>
      </c>
      <c r="C274">
        <v>116.539206575815</v>
      </c>
      <c r="D274">
        <v>12.8796296296296</v>
      </c>
      <c r="G274">
        <v>38</v>
      </c>
      <c r="H274" t="s">
        <v>32</v>
      </c>
      <c r="I274">
        <v>94</v>
      </c>
      <c r="J274">
        <v>94</v>
      </c>
      <c r="K274">
        <v>10.0744680851063</v>
      </c>
      <c r="L274">
        <v>19.208071850165901</v>
      </c>
      <c r="M274">
        <v>16.897369070324999</v>
      </c>
      <c r="N274">
        <v>116.95213415675499</v>
      </c>
      <c r="O274">
        <v>0</v>
      </c>
      <c r="P274">
        <v>0</v>
      </c>
      <c r="Q274">
        <v>272.91939500000001</v>
      </c>
      <c r="R274">
        <v>261.50687563999998</v>
      </c>
    </row>
    <row r="275" spans="1:18" x14ac:dyDescent="0.3">
      <c r="A275">
        <v>25</v>
      </c>
      <c r="B275" t="s">
        <v>11</v>
      </c>
      <c r="C275">
        <v>273.93259045571602</v>
      </c>
      <c r="D275">
        <v>13.317365269461</v>
      </c>
      <c r="G275">
        <v>39</v>
      </c>
      <c r="H275" t="s">
        <v>25</v>
      </c>
      <c r="I275">
        <v>96</v>
      </c>
      <c r="J275">
        <v>96</v>
      </c>
      <c r="K275">
        <v>10.6458333333333</v>
      </c>
      <c r="L275">
        <v>19.138007433219201</v>
      </c>
      <c r="M275">
        <v>17.355507781478501</v>
      </c>
      <c r="N275">
        <v>112.47866881512699</v>
      </c>
      <c r="O275">
        <v>0</v>
      </c>
      <c r="P275">
        <v>0</v>
      </c>
      <c r="Q275">
        <v>235.651602</v>
      </c>
      <c r="R275">
        <v>221.00614940099899</v>
      </c>
    </row>
    <row r="276" spans="1:18" x14ac:dyDescent="0.3">
      <c r="A276">
        <v>25</v>
      </c>
      <c r="B276" t="s">
        <v>12</v>
      </c>
      <c r="C276">
        <v>352.676968464423</v>
      </c>
      <c r="D276">
        <v>14</v>
      </c>
      <c r="G276">
        <v>39</v>
      </c>
      <c r="H276" t="s">
        <v>26</v>
      </c>
      <c r="I276">
        <v>94</v>
      </c>
      <c r="J276">
        <v>91</v>
      </c>
      <c r="K276">
        <v>8.4468085106382897</v>
      </c>
      <c r="L276">
        <v>20.467012774832799</v>
      </c>
      <c r="M276">
        <v>17.355507781478501</v>
      </c>
      <c r="N276">
        <v>118.545045080035</v>
      </c>
      <c r="O276">
        <v>0</v>
      </c>
      <c r="P276">
        <v>0</v>
      </c>
      <c r="Q276">
        <v>270.38524499999897</v>
      </c>
      <c r="R276">
        <v>252.25972108299899</v>
      </c>
    </row>
    <row r="277" spans="1:18" x14ac:dyDescent="0.3">
      <c r="A277">
        <v>25</v>
      </c>
      <c r="B277" t="s">
        <v>13</v>
      </c>
      <c r="C277">
        <v>351.76423973949301</v>
      </c>
      <c r="D277">
        <v>14</v>
      </c>
      <c r="G277">
        <v>39</v>
      </c>
      <c r="H277" t="s">
        <v>27</v>
      </c>
      <c r="I277">
        <v>83</v>
      </c>
      <c r="J277">
        <v>83</v>
      </c>
      <c r="K277">
        <v>9.7831325301204792</v>
      </c>
      <c r="L277">
        <v>20.0605350687906</v>
      </c>
      <c r="M277">
        <v>17.355507781478501</v>
      </c>
      <c r="N277">
        <v>99.469646391495601</v>
      </c>
      <c r="O277">
        <v>0</v>
      </c>
      <c r="P277">
        <v>0</v>
      </c>
      <c r="Q277">
        <v>282.24065100000001</v>
      </c>
      <c r="R277">
        <v>261.87317819200001</v>
      </c>
    </row>
    <row r="278" spans="1:18" x14ac:dyDescent="0.3">
      <c r="A278">
        <v>26</v>
      </c>
      <c r="B278" t="s">
        <v>3</v>
      </c>
      <c r="C278">
        <v>15.671640634286501</v>
      </c>
      <c r="D278">
        <v>13</v>
      </c>
      <c r="G278">
        <v>39</v>
      </c>
      <c r="H278" t="s">
        <v>28</v>
      </c>
      <c r="I278">
        <v>100</v>
      </c>
      <c r="J278">
        <v>100</v>
      </c>
      <c r="K278">
        <v>10.87</v>
      </c>
      <c r="L278">
        <v>19.684237135838401</v>
      </c>
      <c r="M278">
        <v>17.355507781478501</v>
      </c>
      <c r="N278">
        <v>117.334323368534</v>
      </c>
      <c r="O278">
        <v>0</v>
      </c>
      <c r="P278">
        <v>0</v>
      </c>
      <c r="Q278">
        <v>250.48226700000001</v>
      </c>
      <c r="R278">
        <v>238.10318901599899</v>
      </c>
    </row>
    <row r="279" spans="1:18" x14ac:dyDescent="0.3">
      <c r="A279">
        <v>26</v>
      </c>
      <c r="B279" t="s">
        <v>4</v>
      </c>
      <c r="C279">
        <v>15.0484333084455</v>
      </c>
      <c r="D279">
        <v>13</v>
      </c>
      <c r="G279">
        <v>39</v>
      </c>
      <c r="H279" t="s">
        <v>29</v>
      </c>
      <c r="I279">
        <v>99</v>
      </c>
      <c r="J279">
        <v>99</v>
      </c>
      <c r="K279">
        <v>10.858585858585799</v>
      </c>
      <c r="L279">
        <v>19.6103635019164</v>
      </c>
      <c r="M279">
        <v>17.355507781478501</v>
      </c>
      <c r="N279">
        <v>116.175835761844</v>
      </c>
      <c r="O279">
        <v>0</v>
      </c>
      <c r="P279">
        <v>0</v>
      </c>
      <c r="Q279">
        <v>250.09237899999999</v>
      </c>
      <c r="R279">
        <v>237.564521181999</v>
      </c>
    </row>
    <row r="280" spans="1:18" x14ac:dyDescent="0.3">
      <c r="A280">
        <v>26</v>
      </c>
      <c r="B280" t="s">
        <v>5</v>
      </c>
      <c r="C280">
        <v>19.611487553974101</v>
      </c>
      <c r="D280">
        <v>13</v>
      </c>
      <c r="G280">
        <v>39</v>
      </c>
      <c r="H280" t="s">
        <v>30</v>
      </c>
      <c r="I280">
        <v>96</v>
      </c>
      <c r="J280">
        <v>93</v>
      </c>
      <c r="K280">
        <v>8.75</v>
      </c>
      <c r="L280">
        <v>20.743779432205798</v>
      </c>
      <c r="M280">
        <v>17.355507781478501</v>
      </c>
      <c r="N280">
        <v>120.457089177855</v>
      </c>
      <c r="O280">
        <v>0</v>
      </c>
      <c r="P280">
        <v>0</v>
      </c>
      <c r="Q280">
        <v>283.61234899999999</v>
      </c>
      <c r="R280">
        <v>264.03228364199902</v>
      </c>
    </row>
    <row r="281" spans="1:18" x14ac:dyDescent="0.3">
      <c r="A281">
        <v>26</v>
      </c>
      <c r="B281" t="s">
        <v>6</v>
      </c>
      <c r="C281">
        <v>65.519670031027005</v>
      </c>
      <c r="D281">
        <v>13</v>
      </c>
      <c r="G281">
        <v>39</v>
      </c>
      <c r="H281" t="s">
        <v>31</v>
      </c>
      <c r="I281">
        <v>85</v>
      </c>
      <c r="J281">
        <v>82</v>
      </c>
      <c r="K281">
        <v>8.6588235294117606</v>
      </c>
      <c r="L281">
        <v>21.1170854414414</v>
      </c>
      <c r="M281">
        <v>17.355507781478501</v>
      </c>
      <c r="N281">
        <v>115.436127332617</v>
      </c>
      <c r="O281">
        <v>0</v>
      </c>
      <c r="P281">
        <v>0</v>
      </c>
      <c r="Q281">
        <v>292.12192900000002</v>
      </c>
      <c r="R281">
        <v>271.41698752999901</v>
      </c>
    </row>
    <row r="282" spans="1:18" x14ac:dyDescent="0.3">
      <c r="A282">
        <v>26</v>
      </c>
      <c r="B282" t="s">
        <v>7</v>
      </c>
      <c r="C282">
        <v>65.836854263637605</v>
      </c>
      <c r="D282">
        <v>13</v>
      </c>
      <c r="G282">
        <v>39</v>
      </c>
      <c r="H282" t="s">
        <v>32</v>
      </c>
      <c r="I282">
        <v>105</v>
      </c>
      <c r="J282">
        <v>102</v>
      </c>
      <c r="K282">
        <v>9.5428571428571392</v>
      </c>
      <c r="L282">
        <v>21.746923235985498</v>
      </c>
      <c r="M282">
        <v>17.355507781478501</v>
      </c>
      <c r="N282">
        <v>137.30068427232899</v>
      </c>
      <c r="O282">
        <v>0</v>
      </c>
      <c r="P282">
        <v>0</v>
      </c>
      <c r="Q282">
        <v>302.91860300000002</v>
      </c>
      <c r="R282">
        <v>288.929918429</v>
      </c>
    </row>
    <row r="283" spans="1:18" x14ac:dyDescent="0.3">
      <c r="A283">
        <v>26</v>
      </c>
      <c r="B283" t="s">
        <v>8</v>
      </c>
      <c r="C283">
        <v>79.349834817431002</v>
      </c>
      <c r="D283">
        <v>13.054794520547899</v>
      </c>
      <c r="G283">
        <v>40</v>
      </c>
      <c r="H283" t="s">
        <v>25</v>
      </c>
      <c r="I283">
        <v>95</v>
      </c>
      <c r="J283">
        <v>95</v>
      </c>
      <c r="K283">
        <v>10.5473684210526</v>
      </c>
      <c r="L283">
        <v>18.843466564004402</v>
      </c>
      <c r="M283">
        <v>17.228884331985199</v>
      </c>
      <c r="N283">
        <v>112.561765054204</v>
      </c>
      <c r="O283">
        <v>0</v>
      </c>
      <c r="P283">
        <v>0</v>
      </c>
      <c r="Q283">
        <v>222.91917000000001</v>
      </c>
      <c r="R283">
        <v>208.96375067999901</v>
      </c>
    </row>
    <row r="284" spans="1:18" x14ac:dyDescent="0.3">
      <c r="A284">
        <v>26</v>
      </c>
      <c r="B284" t="s">
        <v>9</v>
      </c>
      <c r="C284">
        <v>82.171782557061306</v>
      </c>
      <c r="D284">
        <v>14</v>
      </c>
      <c r="G284">
        <v>40</v>
      </c>
      <c r="H284" t="s">
        <v>26</v>
      </c>
      <c r="I284">
        <v>93</v>
      </c>
      <c r="J284">
        <v>90</v>
      </c>
      <c r="K284">
        <v>8.4086021505376305</v>
      </c>
      <c r="L284">
        <v>20.325405377927499</v>
      </c>
      <c r="M284">
        <v>17.228884331985199</v>
      </c>
      <c r="N284">
        <v>117.02339604071901</v>
      </c>
      <c r="O284">
        <v>0</v>
      </c>
      <c r="P284">
        <v>0</v>
      </c>
      <c r="Q284">
        <v>265.859071999999</v>
      </c>
      <c r="R284">
        <v>246.978474908999</v>
      </c>
    </row>
    <row r="285" spans="1:18" x14ac:dyDescent="0.3">
      <c r="A285">
        <v>26</v>
      </c>
      <c r="B285" t="s">
        <v>10</v>
      </c>
      <c r="C285">
        <v>115.687165599568</v>
      </c>
      <c r="D285">
        <v>14</v>
      </c>
      <c r="G285">
        <v>40</v>
      </c>
      <c r="H285" t="s">
        <v>27</v>
      </c>
      <c r="I285">
        <v>83</v>
      </c>
      <c r="J285">
        <v>83</v>
      </c>
      <c r="K285">
        <v>9.7831325301204792</v>
      </c>
      <c r="L285">
        <v>20.220064343650201</v>
      </c>
      <c r="M285">
        <v>17.228884331985199</v>
      </c>
      <c r="N285">
        <v>99.922114450422995</v>
      </c>
      <c r="O285">
        <v>0</v>
      </c>
      <c r="P285">
        <v>0</v>
      </c>
      <c r="Q285">
        <v>288.253332</v>
      </c>
      <c r="R285">
        <v>267.59650601799899</v>
      </c>
    </row>
    <row r="286" spans="1:18" x14ac:dyDescent="0.3">
      <c r="A286">
        <v>26</v>
      </c>
      <c r="B286" t="s">
        <v>11</v>
      </c>
      <c r="C286">
        <v>274.06567942205999</v>
      </c>
      <c r="D286">
        <v>0</v>
      </c>
      <c r="G286">
        <v>40</v>
      </c>
      <c r="H286" t="s">
        <v>28</v>
      </c>
      <c r="I286">
        <v>100</v>
      </c>
      <c r="J286">
        <v>100</v>
      </c>
      <c r="K286">
        <v>10.87</v>
      </c>
      <c r="L286">
        <v>19.648673011231899</v>
      </c>
      <c r="M286">
        <v>17.228884331985199</v>
      </c>
      <c r="N286">
        <v>117.30196861818401</v>
      </c>
      <c r="O286">
        <v>0</v>
      </c>
      <c r="P286">
        <v>0</v>
      </c>
      <c r="Q286">
        <v>258.51603299999999</v>
      </c>
      <c r="R286">
        <v>246.32484461399901</v>
      </c>
    </row>
    <row r="287" spans="1:18" x14ac:dyDescent="0.3">
      <c r="A287">
        <v>26</v>
      </c>
      <c r="B287" t="s">
        <v>12</v>
      </c>
      <c r="C287">
        <v>352.81023287256897</v>
      </c>
      <c r="D287">
        <v>0</v>
      </c>
      <c r="G287">
        <v>40</v>
      </c>
      <c r="H287" t="s">
        <v>29</v>
      </c>
      <c r="I287">
        <v>99</v>
      </c>
      <c r="J287">
        <v>99</v>
      </c>
      <c r="K287">
        <v>10.858585858585799</v>
      </c>
      <c r="L287">
        <v>19.640123957523599</v>
      </c>
      <c r="M287">
        <v>17.228884331985199</v>
      </c>
      <c r="N287">
        <v>116.267031830279</v>
      </c>
      <c r="O287">
        <v>0</v>
      </c>
      <c r="P287">
        <v>0</v>
      </c>
      <c r="Q287">
        <v>262.589473</v>
      </c>
      <c r="R287">
        <v>250.35379066899901</v>
      </c>
    </row>
    <row r="288" spans="1:18" x14ac:dyDescent="0.3">
      <c r="A288">
        <v>26</v>
      </c>
      <c r="B288" t="s">
        <v>13</v>
      </c>
      <c r="C288">
        <v>352.22142882743299</v>
      </c>
      <c r="D288">
        <v>0</v>
      </c>
      <c r="G288">
        <v>40</v>
      </c>
      <c r="H288" t="s">
        <v>30</v>
      </c>
      <c r="I288">
        <v>95</v>
      </c>
      <c r="J288">
        <v>93</v>
      </c>
      <c r="K288">
        <v>8.7157894736842092</v>
      </c>
      <c r="L288">
        <v>20.7052344458283</v>
      </c>
      <c r="M288">
        <v>17.228884331985199</v>
      </c>
      <c r="N288">
        <v>118.83673262558</v>
      </c>
      <c r="O288">
        <v>0</v>
      </c>
      <c r="P288">
        <v>0</v>
      </c>
      <c r="Q288">
        <v>278.70268600000003</v>
      </c>
      <c r="R288">
        <v>259.20728417299898</v>
      </c>
    </row>
    <row r="289" spans="1:18" x14ac:dyDescent="0.3">
      <c r="A289">
        <v>27</v>
      </c>
      <c r="B289" t="s">
        <v>3</v>
      </c>
      <c r="C289">
        <v>15.5235411033507</v>
      </c>
      <c r="D289">
        <v>13</v>
      </c>
      <c r="G289">
        <v>40</v>
      </c>
      <c r="H289" t="s">
        <v>31</v>
      </c>
      <c r="I289">
        <v>75</v>
      </c>
      <c r="J289">
        <v>75</v>
      </c>
      <c r="K289">
        <v>9.24</v>
      </c>
      <c r="L289">
        <v>18.894740588033301</v>
      </c>
      <c r="M289">
        <v>17.228884331985199</v>
      </c>
      <c r="N289">
        <v>97.431704563102599</v>
      </c>
      <c r="O289">
        <v>0</v>
      </c>
      <c r="P289">
        <v>0</v>
      </c>
      <c r="Q289">
        <v>265.62888800000002</v>
      </c>
      <c r="R289">
        <v>247.594108196999</v>
      </c>
    </row>
    <row r="290" spans="1:18" x14ac:dyDescent="0.3">
      <c r="A290">
        <v>27</v>
      </c>
      <c r="B290" t="s">
        <v>4</v>
      </c>
      <c r="C290">
        <v>15.247719830843099</v>
      </c>
      <c r="D290">
        <v>13</v>
      </c>
      <c r="G290">
        <v>40</v>
      </c>
      <c r="H290" t="s">
        <v>32</v>
      </c>
      <c r="I290">
        <v>93</v>
      </c>
      <c r="J290">
        <v>93</v>
      </c>
      <c r="K290">
        <v>9.9354838709677402</v>
      </c>
      <c r="L290">
        <v>19.042962387254899</v>
      </c>
      <c r="M290">
        <v>17.228884331985199</v>
      </c>
      <c r="N290">
        <v>116.557272080739</v>
      </c>
      <c r="O290">
        <v>0</v>
      </c>
      <c r="P290">
        <v>0</v>
      </c>
      <c r="Q290">
        <v>258.83186999999998</v>
      </c>
      <c r="R290">
        <v>246.874521149999</v>
      </c>
    </row>
    <row r="291" spans="1:18" x14ac:dyDescent="0.3">
      <c r="A291">
        <v>27</v>
      </c>
      <c r="B291" t="s">
        <v>5</v>
      </c>
      <c r="C291">
        <v>19.5606272387143</v>
      </c>
      <c r="D291">
        <v>13</v>
      </c>
      <c r="G291">
        <v>41</v>
      </c>
      <c r="H291" t="s">
        <v>25</v>
      </c>
      <c r="I291">
        <v>95</v>
      </c>
      <c r="J291">
        <v>95</v>
      </c>
      <c r="K291">
        <v>10.5473684210526</v>
      </c>
      <c r="L291">
        <v>18.734766846827799</v>
      </c>
      <c r="M291">
        <v>17.196725137157301</v>
      </c>
      <c r="N291">
        <v>111.63429971855101</v>
      </c>
      <c r="O291">
        <v>0</v>
      </c>
      <c r="P291">
        <v>0</v>
      </c>
      <c r="Q291">
        <v>225.12178399999999</v>
      </c>
      <c r="R291">
        <v>210.74530153699899</v>
      </c>
    </row>
    <row r="292" spans="1:18" x14ac:dyDescent="0.3">
      <c r="A292">
        <v>27</v>
      </c>
      <c r="B292" t="s">
        <v>6</v>
      </c>
      <c r="C292">
        <v>65.382974746026804</v>
      </c>
      <c r="D292">
        <v>13</v>
      </c>
      <c r="G292">
        <v>41</v>
      </c>
      <c r="H292" t="s">
        <v>26</v>
      </c>
      <c r="I292">
        <v>94</v>
      </c>
      <c r="J292">
        <v>91</v>
      </c>
      <c r="K292">
        <v>8.4468085106382897</v>
      </c>
      <c r="L292">
        <v>20.483952427826999</v>
      </c>
      <c r="M292">
        <v>17.196725137157301</v>
      </c>
      <c r="N292">
        <v>118.265469159563</v>
      </c>
      <c r="O292">
        <v>0</v>
      </c>
      <c r="P292">
        <v>0</v>
      </c>
      <c r="Q292">
        <v>270.12284599999902</v>
      </c>
      <c r="R292">
        <v>251.037426530999</v>
      </c>
    </row>
    <row r="293" spans="1:18" x14ac:dyDescent="0.3">
      <c r="A293">
        <v>27</v>
      </c>
      <c r="B293" t="s">
        <v>7</v>
      </c>
      <c r="C293">
        <v>65.411488045548296</v>
      </c>
      <c r="D293">
        <v>13</v>
      </c>
      <c r="G293">
        <v>41</v>
      </c>
      <c r="H293" t="s">
        <v>27</v>
      </c>
      <c r="I293">
        <v>82</v>
      </c>
      <c r="J293">
        <v>82</v>
      </c>
      <c r="K293">
        <v>9.7560975609756095</v>
      </c>
      <c r="L293">
        <v>20.010336087458999</v>
      </c>
      <c r="M293">
        <v>17.196725137157301</v>
      </c>
      <c r="N293">
        <v>98.631127033056998</v>
      </c>
      <c r="O293">
        <v>0</v>
      </c>
      <c r="P293">
        <v>0</v>
      </c>
      <c r="Q293">
        <v>286.96707300000003</v>
      </c>
      <c r="R293">
        <v>266.28709435599899</v>
      </c>
    </row>
    <row r="294" spans="1:18" x14ac:dyDescent="0.3">
      <c r="A294">
        <v>27</v>
      </c>
      <c r="B294" t="s">
        <v>8</v>
      </c>
      <c r="C294">
        <v>79.670229575093799</v>
      </c>
      <c r="D294">
        <v>13</v>
      </c>
      <c r="G294">
        <v>41</v>
      </c>
      <c r="H294" t="s">
        <v>28</v>
      </c>
      <c r="I294">
        <v>100</v>
      </c>
      <c r="J294">
        <v>100</v>
      </c>
      <c r="K294">
        <v>10.87</v>
      </c>
      <c r="L294">
        <v>19.679526204572699</v>
      </c>
      <c r="M294">
        <v>17.196725137157301</v>
      </c>
      <c r="N294">
        <v>116.539516225724</v>
      </c>
      <c r="O294">
        <v>0</v>
      </c>
      <c r="P294">
        <v>0</v>
      </c>
      <c r="Q294">
        <v>258.51603299999999</v>
      </c>
      <c r="R294">
        <v>246.32484461399901</v>
      </c>
    </row>
    <row r="295" spans="1:18" x14ac:dyDescent="0.3">
      <c r="A295">
        <v>27</v>
      </c>
      <c r="B295" t="s">
        <v>9</v>
      </c>
      <c r="C295">
        <v>81.668634830262704</v>
      </c>
      <c r="D295">
        <v>13</v>
      </c>
      <c r="G295">
        <v>41</v>
      </c>
      <c r="H295" t="s">
        <v>29</v>
      </c>
      <c r="I295">
        <v>100</v>
      </c>
      <c r="J295">
        <v>100</v>
      </c>
      <c r="K295">
        <v>10.87</v>
      </c>
      <c r="L295">
        <v>20.139252316360501</v>
      </c>
      <c r="M295">
        <v>17.196725137157301</v>
      </c>
      <c r="N295">
        <v>116.525803881706</v>
      </c>
      <c r="O295">
        <v>0</v>
      </c>
      <c r="P295">
        <v>0</v>
      </c>
      <c r="Q295">
        <v>264.68807700000002</v>
      </c>
      <c r="R295">
        <v>252.890485955999</v>
      </c>
    </row>
    <row r="296" spans="1:18" x14ac:dyDescent="0.3">
      <c r="A296">
        <v>27</v>
      </c>
      <c r="B296" t="s">
        <v>10</v>
      </c>
      <c r="C296">
        <v>116.909367573635</v>
      </c>
      <c r="D296">
        <v>12.8796296296296</v>
      </c>
      <c r="G296">
        <v>41</v>
      </c>
      <c r="H296" t="s">
        <v>30</v>
      </c>
      <c r="I296">
        <v>95</v>
      </c>
      <c r="J296">
        <v>92</v>
      </c>
      <c r="K296">
        <v>8.7052631578947306</v>
      </c>
      <c r="L296">
        <v>20.692908078604901</v>
      </c>
      <c r="M296">
        <v>17.196725137157301</v>
      </c>
      <c r="N296">
        <v>118.637412139395</v>
      </c>
      <c r="O296">
        <v>0</v>
      </c>
      <c r="P296">
        <v>0</v>
      </c>
      <c r="Q296">
        <v>274.40648800000002</v>
      </c>
      <c r="R296">
        <v>255.43577920499899</v>
      </c>
    </row>
    <row r="297" spans="1:18" x14ac:dyDescent="0.3">
      <c r="A297">
        <v>27</v>
      </c>
      <c r="B297" t="s">
        <v>11</v>
      </c>
      <c r="C297">
        <v>273.16942147863301</v>
      </c>
      <c r="D297">
        <v>13.257485029940099</v>
      </c>
      <c r="G297">
        <v>41</v>
      </c>
      <c r="H297" t="s">
        <v>31</v>
      </c>
      <c r="I297">
        <v>76</v>
      </c>
      <c r="J297">
        <v>76</v>
      </c>
      <c r="K297">
        <v>9.3815789473684195</v>
      </c>
      <c r="L297">
        <v>19.082112747969301</v>
      </c>
      <c r="M297">
        <v>17.196725137157301</v>
      </c>
      <c r="N297">
        <v>98.213470296565305</v>
      </c>
      <c r="O297">
        <v>0</v>
      </c>
      <c r="P297">
        <v>0</v>
      </c>
      <c r="Q297">
        <v>269.01396199999999</v>
      </c>
      <c r="R297">
        <v>250.56562814399899</v>
      </c>
    </row>
    <row r="298" spans="1:18" x14ac:dyDescent="0.3">
      <c r="A298">
        <v>27</v>
      </c>
      <c r="B298" t="s">
        <v>12</v>
      </c>
      <c r="C298">
        <v>352.80475917362497</v>
      </c>
      <c r="D298">
        <v>14</v>
      </c>
      <c r="G298">
        <v>41</v>
      </c>
      <c r="H298" t="s">
        <v>32</v>
      </c>
      <c r="I298">
        <v>92</v>
      </c>
      <c r="J298">
        <v>92</v>
      </c>
      <c r="K298">
        <v>9.9130434782608692</v>
      </c>
      <c r="L298">
        <v>19.255350777122299</v>
      </c>
      <c r="M298">
        <v>17.196725137157301</v>
      </c>
      <c r="N298">
        <v>115.782608677619</v>
      </c>
      <c r="O298">
        <v>0</v>
      </c>
      <c r="P298">
        <v>0</v>
      </c>
      <c r="Q298">
        <v>260.99019800000002</v>
      </c>
      <c r="R298">
        <v>249.13085792899901</v>
      </c>
    </row>
    <row r="299" spans="1:18" x14ac:dyDescent="0.3">
      <c r="A299">
        <v>27</v>
      </c>
      <c r="B299" t="s">
        <v>13</v>
      </c>
      <c r="C299">
        <v>353.91493727537198</v>
      </c>
      <c r="D299">
        <v>14</v>
      </c>
      <c r="G299">
        <v>42</v>
      </c>
      <c r="H299" t="s">
        <v>25</v>
      </c>
      <c r="I299">
        <v>95</v>
      </c>
      <c r="J299">
        <v>95</v>
      </c>
      <c r="K299">
        <v>10.5473684210526</v>
      </c>
      <c r="L299">
        <v>18.958343175325801</v>
      </c>
      <c r="M299">
        <v>17.216096916502</v>
      </c>
      <c r="N299">
        <v>111.598312731007</v>
      </c>
      <c r="O299">
        <v>0</v>
      </c>
      <c r="P299">
        <v>0</v>
      </c>
      <c r="Q299">
        <v>223.388262</v>
      </c>
      <c r="R299">
        <v>209.30826372599901</v>
      </c>
    </row>
    <row r="300" spans="1:18" x14ac:dyDescent="0.3">
      <c r="A300">
        <v>28</v>
      </c>
      <c r="B300" t="s">
        <v>3</v>
      </c>
      <c r="C300">
        <v>15.376013616276399</v>
      </c>
      <c r="D300">
        <v>13</v>
      </c>
      <c r="G300">
        <v>42</v>
      </c>
      <c r="H300" t="s">
        <v>26</v>
      </c>
      <c r="I300">
        <v>93</v>
      </c>
      <c r="J300">
        <v>90</v>
      </c>
      <c r="K300">
        <v>8.4086021505376305</v>
      </c>
      <c r="L300">
        <v>20.354944645126199</v>
      </c>
      <c r="M300">
        <v>17.216096916502</v>
      </c>
      <c r="N300">
        <v>117.038643267987</v>
      </c>
      <c r="O300">
        <v>0</v>
      </c>
      <c r="P300">
        <v>0</v>
      </c>
      <c r="Q300">
        <v>265.87981999999897</v>
      </c>
      <c r="R300">
        <v>247.740859142999</v>
      </c>
    </row>
    <row r="301" spans="1:18" x14ac:dyDescent="0.3">
      <c r="A301">
        <v>28</v>
      </c>
      <c r="B301" t="s">
        <v>4</v>
      </c>
      <c r="C301">
        <v>15.450466158682801</v>
      </c>
      <c r="D301">
        <v>13</v>
      </c>
      <c r="G301">
        <v>42</v>
      </c>
      <c r="H301" t="s">
        <v>27</v>
      </c>
      <c r="I301">
        <v>82</v>
      </c>
      <c r="J301">
        <v>82</v>
      </c>
      <c r="K301">
        <v>9.7560975609756095</v>
      </c>
      <c r="L301">
        <v>19.799402175269002</v>
      </c>
      <c r="M301">
        <v>17.216096916502</v>
      </c>
      <c r="N301">
        <v>99.233515205810903</v>
      </c>
      <c r="O301">
        <v>0</v>
      </c>
      <c r="P301">
        <v>0</v>
      </c>
      <c r="Q301">
        <v>280.83209499999998</v>
      </c>
      <c r="R301">
        <v>260.50488243199902</v>
      </c>
    </row>
    <row r="302" spans="1:18" x14ac:dyDescent="0.3">
      <c r="A302">
        <v>28</v>
      </c>
      <c r="B302" t="s">
        <v>5</v>
      </c>
      <c r="C302">
        <v>19.795137635947398</v>
      </c>
      <c r="D302">
        <v>13</v>
      </c>
      <c r="G302">
        <v>42</v>
      </c>
      <c r="H302" t="s">
        <v>28</v>
      </c>
      <c r="I302">
        <v>99</v>
      </c>
      <c r="J302">
        <v>99</v>
      </c>
      <c r="K302">
        <v>10.858585858585799</v>
      </c>
      <c r="L302">
        <v>19.319522572592</v>
      </c>
      <c r="M302">
        <v>17.216096916502</v>
      </c>
      <c r="N302">
        <v>115.927474504944</v>
      </c>
      <c r="O302">
        <v>0</v>
      </c>
      <c r="P302">
        <v>0</v>
      </c>
      <c r="Q302">
        <v>249.939268</v>
      </c>
      <c r="R302">
        <v>237.70577095899901</v>
      </c>
    </row>
    <row r="303" spans="1:18" x14ac:dyDescent="0.3">
      <c r="A303">
        <v>28</v>
      </c>
      <c r="B303" t="s">
        <v>6</v>
      </c>
      <c r="C303">
        <v>64.363772887089397</v>
      </c>
      <c r="D303">
        <v>13</v>
      </c>
      <c r="G303">
        <v>42</v>
      </c>
      <c r="H303" t="s">
        <v>29</v>
      </c>
      <c r="I303">
        <v>100</v>
      </c>
      <c r="J303">
        <v>100</v>
      </c>
      <c r="K303">
        <v>10.87</v>
      </c>
      <c r="L303">
        <v>19.873743272626601</v>
      </c>
      <c r="M303">
        <v>17.216096916502</v>
      </c>
      <c r="N303">
        <v>117.22634787458701</v>
      </c>
      <c r="O303">
        <v>0</v>
      </c>
      <c r="P303">
        <v>0</v>
      </c>
      <c r="Q303">
        <v>268.52916599999998</v>
      </c>
      <c r="R303">
        <v>255.91000633799999</v>
      </c>
    </row>
    <row r="304" spans="1:18" x14ac:dyDescent="0.3">
      <c r="A304">
        <v>28</v>
      </c>
      <c r="B304" t="s">
        <v>7</v>
      </c>
      <c r="C304">
        <v>65.493789666772898</v>
      </c>
      <c r="D304">
        <v>13</v>
      </c>
      <c r="G304">
        <v>42</v>
      </c>
      <c r="H304" t="s">
        <v>30</v>
      </c>
      <c r="I304">
        <v>96</v>
      </c>
      <c r="J304">
        <v>93</v>
      </c>
      <c r="K304">
        <v>8.75</v>
      </c>
      <c r="L304">
        <v>20.723392584919701</v>
      </c>
      <c r="M304">
        <v>17.216096916502</v>
      </c>
      <c r="N304">
        <v>120.083214768955</v>
      </c>
      <c r="O304">
        <v>0</v>
      </c>
      <c r="P304">
        <v>0</v>
      </c>
      <c r="Q304">
        <v>286.66816899999998</v>
      </c>
      <c r="R304">
        <v>267.07199121199898</v>
      </c>
    </row>
    <row r="305" spans="1:18" x14ac:dyDescent="0.3">
      <c r="A305">
        <v>28</v>
      </c>
      <c r="B305" t="s">
        <v>8</v>
      </c>
      <c r="C305">
        <v>78.599757796281196</v>
      </c>
      <c r="D305">
        <v>13.054794520547899</v>
      </c>
      <c r="G305">
        <v>42</v>
      </c>
      <c r="H305" t="s">
        <v>31</v>
      </c>
      <c r="I305">
        <v>74</v>
      </c>
      <c r="J305">
        <v>74</v>
      </c>
      <c r="K305">
        <v>9.2027027027027</v>
      </c>
      <c r="L305">
        <v>18.803141116775102</v>
      </c>
      <c r="M305">
        <v>17.216096916502</v>
      </c>
      <c r="N305">
        <v>97.457172329946204</v>
      </c>
      <c r="O305">
        <v>0</v>
      </c>
      <c r="P305">
        <v>0</v>
      </c>
      <c r="Q305">
        <v>267.07541800000001</v>
      </c>
      <c r="R305">
        <v>248.74822243699899</v>
      </c>
    </row>
    <row r="306" spans="1:18" x14ac:dyDescent="0.3">
      <c r="A306">
        <v>28</v>
      </c>
      <c r="B306" t="s">
        <v>9</v>
      </c>
      <c r="C306">
        <v>81.424707706178907</v>
      </c>
      <c r="D306">
        <v>14</v>
      </c>
      <c r="G306">
        <v>42</v>
      </c>
      <c r="H306" t="s">
        <v>32</v>
      </c>
      <c r="I306">
        <v>93</v>
      </c>
      <c r="J306">
        <v>93</v>
      </c>
      <c r="K306">
        <v>9.9354838709677402</v>
      </c>
      <c r="L306">
        <v>19.041270668973201</v>
      </c>
      <c r="M306">
        <v>17.216096916502</v>
      </c>
      <c r="N306">
        <v>116.672358974864</v>
      </c>
      <c r="O306">
        <v>0</v>
      </c>
      <c r="P306">
        <v>0</v>
      </c>
      <c r="Q306">
        <v>255.731503</v>
      </c>
      <c r="R306">
        <v>244.17971694399901</v>
      </c>
    </row>
    <row r="307" spans="1:18" x14ac:dyDescent="0.3">
      <c r="A307">
        <v>28</v>
      </c>
      <c r="B307" t="s">
        <v>10</v>
      </c>
      <c r="C307">
        <v>117.261996212474</v>
      </c>
      <c r="D307">
        <v>14</v>
      </c>
      <c r="G307">
        <v>43</v>
      </c>
      <c r="H307" t="s">
        <v>25</v>
      </c>
      <c r="I307">
        <v>94</v>
      </c>
      <c r="J307">
        <v>94</v>
      </c>
      <c r="K307">
        <v>10.531914893617</v>
      </c>
      <c r="L307">
        <v>18.636468597646701</v>
      </c>
      <c r="M307">
        <v>17.246981736057201</v>
      </c>
      <c r="N307">
        <v>109.44520976414201</v>
      </c>
      <c r="O307">
        <v>0</v>
      </c>
      <c r="P307">
        <v>0</v>
      </c>
      <c r="Q307">
        <v>228.100717</v>
      </c>
      <c r="R307">
        <v>213.900696030999</v>
      </c>
    </row>
    <row r="308" spans="1:18" x14ac:dyDescent="0.3">
      <c r="A308">
        <v>28</v>
      </c>
      <c r="B308" t="s">
        <v>11</v>
      </c>
      <c r="C308">
        <v>274.44022750391201</v>
      </c>
      <c r="D308">
        <v>0</v>
      </c>
      <c r="G308">
        <v>43</v>
      </c>
      <c r="H308" t="s">
        <v>26</v>
      </c>
      <c r="I308">
        <v>93</v>
      </c>
      <c r="J308">
        <v>90</v>
      </c>
      <c r="K308">
        <v>8.4086021505376305</v>
      </c>
      <c r="L308">
        <v>20.0245453182681</v>
      </c>
      <c r="M308">
        <v>17.246981736057201</v>
      </c>
      <c r="N308">
        <v>116.717183348033</v>
      </c>
      <c r="O308">
        <v>0</v>
      </c>
      <c r="P308">
        <v>0</v>
      </c>
      <c r="Q308">
        <v>264.936095999999</v>
      </c>
      <c r="R308">
        <v>246.45247392099901</v>
      </c>
    </row>
    <row r="309" spans="1:18" x14ac:dyDescent="0.3">
      <c r="A309">
        <v>28</v>
      </c>
      <c r="B309" t="s">
        <v>12</v>
      </c>
      <c r="C309">
        <v>353.41521089071801</v>
      </c>
      <c r="D309">
        <v>0</v>
      </c>
      <c r="G309">
        <v>43</v>
      </c>
      <c r="H309" t="s">
        <v>27</v>
      </c>
      <c r="I309">
        <v>83</v>
      </c>
      <c r="J309">
        <v>83</v>
      </c>
      <c r="K309">
        <v>9.7831325301204792</v>
      </c>
      <c r="L309">
        <v>20.003744521822</v>
      </c>
      <c r="M309">
        <v>17.246981736057201</v>
      </c>
      <c r="N309">
        <v>99.399948288324694</v>
      </c>
      <c r="O309">
        <v>0</v>
      </c>
      <c r="P309">
        <v>0</v>
      </c>
      <c r="Q309">
        <v>289.59245700000002</v>
      </c>
      <c r="R309">
        <v>269.287319397999</v>
      </c>
    </row>
    <row r="310" spans="1:18" x14ac:dyDescent="0.3">
      <c r="A310">
        <v>28</v>
      </c>
      <c r="B310" t="s">
        <v>13</v>
      </c>
      <c r="C310">
        <v>354.38205131350702</v>
      </c>
      <c r="D310">
        <v>0</v>
      </c>
      <c r="G310">
        <v>43</v>
      </c>
      <c r="H310" t="s">
        <v>28</v>
      </c>
      <c r="I310">
        <v>100</v>
      </c>
      <c r="J310">
        <v>100</v>
      </c>
      <c r="K310">
        <v>10.87</v>
      </c>
      <c r="L310">
        <v>19.515263945951698</v>
      </c>
      <c r="M310">
        <v>17.246981736057201</v>
      </c>
      <c r="N310">
        <v>117.733559307183</v>
      </c>
      <c r="O310">
        <v>0</v>
      </c>
      <c r="P310">
        <v>0</v>
      </c>
      <c r="Q310">
        <v>247.55977099999899</v>
      </c>
      <c r="R310">
        <v>235.74477365299899</v>
      </c>
    </row>
    <row r="311" spans="1:18" x14ac:dyDescent="0.3">
      <c r="A311">
        <v>29</v>
      </c>
      <c r="B311" t="s">
        <v>3</v>
      </c>
      <c r="C311">
        <v>15.6727697518309</v>
      </c>
      <c r="D311">
        <v>13</v>
      </c>
      <c r="G311">
        <v>43</v>
      </c>
      <c r="H311" t="s">
        <v>29</v>
      </c>
      <c r="I311">
        <v>100</v>
      </c>
      <c r="J311">
        <v>100</v>
      </c>
      <c r="K311">
        <v>10.87</v>
      </c>
      <c r="L311">
        <v>19.7184233825141</v>
      </c>
      <c r="M311">
        <v>17.246981736057201</v>
      </c>
      <c r="N311">
        <v>116.331187937602</v>
      </c>
      <c r="O311">
        <v>0</v>
      </c>
      <c r="P311">
        <v>0</v>
      </c>
      <c r="Q311">
        <v>262.13302499999998</v>
      </c>
      <c r="R311">
        <v>249.784643324999</v>
      </c>
    </row>
    <row r="312" spans="1:18" x14ac:dyDescent="0.3">
      <c r="A312">
        <v>29</v>
      </c>
      <c r="B312" t="s">
        <v>4</v>
      </c>
      <c r="C312">
        <v>15.5717967663045</v>
      </c>
      <c r="D312">
        <v>13</v>
      </c>
      <c r="G312">
        <v>43</v>
      </c>
      <c r="H312" t="s">
        <v>30</v>
      </c>
      <c r="I312">
        <v>96</v>
      </c>
      <c r="J312">
        <v>93</v>
      </c>
      <c r="K312">
        <v>8.75</v>
      </c>
      <c r="L312">
        <v>20.8145450027218</v>
      </c>
      <c r="M312">
        <v>17.246981736057201</v>
      </c>
      <c r="N312">
        <v>120.148060121368</v>
      </c>
      <c r="O312">
        <v>0</v>
      </c>
      <c r="P312">
        <v>0</v>
      </c>
      <c r="Q312">
        <v>282.34196400000002</v>
      </c>
      <c r="R312">
        <v>262.77522927699903</v>
      </c>
    </row>
    <row r="313" spans="1:18" x14ac:dyDescent="0.3">
      <c r="A313">
        <v>29</v>
      </c>
      <c r="B313" t="s">
        <v>5</v>
      </c>
      <c r="C313">
        <v>19.0906158422099</v>
      </c>
      <c r="D313">
        <v>13</v>
      </c>
      <c r="G313">
        <v>43</v>
      </c>
      <c r="H313" t="s">
        <v>31</v>
      </c>
      <c r="I313">
        <v>86</v>
      </c>
      <c r="J313">
        <v>83</v>
      </c>
      <c r="K313">
        <v>8.6976744186046506</v>
      </c>
      <c r="L313">
        <v>21.600167975833699</v>
      </c>
      <c r="M313">
        <v>17.246981736057201</v>
      </c>
      <c r="N313">
        <v>116.69434045225501</v>
      </c>
      <c r="O313">
        <v>0</v>
      </c>
      <c r="P313">
        <v>0</v>
      </c>
      <c r="Q313">
        <v>294.81530900000001</v>
      </c>
      <c r="R313">
        <v>274.47272057999902</v>
      </c>
    </row>
    <row r="314" spans="1:18" x14ac:dyDescent="0.3">
      <c r="A314">
        <v>29</v>
      </c>
      <c r="B314" t="s">
        <v>6</v>
      </c>
      <c r="C314">
        <v>64.924130177853399</v>
      </c>
      <c r="D314">
        <v>13</v>
      </c>
      <c r="G314">
        <v>43</v>
      </c>
      <c r="H314" t="s">
        <v>32</v>
      </c>
      <c r="I314">
        <v>94</v>
      </c>
      <c r="J314">
        <v>94</v>
      </c>
      <c r="K314">
        <v>10.0744680851063</v>
      </c>
      <c r="L314">
        <v>19.3637163328392</v>
      </c>
      <c r="M314">
        <v>17.246981736057201</v>
      </c>
      <c r="N314">
        <v>117.620542792123</v>
      </c>
      <c r="O314">
        <v>0</v>
      </c>
      <c r="P314">
        <v>0</v>
      </c>
      <c r="Q314">
        <v>264.88238799999999</v>
      </c>
      <c r="R314">
        <v>253.033948473999</v>
      </c>
    </row>
    <row r="315" spans="1:18" x14ac:dyDescent="0.3">
      <c r="A315">
        <v>29</v>
      </c>
      <c r="B315" t="s">
        <v>7</v>
      </c>
      <c r="C315">
        <v>66.278369750994898</v>
      </c>
      <c r="D315">
        <v>13</v>
      </c>
      <c r="G315">
        <v>44</v>
      </c>
      <c r="H315" t="s">
        <v>25</v>
      </c>
      <c r="I315">
        <v>109</v>
      </c>
      <c r="J315">
        <v>100</v>
      </c>
      <c r="K315">
        <v>10.9266055045871</v>
      </c>
      <c r="L315">
        <v>20.967344009833301</v>
      </c>
      <c r="M315">
        <v>15.9726038559612</v>
      </c>
      <c r="N315">
        <v>114.432346802146</v>
      </c>
      <c r="O315">
        <v>0</v>
      </c>
      <c r="P315">
        <v>0</v>
      </c>
      <c r="Q315">
        <v>256.73046099999902</v>
      </c>
      <c r="R315">
        <v>238.50019971499901</v>
      </c>
    </row>
    <row r="316" spans="1:18" x14ac:dyDescent="0.3">
      <c r="A316">
        <v>29</v>
      </c>
      <c r="B316" t="s">
        <v>8</v>
      </c>
      <c r="C316">
        <v>78.311534184077701</v>
      </c>
      <c r="D316">
        <v>13.054794520547899</v>
      </c>
      <c r="G316">
        <v>44</v>
      </c>
      <c r="H316" t="s">
        <v>26</v>
      </c>
      <c r="I316">
        <v>108</v>
      </c>
      <c r="J316">
        <v>108</v>
      </c>
      <c r="K316">
        <v>11.3611111111111</v>
      </c>
      <c r="L316">
        <v>20.218306688163501</v>
      </c>
      <c r="M316">
        <v>15.9726038559612</v>
      </c>
      <c r="N316">
        <v>112.26602522866</v>
      </c>
      <c r="O316">
        <v>0</v>
      </c>
      <c r="P316">
        <v>0</v>
      </c>
      <c r="Q316">
        <v>251.94718599999899</v>
      </c>
      <c r="R316">
        <v>238.90954804299901</v>
      </c>
    </row>
    <row r="317" spans="1:18" x14ac:dyDescent="0.3">
      <c r="A317">
        <v>29</v>
      </c>
      <c r="B317" t="s">
        <v>9</v>
      </c>
      <c r="C317">
        <v>80.937930533947394</v>
      </c>
      <c r="D317">
        <v>14</v>
      </c>
      <c r="G317">
        <v>44</v>
      </c>
      <c r="H317" t="s">
        <v>27</v>
      </c>
      <c r="I317">
        <v>83</v>
      </c>
      <c r="J317">
        <v>75</v>
      </c>
      <c r="K317">
        <v>8.7469879518072293</v>
      </c>
      <c r="L317">
        <v>20.497007146018198</v>
      </c>
      <c r="M317">
        <v>15.9726038559612</v>
      </c>
      <c r="N317">
        <v>87.071941994114198</v>
      </c>
      <c r="O317">
        <v>0</v>
      </c>
      <c r="P317">
        <v>0</v>
      </c>
      <c r="Q317">
        <v>269.89621599999998</v>
      </c>
      <c r="R317">
        <v>243.51794757399901</v>
      </c>
    </row>
    <row r="318" spans="1:18" x14ac:dyDescent="0.3">
      <c r="A318">
        <v>29</v>
      </c>
      <c r="B318" t="s">
        <v>10</v>
      </c>
      <c r="C318">
        <v>116.29865394480299</v>
      </c>
      <c r="D318">
        <v>14</v>
      </c>
      <c r="G318">
        <v>44</v>
      </c>
      <c r="H318" t="s">
        <v>28</v>
      </c>
      <c r="I318">
        <v>112</v>
      </c>
      <c r="J318">
        <v>112</v>
      </c>
      <c r="K318">
        <v>11.3660714285714</v>
      </c>
      <c r="L318">
        <v>20.995327351778201</v>
      </c>
      <c r="M318">
        <v>15.9726038559612</v>
      </c>
      <c r="N318">
        <v>117.489990086034</v>
      </c>
      <c r="O318">
        <v>0</v>
      </c>
      <c r="P318">
        <v>0</v>
      </c>
      <c r="Q318">
        <v>263.36915800000003</v>
      </c>
      <c r="R318">
        <v>250.34164371399899</v>
      </c>
    </row>
    <row r="319" spans="1:18" x14ac:dyDescent="0.3">
      <c r="A319">
        <v>29</v>
      </c>
      <c r="B319" t="s">
        <v>11</v>
      </c>
      <c r="C319">
        <v>275.09628602211501</v>
      </c>
      <c r="D319">
        <v>0</v>
      </c>
      <c r="G319">
        <v>45</v>
      </c>
      <c r="H319" t="s">
        <v>25</v>
      </c>
      <c r="I319">
        <v>81</v>
      </c>
      <c r="J319">
        <v>79</v>
      </c>
      <c r="K319">
        <v>7.2716049382715999</v>
      </c>
      <c r="L319">
        <v>18.804245241008601</v>
      </c>
      <c r="M319">
        <v>17.767020512648401</v>
      </c>
      <c r="N319">
        <v>103.072924076357</v>
      </c>
      <c r="O319">
        <v>0</v>
      </c>
      <c r="P319">
        <v>0</v>
      </c>
      <c r="Q319">
        <v>224.991624999999</v>
      </c>
      <c r="R319">
        <v>203.42265034299899</v>
      </c>
    </row>
    <row r="320" spans="1:18" x14ac:dyDescent="0.3">
      <c r="A320">
        <v>29</v>
      </c>
      <c r="B320" t="s">
        <v>12</v>
      </c>
      <c r="C320">
        <v>352.95087549416598</v>
      </c>
      <c r="D320">
        <v>0</v>
      </c>
      <c r="G320">
        <v>45</v>
      </c>
      <c r="H320" t="s">
        <v>26</v>
      </c>
      <c r="I320">
        <v>93</v>
      </c>
      <c r="J320">
        <v>92</v>
      </c>
      <c r="K320">
        <v>7.8817204301075199</v>
      </c>
      <c r="L320">
        <v>20.212439858496399</v>
      </c>
      <c r="M320">
        <v>17.767020512648401</v>
      </c>
      <c r="N320">
        <v>130.10649219174101</v>
      </c>
      <c r="O320">
        <v>0</v>
      </c>
      <c r="P320">
        <v>0</v>
      </c>
      <c r="Q320">
        <v>263.65490599999998</v>
      </c>
      <c r="R320">
        <v>248.41698794299899</v>
      </c>
    </row>
    <row r="321" spans="1:18" x14ac:dyDescent="0.3">
      <c r="A321">
        <v>29</v>
      </c>
      <c r="B321" t="s">
        <v>13</v>
      </c>
      <c r="C321">
        <v>354.240046992825</v>
      </c>
      <c r="D321">
        <v>0</v>
      </c>
      <c r="G321">
        <v>45</v>
      </c>
      <c r="H321" t="s">
        <v>27</v>
      </c>
      <c r="I321">
        <v>94</v>
      </c>
      <c r="J321">
        <v>92</v>
      </c>
      <c r="K321">
        <v>7.7978723404255303</v>
      </c>
      <c r="L321">
        <v>20.8626790930917</v>
      </c>
      <c r="M321">
        <v>17.767020512648401</v>
      </c>
      <c r="N321">
        <v>130.51687399635401</v>
      </c>
      <c r="O321">
        <v>0</v>
      </c>
      <c r="P321">
        <v>0</v>
      </c>
      <c r="Q321">
        <v>295.200221</v>
      </c>
      <c r="R321">
        <v>279.59117099299903</v>
      </c>
    </row>
    <row r="322" spans="1:18" x14ac:dyDescent="0.3">
      <c r="A322">
        <v>30</v>
      </c>
      <c r="B322" t="s">
        <v>3</v>
      </c>
      <c r="C322">
        <v>15.4478945157326</v>
      </c>
      <c r="D322">
        <v>13</v>
      </c>
      <c r="G322">
        <v>45</v>
      </c>
      <c r="H322" t="s">
        <v>28</v>
      </c>
      <c r="I322">
        <v>98</v>
      </c>
      <c r="J322">
        <v>97</v>
      </c>
      <c r="K322">
        <v>8.2244897959183607</v>
      </c>
      <c r="L322">
        <v>20.653615533524299</v>
      </c>
      <c r="M322">
        <v>17.767020512648401</v>
      </c>
      <c r="N322">
        <v>134.72177580971001</v>
      </c>
      <c r="O322">
        <v>0</v>
      </c>
      <c r="P322">
        <v>0</v>
      </c>
      <c r="Q322">
        <v>259.14227</v>
      </c>
      <c r="R322">
        <v>244.31919319999901</v>
      </c>
    </row>
    <row r="323" spans="1:18" x14ac:dyDescent="0.3">
      <c r="A323">
        <v>30</v>
      </c>
      <c r="B323" t="s">
        <v>4</v>
      </c>
      <c r="C323">
        <v>15.2621748869588</v>
      </c>
      <c r="D323">
        <v>13</v>
      </c>
      <c r="G323">
        <v>45</v>
      </c>
      <c r="H323" t="s">
        <v>29</v>
      </c>
      <c r="I323">
        <v>98</v>
      </c>
      <c r="J323">
        <v>97</v>
      </c>
      <c r="K323">
        <v>8.3469387755101998</v>
      </c>
      <c r="L323">
        <v>20.501403564347399</v>
      </c>
      <c r="M323">
        <v>17.767020512648401</v>
      </c>
      <c r="N323">
        <v>134.93729239859201</v>
      </c>
      <c r="O323">
        <v>0</v>
      </c>
      <c r="P323">
        <v>0</v>
      </c>
      <c r="Q323">
        <v>243.30944099999999</v>
      </c>
      <c r="R323">
        <v>227.49301261799999</v>
      </c>
    </row>
    <row r="324" spans="1:18" x14ac:dyDescent="0.3">
      <c r="A324">
        <v>30</v>
      </c>
      <c r="B324" t="s">
        <v>5</v>
      </c>
      <c r="C324">
        <v>19.719785186513398</v>
      </c>
      <c r="D324">
        <v>13</v>
      </c>
      <c r="G324">
        <v>45</v>
      </c>
      <c r="H324" t="s">
        <v>30</v>
      </c>
      <c r="I324">
        <v>97</v>
      </c>
      <c r="J324">
        <v>97</v>
      </c>
      <c r="K324">
        <v>8.1855670103092706</v>
      </c>
      <c r="L324">
        <v>20.145421893758201</v>
      </c>
      <c r="M324">
        <v>17.767020512648401</v>
      </c>
      <c r="N324">
        <v>133.68198416705599</v>
      </c>
      <c r="O324">
        <v>0</v>
      </c>
      <c r="P324">
        <v>0</v>
      </c>
      <c r="Q324">
        <v>244.300161</v>
      </c>
      <c r="R324">
        <v>228.10639768799899</v>
      </c>
    </row>
    <row r="325" spans="1:18" x14ac:dyDescent="0.3">
      <c r="A325">
        <v>30</v>
      </c>
      <c r="B325" t="s">
        <v>6</v>
      </c>
      <c r="C325">
        <v>65.143895703421606</v>
      </c>
      <c r="D325">
        <v>13</v>
      </c>
      <c r="G325">
        <v>45</v>
      </c>
      <c r="H325" t="s">
        <v>31</v>
      </c>
      <c r="I325">
        <v>82</v>
      </c>
      <c r="J325">
        <v>81</v>
      </c>
      <c r="K325">
        <v>7.6585365853658498</v>
      </c>
      <c r="L325">
        <v>20.3553408436312</v>
      </c>
      <c r="M325">
        <v>17.767020512648401</v>
      </c>
      <c r="N325">
        <v>119.25039272888201</v>
      </c>
      <c r="O325">
        <v>0</v>
      </c>
      <c r="P325">
        <v>0</v>
      </c>
      <c r="Q325">
        <v>246.79890799999899</v>
      </c>
      <c r="R325">
        <v>224.871472826999</v>
      </c>
    </row>
    <row r="326" spans="1:18" x14ac:dyDescent="0.3">
      <c r="A326">
        <v>30</v>
      </c>
      <c r="B326" t="s">
        <v>7</v>
      </c>
      <c r="C326">
        <v>65.294532938088295</v>
      </c>
      <c r="D326">
        <v>13</v>
      </c>
      <c r="G326">
        <v>45</v>
      </c>
      <c r="H326" t="s">
        <v>32</v>
      </c>
      <c r="I326">
        <v>88</v>
      </c>
      <c r="J326">
        <v>88</v>
      </c>
      <c r="K326">
        <v>8.7045454545454497</v>
      </c>
      <c r="L326">
        <v>20.2503858982498</v>
      </c>
      <c r="M326">
        <v>17.767020512648401</v>
      </c>
      <c r="N326">
        <v>118.502151051661</v>
      </c>
      <c r="O326">
        <v>0</v>
      </c>
      <c r="P326">
        <v>0</v>
      </c>
      <c r="Q326">
        <v>266.96608700000002</v>
      </c>
      <c r="R326">
        <v>250.29777768899899</v>
      </c>
    </row>
    <row r="327" spans="1:18" x14ac:dyDescent="0.3">
      <c r="A327">
        <v>30</v>
      </c>
      <c r="B327" t="s">
        <v>8</v>
      </c>
      <c r="C327">
        <v>78.6287428525048</v>
      </c>
      <c r="D327">
        <v>13.054794520547899</v>
      </c>
      <c r="G327">
        <v>45</v>
      </c>
      <c r="H327" t="s">
        <v>33</v>
      </c>
      <c r="I327">
        <v>88</v>
      </c>
      <c r="J327">
        <v>88</v>
      </c>
      <c r="K327">
        <v>8.8977272727272698</v>
      </c>
      <c r="L327">
        <v>18.607053617942299</v>
      </c>
      <c r="M327">
        <v>17.767020512648401</v>
      </c>
      <c r="N327">
        <v>117.849236219082</v>
      </c>
      <c r="O327">
        <v>0</v>
      </c>
      <c r="P327">
        <v>0</v>
      </c>
      <c r="Q327">
        <v>249.484702</v>
      </c>
      <c r="R327">
        <v>235.94955853599899</v>
      </c>
    </row>
    <row r="328" spans="1:18" x14ac:dyDescent="0.3">
      <c r="A328">
        <v>30</v>
      </c>
      <c r="B328" t="s">
        <v>9</v>
      </c>
      <c r="C328">
        <v>80.892549840589894</v>
      </c>
      <c r="D328">
        <v>14</v>
      </c>
      <c r="G328">
        <v>45</v>
      </c>
      <c r="H328" t="s">
        <v>34</v>
      </c>
      <c r="I328">
        <v>87</v>
      </c>
      <c r="J328">
        <v>87</v>
      </c>
      <c r="K328">
        <v>8.6551724137930997</v>
      </c>
      <c r="L328">
        <v>18.485414750399801</v>
      </c>
      <c r="M328">
        <v>17.767020512648401</v>
      </c>
      <c r="N328">
        <v>116.226526924113</v>
      </c>
      <c r="O328">
        <v>0</v>
      </c>
      <c r="P328">
        <v>0</v>
      </c>
      <c r="Q328">
        <v>244.745723999999</v>
      </c>
      <c r="R328">
        <v>231.71727694199899</v>
      </c>
    </row>
    <row r="329" spans="1:18" x14ac:dyDescent="0.3">
      <c r="A329">
        <v>30</v>
      </c>
      <c r="B329" t="s">
        <v>10</v>
      </c>
      <c r="C329">
        <v>115.93937041208601</v>
      </c>
      <c r="D329">
        <v>14</v>
      </c>
      <c r="G329">
        <v>45</v>
      </c>
      <c r="H329" t="s">
        <v>35</v>
      </c>
      <c r="I329">
        <v>74</v>
      </c>
      <c r="J329">
        <v>74</v>
      </c>
      <c r="K329">
        <v>8.1351351351351298</v>
      </c>
      <c r="L329">
        <v>18.348908152305601</v>
      </c>
      <c r="M329">
        <v>17.767020512648401</v>
      </c>
      <c r="N329">
        <v>103.102021077087</v>
      </c>
      <c r="O329">
        <v>0</v>
      </c>
      <c r="P329">
        <v>0</v>
      </c>
      <c r="Q329">
        <v>221.74056200000001</v>
      </c>
      <c r="R329">
        <v>199.624852502999</v>
      </c>
    </row>
    <row r="330" spans="1:18" x14ac:dyDescent="0.3">
      <c r="A330">
        <v>30</v>
      </c>
      <c r="B330" t="s">
        <v>11</v>
      </c>
      <c r="C330">
        <v>273.14045647178199</v>
      </c>
      <c r="D330">
        <v>0</v>
      </c>
      <c r="G330">
        <v>45</v>
      </c>
      <c r="H330" t="s">
        <v>36</v>
      </c>
      <c r="I330">
        <v>86</v>
      </c>
      <c r="J330">
        <v>86</v>
      </c>
      <c r="K330">
        <v>8.4651162790697594</v>
      </c>
      <c r="L330">
        <v>18.373634803453001</v>
      </c>
      <c r="M330">
        <v>17.767020512648401</v>
      </c>
      <c r="N330">
        <v>114.92801139653599</v>
      </c>
      <c r="O330">
        <v>0</v>
      </c>
      <c r="P330">
        <v>0</v>
      </c>
      <c r="Q330">
        <v>246.77303000000001</v>
      </c>
      <c r="R330">
        <v>234.18776260999999</v>
      </c>
    </row>
    <row r="331" spans="1:18" x14ac:dyDescent="0.3">
      <c r="A331">
        <v>30</v>
      </c>
      <c r="B331" t="s">
        <v>12</v>
      </c>
      <c r="C331">
        <v>350.36520805179902</v>
      </c>
      <c r="D331">
        <v>0</v>
      </c>
      <c r="G331">
        <v>46</v>
      </c>
      <c r="H331" t="s">
        <v>25</v>
      </c>
      <c r="I331">
        <v>82</v>
      </c>
      <c r="J331">
        <v>80</v>
      </c>
      <c r="K331">
        <v>7.2926829268292597</v>
      </c>
      <c r="L331">
        <v>18.897525421415601</v>
      </c>
      <c r="M331">
        <v>17.785121556574499</v>
      </c>
      <c r="N331">
        <v>105.182129471689</v>
      </c>
      <c r="O331">
        <v>0</v>
      </c>
      <c r="P331">
        <v>0</v>
      </c>
      <c r="Q331">
        <v>224.02365799999899</v>
      </c>
      <c r="R331">
        <v>203.43473155699999</v>
      </c>
    </row>
    <row r="332" spans="1:18" x14ac:dyDescent="0.3">
      <c r="A332">
        <v>30</v>
      </c>
      <c r="B332" t="s">
        <v>13</v>
      </c>
      <c r="C332">
        <v>352.530113161342</v>
      </c>
      <c r="D332">
        <v>0</v>
      </c>
      <c r="G332">
        <v>46</v>
      </c>
      <c r="H332" t="s">
        <v>26</v>
      </c>
      <c r="I332">
        <v>94</v>
      </c>
      <c r="J332">
        <v>93</v>
      </c>
      <c r="K332">
        <v>8.0638297872340399</v>
      </c>
      <c r="L332">
        <v>20.446915395229901</v>
      </c>
      <c r="M332">
        <v>17.785121556574499</v>
      </c>
      <c r="N332">
        <v>130.01642383721901</v>
      </c>
      <c r="O332">
        <v>0</v>
      </c>
      <c r="P332">
        <v>0</v>
      </c>
      <c r="Q332">
        <v>267.41865999999999</v>
      </c>
      <c r="R332">
        <v>251.468643159999</v>
      </c>
    </row>
    <row r="333" spans="1:18" x14ac:dyDescent="0.3">
      <c r="A333">
        <v>31</v>
      </c>
      <c r="B333" t="s">
        <v>3</v>
      </c>
      <c r="C333">
        <v>15.488841042786101</v>
      </c>
      <c r="D333">
        <v>13</v>
      </c>
      <c r="G333">
        <v>46</v>
      </c>
      <c r="H333" t="s">
        <v>27</v>
      </c>
      <c r="I333">
        <v>92</v>
      </c>
      <c r="J333">
        <v>90</v>
      </c>
      <c r="K333">
        <v>7.7934782608695601</v>
      </c>
      <c r="L333">
        <v>20.884431593122599</v>
      </c>
      <c r="M333">
        <v>17.785121556574499</v>
      </c>
      <c r="N333">
        <v>129.179686635742</v>
      </c>
      <c r="O333">
        <v>0</v>
      </c>
      <c r="P333">
        <v>0</v>
      </c>
      <c r="Q333">
        <v>292.73847899999998</v>
      </c>
      <c r="R333">
        <v>276.30740707199902</v>
      </c>
    </row>
    <row r="334" spans="1:18" x14ac:dyDescent="0.3">
      <c r="A334">
        <v>31</v>
      </c>
      <c r="B334" t="s">
        <v>4</v>
      </c>
      <c r="C334">
        <v>15.4088702320177</v>
      </c>
      <c r="D334">
        <v>13</v>
      </c>
      <c r="G334">
        <v>46</v>
      </c>
      <c r="H334" t="s">
        <v>28</v>
      </c>
      <c r="I334">
        <v>99</v>
      </c>
      <c r="J334">
        <v>98</v>
      </c>
      <c r="K334">
        <v>8.4444444444444393</v>
      </c>
      <c r="L334">
        <v>20.808050599954601</v>
      </c>
      <c r="M334">
        <v>17.785121556574499</v>
      </c>
      <c r="N334">
        <v>135.77163031249501</v>
      </c>
      <c r="O334">
        <v>0</v>
      </c>
      <c r="P334">
        <v>0</v>
      </c>
      <c r="Q334">
        <v>256.64661899999999</v>
      </c>
      <c r="R334">
        <v>241.517855172</v>
      </c>
    </row>
    <row r="335" spans="1:18" x14ac:dyDescent="0.3">
      <c r="A335">
        <v>31</v>
      </c>
      <c r="B335" t="s">
        <v>5</v>
      </c>
      <c r="C335">
        <v>19.680874153781101</v>
      </c>
      <c r="D335">
        <v>13</v>
      </c>
      <c r="G335">
        <v>46</v>
      </c>
      <c r="H335" t="s">
        <v>29</v>
      </c>
      <c r="I335">
        <v>98</v>
      </c>
      <c r="J335">
        <v>97</v>
      </c>
      <c r="K335">
        <v>8.3469387755101998</v>
      </c>
      <c r="L335">
        <v>20.530997966300099</v>
      </c>
      <c r="M335">
        <v>17.785121556574499</v>
      </c>
      <c r="N335">
        <v>136.21953482394201</v>
      </c>
      <c r="O335">
        <v>0</v>
      </c>
      <c r="P335">
        <v>0</v>
      </c>
      <c r="Q335">
        <v>244.56468699999999</v>
      </c>
      <c r="R335">
        <v>228.49033182099899</v>
      </c>
    </row>
    <row r="336" spans="1:18" x14ac:dyDescent="0.3">
      <c r="A336">
        <v>31</v>
      </c>
      <c r="B336" t="s">
        <v>6</v>
      </c>
      <c r="C336">
        <v>64.589921131443802</v>
      </c>
      <c r="D336">
        <v>13</v>
      </c>
      <c r="G336">
        <v>46</v>
      </c>
      <c r="H336" t="s">
        <v>30</v>
      </c>
      <c r="I336">
        <v>98</v>
      </c>
      <c r="J336">
        <v>97</v>
      </c>
      <c r="K336">
        <v>8.3979591836734695</v>
      </c>
      <c r="L336">
        <v>20.969067460372301</v>
      </c>
      <c r="M336">
        <v>17.785121556574499</v>
      </c>
      <c r="N336">
        <v>134.79580648907</v>
      </c>
      <c r="O336">
        <v>0</v>
      </c>
      <c r="P336">
        <v>0</v>
      </c>
      <c r="Q336">
        <v>256.59589099999999</v>
      </c>
      <c r="R336">
        <v>240.74427572299899</v>
      </c>
    </row>
    <row r="337" spans="1:18" x14ac:dyDescent="0.3">
      <c r="A337">
        <v>31</v>
      </c>
      <c r="B337" t="s">
        <v>7</v>
      </c>
      <c r="C337">
        <v>65.718924551695096</v>
      </c>
      <c r="D337">
        <v>13</v>
      </c>
      <c r="G337">
        <v>46</v>
      </c>
      <c r="H337" t="s">
        <v>31</v>
      </c>
      <c r="I337">
        <v>83</v>
      </c>
      <c r="J337">
        <v>82</v>
      </c>
      <c r="K337">
        <v>7.7108433734939696</v>
      </c>
      <c r="L337">
        <v>20.894426564413401</v>
      </c>
      <c r="M337">
        <v>17.785121556574499</v>
      </c>
      <c r="N337">
        <v>119.624475323108</v>
      </c>
      <c r="O337">
        <v>0</v>
      </c>
      <c r="P337">
        <v>0</v>
      </c>
      <c r="Q337">
        <v>243.96023699999901</v>
      </c>
      <c r="R337">
        <v>221.426573058999</v>
      </c>
    </row>
    <row r="338" spans="1:18" x14ac:dyDescent="0.3">
      <c r="A338">
        <v>31</v>
      </c>
      <c r="B338" t="s">
        <v>8</v>
      </c>
      <c r="C338">
        <v>79.091395205178898</v>
      </c>
      <c r="D338">
        <v>13.041095890410899</v>
      </c>
      <c r="G338">
        <v>46</v>
      </c>
      <c r="H338" t="s">
        <v>32</v>
      </c>
      <c r="I338">
        <v>88</v>
      </c>
      <c r="J338">
        <v>88</v>
      </c>
      <c r="K338">
        <v>8.625</v>
      </c>
      <c r="L338">
        <v>20.2155812097531</v>
      </c>
      <c r="M338">
        <v>17.785121556574499</v>
      </c>
      <c r="N338">
        <v>117.677044729546</v>
      </c>
      <c r="O338">
        <v>0</v>
      </c>
      <c r="P338">
        <v>0</v>
      </c>
      <c r="Q338">
        <v>267.75280900000001</v>
      </c>
      <c r="R338">
        <v>251.32804549999901</v>
      </c>
    </row>
    <row r="339" spans="1:18" x14ac:dyDescent="0.3">
      <c r="A339">
        <v>31</v>
      </c>
      <c r="B339" t="s">
        <v>9</v>
      </c>
      <c r="C339">
        <v>80.823008765428597</v>
      </c>
      <c r="D339">
        <v>14</v>
      </c>
      <c r="G339">
        <v>46</v>
      </c>
      <c r="H339" t="s">
        <v>33</v>
      </c>
      <c r="I339">
        <v>86</v>
      </c>
      <c r="J339">
        <v>86</v>
      </c>
      <c r="K339">
        <v>8.6046511627906899</v>
      </c>
      <c r="L339">
        <v>18.479776282590301</v>
      </c>
      <c r="M339">
        <v>17.785121556574499</v>
      </c>
      <c r="N339">
        <v>115.164285352162</v>
      </c>
      <c r="O339">
        <v>0</v>
      </c>
      <c r="P339">
        <v>0</v>
      </c>
      <c r="Q339">
        <v>254.07302300000001</v>
      </c>
      <c r="R339">
        <v>241.368622813999</v>
      </c>
    </row>
    <row r="340" spans="1:18" x14ac:dyDescent="0.3">
      <c r="A340">
        <v>31</v>
      </c>
      <c r="B340" t="s">
        <v>10</v>
      </c>
      <c r="C340">
        <v>117.38859102233999</v>
      </c>
      <c r="D340">
        <v>14</v>
      </c>
      <c r="G340">
        <v>46</v>
      </c>
      <c r="H340" t="s">
        <v>34</v>
      </c>
      <c r="I340">
        <v>87</v>
      </c>
      <c r="J340">
        <v>87</v>
      </c>
      <c r="K340">
        <v>8.5517241379310303</v>
      </c>
      <c r="L340">
        <v>18.3040885015205</v>
      </c>
      <c r="M340">
        <v>17.785121556574499</v>
      </c>
      <c r="N340">
        <v>115.85950073393801</v>
      </c>
      <c r="O340">
        <v>0</v>
      </c>
      <c r="P340">
        <v>0</v>
      </c>
      <c r="Q340">
        <v>240.45228700000001</v>
      </c>
      <c r="R340">
        <v>227.45370325599899</v>
      </c>
    </row>
    <row r="341" spans="1:18" x14ac:dyDescent="0.3">
      <c r="A341">
        <v>31</v>
      </c>
      <c r="B341" t="s">
        <v>11</v>
      </c>
      <c r="C341">
        <v>274.98962156178197</v>
      </c>
      <c r="D341">
        <v>0</v>
      </c>
      <c r="G341">
        <v>46</v>
      </c>
      <c r="H341" t="s">
        <v>35</v>
      </c>
      <c r="I341">
        <v>74</v>
      </c>
      <c r="J341">
        <v>74</v>
      </c>
      <c r="K341">
        <v>8.1351351351351298</v>
      </c>
      <c r="L341">
        <v>18.286535669727499</v>
      </c>
      <c r="M341">
        <v>17.785121556574499</v>
      </c>
      <c r="N341">
        <v>103.729005466489</v>
      </c>
      <c r="O341">
        <v>0</v>
      </c>
      <c r="P341">
        <v>0</v>
      </c>
      <c r="Q341">
        <v>223.70094499999999</v>
      </c>
      <c r="R341">
        <v>201.767698107</v>
      </c>
    </row>
    <row r="342" spans="1:18" x14ac:dyDescent="0.3">
      <c r="A342">
        <v>31</v>
      </c>
      <c r="B342" t="s">
        <v>12</v>
      </c>
      <c r="C342">
        <v>353.80246225284498</v>
      </c>
      <c r="D342">
        <v>0</v>
      </c>
      <c r="G342">
        <v>46</v>
      </c>
      <c r="H342" t="s">
        <v>36</v>
      </c>
      <c r="I342">
        <v>86</v>
      </c>
      <c r="J342">
        <v>86</v>
      </c>
      <c r="K342">
        <v>8.4651162790697594</v>
      </c>
      <c r="L342">
        <v>18.515942765559299</v>
      </c>
      <c r="M342">
        <v>17.785121556574499</v>
      </c>
      <c r="N342">
        <v>115.16044446370699</v>
      </c>
      <c r="O342">
        <v>0</v>
      </c>
      <c r="P342">
        <v>0</v>
      </c>
      <c r="Q342">
        <v>249.01182800000001</v>
      </c>
      <c r="R342">
        <v>236.44149140900001</v>
      </c>
    </row>
    <row r="343" spans="1:18" x14ac:dyDescent="0.3">
      <c r="A343">
        <v>31</v>
      </c>
      <c r="B343" t="s">
        <v>13</v>
      </c>
      <c r="C343">
        <v>354.35571705641701</v>
      </c>
      <c r="D343">
        <v>0</v>
      </c>
      <c r="G343">
        <v>47</v>
      </c>
      <c r="H343" t="s">
        <v>25</v>
      </c>
      <c r="I343">
        <v>95</v>
      </c>
      <c r="J343">
        <v>95</v>
      </c>
      <c r="K343">
        <v>10.5473684210526</v>
      </c>
      <c r="L343">
        <v>18.993684808318601</v>
      </c>
      <c r="M343">
        <v>17.2956588804749</v>
      </c>
      <c r="N343">
        <v>112.08088800408601</v>
      </c>
      <c r="O343">
        <v>0</v>
      </c>
      <c r="P343">
        <v>0</v>
      </c>
      <c r="Q343">
        <v>228.54020800000001</v>
      </c>
      <c r="R343">
        <v>214.18428186399899</v>
      </c>
    </row>
    <row r="344" spans="1:18" x14ac:dyDescent="0.3">
      <c r="A344">
        <v>32</v>
      </c>
      <c r="B344" t="s">
        <v>3</v>
      </c>
      <c r="C344">
        <v>15.1535777583869</v>
      </c>
      <c r="D344">
        <v>13</v>
      </c>
      <c r="G344">
        <v>47</v>
      </c>
      <c r="H344" t="s">
        <v>26</v>
      </c>
      <c r="I344">
        <v>93</v>
      </c>
      <c r="J344">
        <v>90</v>
      </c>
      <c r="K344">
        <v>8.4086021505376305</v>
      </c>
      <c r="L344">
        <v>20.2678898332837</v>
      </c>
      <c r="M344">
        <v>17.2956588804749</v>
      </c>
      <c r="N344">
        <v>116.892874953007</v>
      </c>
      <c r="O344">
        <v>0</v>
      </c>
      <c r="P344">
        <v>0</v>
      </c>
      <c r="Q344">
        <v>265.81297099999898</v>
      </c>
      <c r="R344">
        <v>247.75500713099899</v>
      </c>
    </row>
    <row r="345" spans="1:18" x14ac:dyDescent="0.3">
      <c r="A345">
        <v>32</v>
      </c>
      <c r="B345" t="s">
        <v>4</v>
      </c>
      <c r="C345">
        <v>15.325712812543101</v>
      </c>
      <c r="D345">
        <v>13</v>
      </c>
      <c r="G345">
        <v>47</v>
      </c>
      <c r="H345" t="s">
        <v>27</v>
      </c>
      <c r="I345">
        <v>83</v>
      </c>
      <c r="J345">
        <v>83</v>
      </c>
      <c r="K345">
        <v>9.7831325301204792</v>
      </c>
      <c r="L345">
        <v>19.9378453952604</v>
      </c>
      <c r="M345">
        <v>17.2956588804749</v>
      </c>
      <c r="N345">
        <v>99.088735540037703</v>
      </c>
      <c r="O345">
        <v>0</v>
      </c>
      <c r="P345">
        <v>0</v>
      </c>
      <c r="Q345">
        <v>291.63841200000002</v>
      </c>
      <c r="R345">
        <v>270.98837287299898</v>
      </c>
    </row>
    <row r="346" spans="1:18" x14ac:dyDescent="0.3">
      <c r="A346">
        <v>32</v>
      </c>
      <c r="B346" t="s">
        <v>5</v>
      </c>
      <c r="C346">
        <v>19.731590711096</v>
      </c>
      <c r="D346">
        <v>13</v>
      </c>
      <c r="G346">
        <v>47</v>
      </c>
      <c r="H346" t="s">
        <v>28</v>
      </c>
      <c r="I346">
        <v>100</v>
      </c>
      <c r="J346">
        <v>100</v>
      </c>
      <c r="K346">
        <v>10.87</v>
      </c>
      <c r="L346">
        <v>19.913601305978901</v>
      </c>
      <c r="M346">
        <v>17.2956588804749</v>
      </c>
      <c r="N346">
        <v>117.839590837149</v>
      </c>
      <c r="O346">
        <v>0</v>
      </c>
      <c r="P346">
        <v>0</v>
      </c>
      <c r="Q346">
        <v>251.84241399999999</v>
      </c>
      <c r="R346">
        <v>239.821109632</v>
      </c>
    </row>
    <row r="347" spans="1:18" x14ac:dyDescent="0.3">
      <c r="A347">
        <v>32</v>
      </c>
      <c r="B347" t="s">
        <v>6</v>
      </c>
      <c r="C347">
        <v>64.212879977984002</v>
      </c>
      <c r="D347">
        <v>13</v>
      </c>
      <c r="G347">
        <v>47</v>
      </c>
      <c r="H347" t="s">
        <v>29</v>
      </c>
      <c r="I347">
        <v>103</v>
      </c>
      <c r="J347">
        <v>103</v>
      </c>
      <c r="K347">
        <v>11.417475728155299</v>
      </c>
      <c r="L347">
        <v>20.161910155871698</v>
      </c>
      <c r="M347">
        <v>17.2956588804749</v>
      </c>
      <c r="N347">
        <v>118.82844981743099</v>
      </c>
      <c r="O347">
        <v>0</v>
      </c>
      <c r="P347">
        <v>0</v>
      </c>
      <c r="Q347">
        <v>274.926153</v>
      </c>
      <c r="R347">
        <v>262.50797454899998</v>
      </c>
    </row>
    <row r="348" spans="1:18" x14ac:dyDescent="0.3">
      <c r="A348">
        <v>32</v>
      </c>
      <c r="B348" t="s">
        <v>7</v>
      </c>
      <c r="C348">
        <v>66.023185785577596</v>
      </c>
      <c r="D348">
        <v>13</v>
      </c>
      <c r="G348">
        <v>47</v>
      </c>
      <c r="H348" t="s">
        <v>30</v>
      </c>
      <c r="I348">
        <v>94</v>
      </c>
      <c r="J348">
        <v>91</v>
      </c>
      <c r="K348">
        <v>8.6702127659574408</v>
      </c>
      <c r="L348">
        <v>20.4607616262014</v>
      </c>
      <c r="M348">
        <v>17.2956588804749</v>
      </c>
      <c r="N348">
        <v>119.650793832376</v>
      </c>
      <c r="O348">
        <v>0</v>
      </c>
      <c r="P348">
        <v>0</v>
      </c>
      <c r="Q348">
        <v>275.98989999999998</v>
      </c>
      <c r="R348">
        <v>255.99765236099901</v>
      </c>
    </row>
    <row r="349" spans="1:18" x14ac:dyDescent="0.3">
      <c r="A349">
        <v>32</v>
      </c>
      <c r="B349" t="s">
        <v>8</v>
      </c>
      <c r="C349">
        <v>78.630375183032697</v>
      </c>
      <c r="D349">
        <v>13</v>
      </c>
      <c r="G349">
        <v>47</v>
      </c>
      <c r="H349" t="s">
        <v>31</v>
      </c>
      <c r="I349">
        <v>85</v>
      </c>
      <c r="J349">
        <v>82</v>
      </c>
      <c r="K349">
        <v>8.6352941176470495</v>
      </c>
      <c r="L349">
        <v>21.185486023109402</v>
      </c>
      <c r="M349">
        <v>17.2956588804749</v>
      </c>
      <c r="N349">
        <v>115.46677538024301</v>
      </c>
      <c r="O349">
        <v>0</v>
      </c>
      <c r="P349">
        <v>0</v>
      </c>
      <c r="Q349">
        <v>292.26088099999998</v>
      </c>
      <c r="R349">
        <v>271.74095232799903</v>
      </c>
    </row>
    <row r="350" spans="1:18" x14ac:dyDescent="0.3">
      <c r="A350">
        <v>32</v>
      </c>
      <c r="B350" t="s">
        <v>9</v>
      </c>
      <c r="C350">
        <v>80.639359882726197</v>
      </c>
      <c r="D350">
        <v>13</v>
      </c>
      <c r="G350">
        <v>47</v>
      </c>
      <c r="H350" t="s">
        <v>32</v>
      </c>
      <c r="I350">
        <v>94</v>
      </c>
      <c r="J350">
        <v>94</v>
      </c>
      <c r="K350">
        <v>10.1702127659574</v>
      </c>
      <c r="L350">
        <v>19.092814918370699</v>
      </c>
      <c r="M350">
        <v>17.2956588804749</v>
      </c>
      <c r="N350">
        <v>116.82181230083999</v>
      </c>
      <c r="O350">
        <v>0</v>
      </c>
      <c r="P350">
        <v>0</v>
      </c>
      <c r="Q350">
        <v>254.79991799999999</v>
      </c>
      <c r="R350">
        <v>243.176006153999</v>
      </c>
    </row>
    <row r="351" spans="1:18" x14ac:dyDescent="0.3">
      <c r="A351">
        <v>32</v>
      </c>
      <c r="B351" t="s">
        <v>10</v>
      </c>
      <c r="C351">
        <v>117.59645321875701</v>
      </c>
      <c r="D351">
        <v>12.8796296296296</v>
      </c>
      <c r="G351">
        <v>48</v>
      </c>
      <c r="H351" t="s">
        <v>25</v>
      </c>
      <c r="I351">
        <v>79</v>
      </c>
      <c r="J351">
        <v>77</v>
      </c>
      <c r="K351">
        <v>7.1898734177215102</v>
      </c>
      <c r="L351">
        <v>18.469491053077999</v>
      </c>
      <c r="M351">
        <v>17.811406693175499</v>
      </c>
      <c r="N351">
        <v>100.67929756192299</v>
      </c>
      <c r="O351">
        <v>0</v>
      </c>
      <c r="P351">
        <v>0</v>
      </c>
      <c r="Q351">
        <v>222.09566899999899</v>
      </c>
      <c r="R351">
        <v>200.54314735999901</v>
      </c>
    </row>
    <row r="352" spans="1:18" x14ac:dyDescent="0.3">
      <c r="A352">
        <v>32</v>
      </c>
      <c r="B352" t="s">
        <v>11</v>
      </c>
      <c r="C352">
        <v>273.33910764025399</v>
      </c>
      <c r="D352">
        <v>13.257485029940099</v>
      </c>
      <c r="G352">
        <v>48</v>
      </c>
      <c r="H352" t="s">
        <v>26</v>
      </c>
      <c r="I352">
        <v>93</v>
      </c>
      <c r="J352">
        <v>93</v>
      </c>
      <c r="K352">
        <v>8.0860215053763405</v>
      </c>
      <c r="L352">
        <v>20.584476463084201</v>
      </c>
      <c r="M352">
        <v>17.811406693175499</v>
      </c>
      <c r="N352">
        <v>130.32172695774301</v>
      </c>
      <c r="O352">
        <v>0</v>
      </c>
      <c r="P352">
        <v>0</v>
      </c>
      <c r="Q352">
        <v>266.58768300000003</v>
      </c>
      <c r="R352">
        <v>250.60402140899899</v>
      </c>
    </row>
    <row r="353" spans="1:18" x14ac:dyDescent="0.3">
      <c r="A353">
        <v>32</v>
      </c>
      <c r="B353" t="s">
        <v>12</v>
      </c>
      <c r="C353">
        <v>353.21533327509201</v>
      </c>
      <c r="D353">
        <v>14</v>
      </c>
      <c r="G353">
        <v>48</v>
      </c>
      <c r="H353" t="s">
        <v>27</v>
      </c>
      <c r="I353">
        <v>94</v>
      </c>
      <c r="J353">
        <v>92</v>
      </c>
      <c r="K353">
        <v>8.0212765957446805</v>
      </c>
      <c r="L353">
        <v>20.832007568037799</v>
      </c>
      <c r="M353">
        <v>17.811406693175499</v>
      </c>
      <c r="N353">
        <v>131.23039862041401</v>
      </c>
      <c r="O353">
        <v>0</v>
      </c>
      <c r="P353">
        <v>0</v>
      </c>
      <c r="Q353">
        <v>284.93633599999902</v>
      </c>
      <c r="R353">
        <v>268.34030096299898</v>
      </c>
    </row>
    <row r="354" spans="1:18" x14ac:dyDescent="0.3">
      <c r="A354">
        <v>32</v>
      </c>
      <c r="B354" t="s">
        <v>13</v>
      </c>
      <c r="C354">
        <v>350.98964369773199</v>
      </c>
      <c r="D354">
        <v>14</v>
      </c>
      <c r="G354">
        <v>48</v>
      </c>
      <c r="H354" t="s">
        <v>28</v>
      </c>
      <c r="I354">
        <v>99</v>
      </c>
      <c r="J354">
        <v>98</v>
      </c>
      <c r="K354">
        <v>8.3030303030302992</v>
      </c>
      <c r="L354">
        <v>20.790909256017301</v>
      </c>
      <c r="M354">
        <v>17.811406693175499</v>
      </c>
      <c r="N354">
        <v>136.69265576592801</v>
      </c>
      <c r="O354">
        <v>0</v>
      </c>
      <c r="P354">
        <v>0</v>
      </c>
      <c r="Q354">
        <v>250.42194000000001</v>
      </c>
      <c r="R354">
        <v>235.36941092999899</v>
      </c>
    </row>
    <row r="355" spans="1:18" x14ac:dyDescent="0.3">
      <c r="A355">
        <v>33</v>
      </c>
      <c r="B355" t="s">
        <v>3</v>
      </c>
      <c r="C355">
        <v>15.3148128557439</v>
      </c>
      <c r="D355">
        <v>13</v>
      </c>
      <c r="G355">
        <v>48</v>
      </c>
      <c r="H355" t="s">
        <v>29</v>
      </c>
      <c r="I355">
        <v>97</v>
      </c>
      <c r="J355">
        <v>97</v>
      </c>
      <c r="K355">
        <v>8.31958762886598</v>
      </c>
      <c r="L355">
        <v>20.6688537868833</v>
      </c>
      <c r="M355">
        <v>17.811406693175499</v>
      </c>
      <c r="N355">
        <v>134.448472990331</v>
      </c>
      <c r="O355">
        <v>0</v>
      </c>
      <c r="P355">
        <v>0</v>
      </c>
      <c r="Q355">
        <v>246.805431</v>
      </c>
      <c r="R355">
        <v>230.54280102299899</v>
      </c>
    </row>
    <row r="356" spans="1:18" x14ac:dyDescent="0.3">
      <c r="A356">
        <v>33</v>
      </c>
      <c r="B356" t="s">
        <v>4</v>
      </c>
      <c r="C356">
        <v>15.7900070620628</v>
      </c>
      <c r="D356">
        <v>13</v>
      </c>
      <c r="G356">
        <v>48</v>
      </c>
      <c r="H356" t="s">
        <v>30</v>
      </c>
      <c r="I356">
        <v>99</v>
      </c>
      <c r="J356">
        <v>98</v>
      </c>
      <c r="K356">
        <v>8.3030303030302992</v>
      </c>
      <c r="L356">
        <v>21.265755314077399</v>
      </c>
      <c r="M356">
        <v>17.811406693175499</v>
      </c>
      <c r="N356">
        <v>136.858920174925</v>
      </c>
      <c r="O356">
        <v>0</v>
      </c>
      <c r="P356">
        <v>0</v>
      </c>
      <c r="Q356">
        <v>251.23427699999999</v>
      </c>
      <c r="R356">
        <v>235.83056366099899</v>
      </c>
    </row>
    <row r="357" spans="1:18" x14ac:dyDescent="0.3">
      <c r="A357">
        <v>33</v>
      </c>
      <c r="B357" t="s">
        <v>5</v>
      </c>
      <c r="C357">
        <v>19.613576550695299</v>
      </c>
      <c r="D357">
        <v>13</v>
      </c>
      <c r="G357">
        <v>48</v>
      </c>
      <c r="H357" t="s">
        <v>31</v>
      </c>
      <c r="I357">
        <v>79</v>
      </c>
      <c r="J357">
        <v>78</v>
      </c>
      <c r="K357">
        <v>7.1645569620253102</v>
      </c>
      <c r="L357">
        <v>20.030649042706798</v>
      </c>
      <c r="M357">
        <v>17.811406693175499</v>
      </c>
      <c r="N357">
        <v>113.87217316234501</v>
      </c>
      <c r="O357">
        <v>0</v>
      </c>
      <c r="P357">
        <v>0</v>
      </c>
      <c r="Q357">
        <v>233.590645999999</v>
      </c>
      <c r="R357">
        <v>208.90234976099899</v>
      </c>
    </row>
    <row r="358" spans="1:18" x14ac:dyDescent="0.3">
      <c r="A358">
        <v>33</v>
      </c>
      <c r="B358" t="s">
        <v>6</v>
      </c>
      <c r="C358">
        <v>64.696782969365898</v>
      </c>
      <c r="D358">
        <v>13</v>
      </c>
      <c r="G358">
        <v>48</v>
      </c>
      <c r="H358" t="s">
        <v>32</v>
      </c>
      <c r="I358">
        <v>91</v>
      </c>
      <c r="J358">
        <v>91</v>
      </c>
      <c r="K358">
        <v>8.4395604395604398</v>
      </c>
      <c r="L358">
        <v>20.5298021116607</v>
      </c>
      <c r="M358">
        <v>17.811406693175499</v>
      </c>
      <c r="N358">
        <v>122.612053749064</v>
      </c>
      <c r="O358">
        <v>0</v>
      </c>
      <c r="P358">
        <v>0</v>
      </c>
      <c r="Q358">
        <v>275.53353700000002</v>
      </c>
      <c r="R358">
        <v>259.270945780999</v>
      </c>
    </row>
    <row r="359" spans="1:18" x14ac:dyDescent="0.3">
      <c r="A359">
        <v>33</v>
      </c>
      <c r="B359" t="s">
        <v>7</v>
      </c>
      <c r="C359">
        <v>65.371942766099593</v>
      </c>
      <c r="D359">
        <v>13</v>
      </c>
      <c r="G359">
        <v>48</v>
      </c>
      <c r="H359" t="s">
        <v>33</v>
      </c>
      <c r="I359">
        <v>88</v>
      </c>
      <c r="J359">
        <v>88</v>
      </c>
      <c r="K359">
        <v>8.8977272727272698</v>
      </c>
      <c r="L359">
        <v>18.467846842576002</v>
      </c>
      <c r="M359">
        <v>17.811406693175499</v>
      </c>
      <c r="N359">
        <v>117.010413774608</v>
      </c>
      <c r="O359">
        <v>0</v>
      </c>
      <c r="P359">
        <v>0</v>
      </c>
      <c r="Q359">
        <v>246.005549</v>
      </c>
      <c r="R359">
        <v>232.81525867699901</v>
      </c>
    </row>
    <row r="360" spans="1:18" x14ac:dyDescent="0.3">
      <c r="A360">
        <v>33</v>
      </c>
      <c r="B360" t="s">
        <v>8</v>
      </c>
      <c r="C360">
        <v>79.724909299908802</v>
      </c>
      <c r="D360">
        <v>13.054794520547899</v>
      </c>
      <c r="G360">
        <v>48</v>
      </c>
      <c r="H360" t="s">
        <v>34</v>
      </c>
      <c r="I360">
        <v>86</v>
      </c>
      <c r="J360">
        <v>86</v>
      </c>
      <c r="K360">
        <v>8.4651162790697594</v>
      </c>
      <c r="L360">
        <v>18.211853828024701</v>
      </c>
      <c r="M360">
        <v>17.811406693175499</v>
      </c>
      <c r="N360">
        <v>116.020534152851</v>
      </c>
      <c r="O360">
        <v>0</v>
      </c>
      <c r="P360">
        <v>0</v>
      </c>
      <c r="Q360">
        <v>238.46683400000001</v>
      </c>
      <c r="R360">
        <v>225.164734081999</v>
      </c>
    </row>
    <row r="361" spans="1:18" x14ac:dyDescent="0.3">
      <c r="A361">
        <v>33</v>
      </c>
      <c r="B361" t="s">
        <v>9</v>
      </c>
      <c r="C361">
        <v>81.622229175325003</v>
      </c>
      <c r="D361">
        <v>14</v>
      </c>
      <c r="G361">
        <v>48</v>
      </c>
      <c r="H361" t="s">
        <v>35</v>
      </c>
      <c r="I361">
        <v>73</v>
      </c>
      <c r="J361">
        <v>73</v>
      </c>
      <c r="K361">
        <v>7.8904109589041003</v>
      </c>
      <c r="L361">
        <v>18.259222514372301</v>
      </c>
      <c r="M361">
        <v>17.811406693175499</v>
      </c>
      <c r="N361">
        <v>102.85865829552699</v>
      </c>
      <c r="O361">
        <v>0</v>
      </c>
      <c r="P361">
        <v>0</v>
      </c>
      <c r="Q361">
        <v>221.69788600000001</v>
      </c>
      <c r="R361">
        <v>199.7963579</v>
      </c>
    </row>
    <row r="362" spans="1:18" x14ac:dyDescent="0.3">
      <c r="A362">
        <v>33</v>
      </c>
      <c r="B362" t="s">
        <v>10</v>
      </c>
      <c r="C362">
        <v>117.33540451285</v>
      </c>
      <c r="D362">
        <v>14</v>
      </c>
      <c r="G362">
        <v>48</v>
      </c>
      <c r="H362" t="s">
        <v>36</v>
      </c>
      <c r="I362">
        <v>88</v>
      </c>
      <c r="J362">
        <v>88</v>
      </c>
      <c r="K362">
        <v>8.75</v>
      </c>
      <c r="L362">
        <v>18.785006658769401</v>
      </c>
      <c r="M362">
        <v>17.811406693175499</v>
      </c>
      <c r="N362">
        <v>117.93004363473101</v>
      </c>
      <c r="O362">
        <v>0</v>
      </c>
      <c r="P362">
        <v>0</v>
      </c>
      <c r="Q362">
        <v>255.46604300000001</v>
      </c>
      <c r="R362">
        <v>242.18440643899899</v>
      </c>
    </row>
    <row r="363" spans="1:18" x14ac:dyDescent="0.3">
      <c r="A363">
        <v>33</v>
      </c>
      <c r="B363" t="s">
        <v>11</v>
      </c>
      <c r="C363">
        <v>274.95290725901401</v>
      </c>
      <c r="D363">
        <v>0</v>
      </c>
      <c r="G363">
        <v>49</v>
      </c>
      <c r="H363" t="s">
        <v>25</v>
      </c>
      <c r="I363">
        <v>84</v>
      </c>
      <c r="J363">
        <v>82</v>
      </c>
      <c r="K363">
        <v>7.4047619047618998</v>
      </c>
      <c r="L363">
        <v>19.1115988692986</v>
      </c>
      <c r="M363">
        <v>17.6390550419882</v>
      </c>
      <c r="N363">
        <v>108.543194950794</v>
      </c>
      <c r="O363">
        <v>0</v>
      </c>
      <c r="P363">
        <v>0</v>
      </c>
      <c r="Q363">
        <v>239.33573999999899</v>
      </c>
      <c r="R363">
        <v>219.07300485299999</v>
      </c>
    </row>
    <row r="364" spans="1:18" x14ac:dyDescent="0.3">
      <c r="A364">
        <v>33</v>
      </c>
      <c r="B364" t="s">
        <v>12</v>
      </c>
      <c r="C364">
        <v>353.15600719434701</v>
      </c>
      <c r="D364">
        <v>0</v>
      </c>
      <c r="G364">
        <v>49</v>
      </c>
      <c r="H364" t="s">
        <v>26</v>
      </c>
      <c r="I364">
        <v>85</v>
      </c>
      <c r="J364">
        <v>85</v>
      </c>
      <c r="K364">
        <v>8.2470588235294109</v>
      </c>
      <c r="L364">
        <v>19.784334649608699</v>
      </c>
      <c r="M364">
        <v>17.6390550419882</v>
      </c>
      <c r="N364">
        <v>115.65075031178399</v>
      </c>
      <c r="O364">
        <v>0</v>
      </c>
      <c r="P364">
        <v>0</v>
      </c>
      <c r="Q364">
        <v>266.24540300000001</v>
      </c>
      <c r="R364">
        <v>248.96900834799899</v>
      </c>
    </row>
    <row r="365" spans="1:18" x14ac:dyDescent="0.3">
      <c r="A365">
        <v>33</v>
      </c>
      <c r="B365" t="s">
        <v>13</v>
      </c>
      <c r="C365">
        <v>353.858828717834</v>
      </c>
      <c r="D365">
        <v>0</v>
      </c>
      <c r="G365">
        <v>49</v>
      </c>
      <c r="H365" t="s">
        <v>27</v>
      </c>
      <c r="I365">
        <v>92</v>
      </c>
      <c r="J365">
        <v>91</v>
      </c>
      <c r="K365">
        <v>7.7934782608695601</v>
      </c>
      <c r="L365">
        <v>20.7879743815271</v>
      </c>
      <c r="M365">
        <v>17.6390550419882</v>
      </c>
      <c r="N365">
        <v>128.426481552008</v>
      </c>
      <c r="O365">
        <v>0</v>
      </c>
      <c r="P365">
        <v>0</v>
      </c>
      <c r="Q365">
        <v>288.16324499999899</v>
      </c>
      <c r="R365">
        <v>271.48643576999899</v>
      </c>
    </row>
    <row r="366" spans="1:18" x14ac:dyDescent="0.3">
      <c r="A366">
        <v>34</v>
      </c>
      <c r="B366" t="s">
        <v>3</v>
      </c>
      <c r="C366">
        <v>15.2813523013135</v>
      </c>
      <c r="D366">
        <v>13</v>
      </c>
      <c r="G366">
        <v>49</v>
      </c>
      <c r="H366" t="s">
        <v>28</v>
      </c>
      <c r="I366">
        <v>98</v>
      </c>
      <c r="J366">
        <v>97</v>
      </c>
      <c r="K366">
        <v>8.3571428571428505</v>
      </c>
      <c r="L366">
        <v>20.7273121244496</v>
      </c>
      <c r="M366">
        <v>17.6390550419882</v>
      </c>
      <c r="N366">
        <v>135.63820429327399</v>
      </c>
      <c r="O366">
        <v>0</v>
      </c>
      <c r="P366">
        <v>0</v>
      </c>
      <c r="Q366">
        <v>248.15294699999899</v>
      </c>
      <c r="R366">
        <v>232.97098551599899</v>
      </c>
    </row>
    <row r="367" spans="1:18" x14ac:dyDescent="0.3">
      <c r="A367">
        <v>34</v>
      </c>
      <c r="B367" t="s">
        <v>4</v>
      </c>
      <c r="C367">
        <v>15.6449559084418</v>
      </c>
      <c r="D367">
        <v>13</v>
      </c>
      <c r="G367">
        <v>49</v>
      </c>
      <c r="H367" t="s">
        <v>29</v>
      </c>
      <c r="I367">
        <v>98</v>
      </c>
      <c r="J367">
        <v>97</v>
      </c>
      <c r="K367">
        <v>8.3469387755101998</v>
      </c>
      <c r="L367">
        <v>20.797788158444099</v>
      </c>
      <c r="M367">
        <v>17.6390550419882</v>
      </c>
      <c r="N367">
        <v>136.35174490444899</v>
      </c>
      <c r="O367">
        <v>0</v>
      </c>
      <c r="P367">
        <v>0</v>
      </c>
      <c r="Q367">
        <v>244.96383299999999</v>
      </c>
      <c r="R367">
        <v>229.00041242399899</v>
      </c>
    </row>
    <row r="368" spans="1:18" x14ac:dyDescent="0.3">
      <c r="A368">
        <v>34</v>
      </c>
      <c r="B368" t="s">
        <v>5</v>
      </c>
      <c r="C368">
        <v>20.298885412857398</v>
      </c>
      <c r="D368">
        <v>13</v>
      </c>
      <c r="G368">
        <v>49</v>
      </c>
      <c r="H368" t="s">
        <v>30</v>
      </c>
      <c r="I368">
        <v>99</v>
      </c>
      <c r="J368">
        <v>98</v>
      </c>
      <c r="K368">
        <v>8.3939393939393891</v>
      </c>
      <c r="L368">
        <v>20.581134291572599</v>
      </c>
      <c r="M368">
        <v>17.6390550419882</v>
      </c>
      <c r="N368">
        <v>136.06823357415499</v>
      </c>
      <c r="O368">
        <v>0</v>
      </c>
      <c r="P368">
        <v>0</v>
      </c>
      <c r="Q368">
        <v>251.75719999999899</v>
      </c>
      <c r="R368">
        <v>236.47855426999899</v>
      </c>
    </row>
    <row r="369" spans="1:18" x14ac:dyDescent="0.3">
      <c r="A369">
        <v>34</v>
      </c>
      <c r="B369" t="s">
        <v>6</v>
      </c>
      <c r="C369">
        <v>64.334678586020502</v>
      </c>
      <c r="D369">
        <v>13</v>
      </c>
      <c r="G369">
        <v>49</v>
      </c>
      <c r="H369" t="s">
        <v>31</v>
      </c>
      <c r="I369">
        <v>81</v>
      </c>
      <c r="J369">
        <v>80</v>
      </c>
      <c r="K369">
        <v>7.3703703703703702</v>
      </c>
      <c r="L369">
        <v>20.377266109822301</v>
      </c>
      <c r="M369">
        <v>17.6390550419882</v>
      </c>
      <c r="N369">
        <v>117.72400718439199</v>
      </c>
      <c r="O369">
        <v>0</v>
      </c>
      <c r="P369">
        <v>0</v>
      </c>
      <c r="Q369">
        <v>246.477384999999</v>
      </c>
      <c r="R369">
        <v>224.05949027299999</v>
      </c>
    </row>
    <row r="370" spans="1:18" x14ac:dyDescent="0.3">
      <c r="A370">
        <v>34</v>
      </c>
      <c r="B370" t="s">
        <v>7</v>
      </c>
      <c r="C370">
        <v>65.208728554243194</v>
      </c>
      <c r="D370">
        <v>13</v>
      </c>
      <c r="G370">
        <v>49</v>
      </c>
      <c r="H370" t="s">
        <v>32</v>
      </c>
      <c r="I370">
        <v>87</v>
      </c>
      <c r="J370">
        <v>87</v>
      </c>
      <c r="K370">
        <v>8</v>
      </c>
      <c r="L370">
        <v>19.757034233265902</v>
      </c>
      <c r="M370">
        <v>17.6390550419882</v>
      </c>
      <c r="N370">
        <v>117.918481690856</v>
      </c>
      <c r="O370">
        <v>0</v>
      </c>
      <c r="P370">
        <v>0</v>
      </c>
      <c r="Q370">
        <v>247.88449999999901</v>
      </c>
      <c r="R370">
        <v>230.01134780899901</v>
      </c>
    </row>
    <row r="371" spans="1:18" x14ac:dyDescent="0.3">
      <c r="A371">
        <v>34</v>
      </c>
      <c r="B371" t="s">
        <v>8</v>
      </c>
      <c r="C371">
        <v>78.388358439358697</v>
      </c>
      <c r="D371">
        <v>13.054794520547899</v>
      </c>
      <c r="G371">
        <v>49</v>
      </c>
      <c r="H371" t="s">
        <v>33</v>
      </c>
      <c r="I371">
        <v>98</v>
      </c>
      <c r="J371">
        <v>98</v>
      </c>
      <c r="K371">
        <v>8.4795918367346896</v>
      </c>
      <c r="L371">
        <v>21.118979856970199</v>
      </c>
      <c r="M371">
        <v>17.6390550419882</v>
      </c>
      <c r="N371">
        <v>134.62601551036099</v>
      </c>
      <c r="O371">
        <v>0</v>
      </c>
      <c r="P371">
        <v>0</v>
      </c>
      <c r="Q371">
        <v>285.19797799999998</v>
      </c>
      <c r="R371">
        <v>270.17872534399999</v>
      </c>
    </row>
    <row r="372" spans="1:18" x14ac:dyDescent="0.3">
      <c r="A372">
        <v>34</v>
      </c>
      <c r="B372" t="s">
        <v>9</v>
      </c>
      <c r="C372">
        <v>80.240060586940004</v>
      </c>
      <c r="D372">
        <v>14</v>
      </c>
      <c r="G372">
        <v>49</v>
      </c>
      <c r="H372" t="s">
        <v>34</v>
      </c>
      <c r="I372">
        <v>87</v>
      </c>
      <c r="J372">
        <v>87</v>
      </c>
      <c r="K372">
        <v>8.7126436781609193</v>
      </c>
      <c r="L372">
        <v>18.382602475746602</v>
      </c>
      <c r="M372">
        <v>17.6390550419882</v>
      </c>
      <c r="N372">
        <v>116.736371800314</v>
      </c>
      <c r="O372">
        <v>0</v>
      </c>
      <c r="P372">
        <v>0</v>
      </c>
      <c r="Q372">
        <v>246.95206099999999</v>
      </c>
      <c r="R372">
        <v>233.864564108</v>
      </c>
    </row>
    <row r="373" spans="1:18" x14ac:dyDescent="0.3">
      <c r="A373">
        <v>34</v>
      </c>
      <c r="B373" t="s">
        <v>10</v>
      </c>
      <c r="C373">
        <v>117.413525349431</v>
      </c>
      <c r="D373">
        <v>14</v>
      </c>
      <c r="G373">
        <v>49</v>
      </c>
      <c r="H373" t="s">
        <v>35</v>
      </c>
      <c r="I373">
        <v>72</v>
      </c>
      <c r="J373">
        <v>72</v>
      </c>
      <c r="K373">
        <v>7.7638888888888804</v>
      </c>
      <c r="L373">
        <v>18.0952613856211</v>
      </c>
      <c r="M373">
        <v>17.6390550419882</v>
      </c>
      <c r="N373">
        <v>100.729956236758</v>
      </c>
      <c r="O373">
        <v>0</v>
      </c>
      <c r="P373">
        <v>0</v>
      </c>
      <c r="Q373">
        <v>234.60532499999999</v>
      </c>
      <c r="R373">
        <v>212.76242871699901</v>
      </c>
    </row>
    <row r="374" spans="1:18" x14ac:dyDescent="0.3">
      <c r="A374">
        <v>34</v>
      </c>
      <c r="B374" t="s">
        <v>11</v>
      </c>
      <c r="C374">
        <v>276.21811045142903</v>
      </c>
      <c r="D374">
        <v>0</v>
      </c>
      <c r="G374">
        <v>49</v>
      </c>
      <c r="H374" t="s">
        <v>36</v>
      </c>
      <c r="I374">
        <v>86</v>
      </c>
      <c r="J374">
        <v>86</v>
      </c>
      <c r="K374">
        <v>8.4651162790697594</v>
      </c>
      <c r="L374">
        <v>18.0124943884963</v>
      </c>
      <c r="M374">
        <v>17.6390550419882</v>
      </c>
      <c r="N374">
        <v>115.628126475874</v>
      </c>
      <c r="O374">
        <v>0</v>
      </c>
      <c r="P374">
        <v>0</v>
      </c>
      <c r="Q374">
        <v>223.41286099999999</v>
      </c>
      <c r="R374">
        <v>210.41888933299899</v>
      </c>
    </row>
    <row r="375" spans="1:18" x14ac:dyDescent="0.3">
      <c r="A375">
        <v>34</v>
      </c>
      <c r="B375" t="s">
        <v>12</v>
      </c>
      <c r="C375">
        <v>352.27134149794801</v>
      </c>
      <c r="D375">
        <v>0</v>
      </c>
      <c r="G375">
        <v>50</v>
      </c>
      <c r="H375" t="s">
        <v>25</v>
      </c>
      <c r="I375">
        <v>80</v>
      </c>
      <c r="J375">
        <v>78</v>
      </c>
      <c r="K375">
        <v>7.25</v>
      </c>
      <c r="L375">
        <v>18.8000483757436</v>
      </c>
      <c r="M375">
        <v>17.769033237512701</v>
      </c>
      <c r="N375">
        <v>101.926781209466</v>
      </c>
      <c r="O375">
        <v>0</v>
      </c>
      <c r="P375">
        <v>0</v>
      </c>
      <c r="Q375">
        <v>222.301301999999</v>
      </c>
      <c r="R375">
        <v>200.83498497900001</v>
      </c>
    </row>
    <row r="376" spans="1:18" x14ac:dyDescent="0.3">
      <c r="A376">
        <v>34</v>
      </c>
      <c r="B376" t="s">
        <v>13</v>
      </c>
      <c r="C376">
        <v>353.41623852834698</v>
      </c>
      <c r="D376">
        <v>0</v>
      </c>
      <c r="G376">
        <v>50</v>
      </c>
      <c r="H376" t="s">
        <v>26</v>
      </c>
      <c r="I376">
        <v>94</v>
      </c>
      <c r="J376">
        <v>93</v>
      </c>
      <c r="K376">
        <v>8.1276595744680797</v>
      </c>
      <c r="L376">
        <v>20.590099347926198</v>
      </c>
      <c r="M376">
        <v>17.769033237512701</v>
      </c>
      <c r="N376">
        <v>130.47676330948499</v>
      </c>
      <c r="O376">
        <v>0</v>
      </c>
      <c r="P376">
        <v>0</v>
      </c>
      <c r="Q376">
        <v>267.750812</v>
      </c>
      <c r="R376">
        <v>251.666715205999</v>
      </c>
    </row>
    <row r="377" spans="1:18" x14ac:dyDescent="0.3">
      <c r="A377">
        <v>35</v>
      </c>
      <c r="B377" t="s">
        <v>3</v>
      </c>
      <c r="C377">
        <v>15.801535513622699</v>
      </c>
      <c r="D377">
        <v>13</v>
      </c>
      <c r="G377">
        <v>50</v>
      </c>
      <c r="H377" t="s">
        <v>27</v>
      </c>
      <c r="I377">
        <v>95</v>
      </c>
      <c r="J377">
        <v>93</v>
      </c>
      <c r="K377">
        <v>8.1263157894736793</v>
      </c>
      <c r="L377">
        <v>20.7198471626618</v>
      </c>
      <c r="M377">
        <v>17.769033237512701</v>
      </c>
      <c r="N377">
        <v>131.57680569863001</v>
      </c>
      <c r="O377">
        <v>0</v>
      </c>
      <c r="P377">
        <v>0</v>
      </c>
      <c r="Q377">
        <v>287.56008400000002</v>
      </c>
      <c r="R377">
        <v>271.07127519699901</v>
      </c>
    </row>
    <row r="378" spans="1:18" x14ac:dyDescent="0.3">
      <c r="A378">
        <v>35</v>
      </c>
      <c r="B378" t="s">
        <v>4</v>
      </c>
      <c r="C378">
        <v>15.313408966974199</v>
      </c>
      <c r="D378">
        <v>13</v>
      </c>
      <c r="G378">
        <v>50</v>
      </c>
      <c r="H378" t="s">
        <v>28</v>
      </c>
      <c r="I378">
        <v>100</v>
      </c>
      <c r="J378">
        <v>99</v>
      </c>
      <c r="K378">
        <v>8.48</v>
      </c>
      <c r="L378">
        <v>20.793018322182501</v>
      </c>
      <c r="M378">
        <v>17.769033237512701</v>
      </c>
      <c r="N378">
        <v>137.910626726679</v>
      </c>
      <c r="O378">
        <v>0</v>
      </c>
      <c r="P378">
        <v>0</v>
      </c>
      <c r="Q378">
        <v>251.56201999999999</v>
      </c>
      <c r="R378">
        <v>236.51930520499999</v>
      </c>
    </row>
    <row r="379" spans="1:18" x14ac:dyDescent="0.3">
      <c r="A379">
        <v>35</v>
      </c>
      <c r="B379" t="s">
        <v>5</v>
      </c>
      <c r="C379">
        <v>19.6553731277072</v>
      </c>
      <c r="D379">
        <v>13</v>
      </c>
      <c r="G379">
        <v>50</v>
      </c>
      <c r="H379" t="s">
        <v>29</v>
      </c>
      <c r="I379">
        <v>100</v>
      </c>
      <c r="J379">
        <v>99</v>
      </c>
      <c r="K379">
        <v>8.48</v>
      </c>
      <c r="L379">
        <v>20.722303688297501</v>
      </c>
      <c r="M379">
        <v>17.769033237512701</v>
      </c>
      <c r="N379">
        <v>137.54561761436</v>
      </c>
      <c r="O379">
        <v>0</v>
      </c>
      <c r="P379">
        <v>0</v>
      </c>
      <c r="Q379">
        <v>246.548734</v>
      </c>
      <c r="R379">
        <v>231.21947861199899</v>
      </c>
    </row>
    <row r="380" spans="1:18" x14ac:dyDescent="0.3">
      <c r="A380">
        <v>35</v>
      </c>
      <c r="B380" t="s">
        <v>6</v>
      </c>
      <c r="C380">
        <v>64.889635798370406</v>
      </c>
      <c r="D380">
        <v>13</v>
      </c>
      <c r="G380">
        <v>50</v>
      </c>
      <c r="H380" t="s">
        <v>30</v>
      </c>
      <c r="I380">
        <v>98</v>
      </c>
      <c r="J380">
        <v>97</v>
      </c>
      <c r="K380">
        <v>8.3469387755101998</v>
      </c>
      <c r="L380">
        <v>20.6547607290189</v>
      </c>
      <c r="M380">
        <v>17.769033237512701</v>
      </c>
      <c r="N380">
        <v>135.116634023388</v>
      </c>
      <c r="O380">
        <v>0</v>
      </c>
      <c r="P380">
        <v>0</v>
      </c>
      <c r="Q380">
        <v>250.01104100000001</v>
      </c>
      <c r="R380">
        <v>234.07044123799901</v>
      </c>
    </row>
    <row r="381" spans="1:18" x14ac:dyDescent="0.3">
      <c r="A381">
        <v>35</v>
      </c>
      <c r="B381" t="s">
        <v>7</v>
      </c>
      <c r="C381">
        <v>65.512950080228904</v>
      </c>
      <c r="D381">
        <v>13</v>
      </c>
      <c r="G381">
        <v>50</v>
      </c>
      <c r="H381" t="s">
        <v>31</v>
      </c>
      <c r="I381">
        <v>78</v>
      </c>
      <c r="J381">
        <v>77</v>
      </c>
      <c r="K381">
        <v>7.2051282051282</v>
      </c>
      <c r="L381">
        <v>20.129773153417201</v>
      </c>
      <c r="M381">
        <v>17.769033237512701</v>
      </c>
      <c r="N381">
        <v>112.516961194419</v>
      </c>
      <c r="O381">
        <v>0</v>
      </c>
      <c r="P381">
        <v>0</v>
      </c>
      <c r="Q381">
        <v>230.80100599999901</v>
      </c>
      <c r="R381">
        <v>207.09080961599901</v>
      </c>
    </row>
    <row r="382" spans="1:18" x14ac:dyDescent="0.3">
      <c r="A382">
        <v>35</v>
      </c>
      <c r="B382" t="s">
        <v>8</v>
      </c>
      <c r="C382">
        <v>79.189119188003602</v>
      </c>
      <c r="D382">
        <v>13.054794520547899</v>
      </c>
      <c r="G382">
        <v>50</v>
      </c>
      <c r="H382" t="s">
        <v>32</v>
      </c>
      <c r="I382">
        <v>88</v>
      </c>
      <c r="J382">
        <v>88</v>
      </c>
      <c r="K382">
        <v>8.4659090909090899</v>
      </c>
      <c r="L382">
        <v>20.449602235774201</v>
      </c>
      <c r="M382">
        <v>17.769033237512701</v>
      </c>
      <c r="N382">
        <v>118.824544303916</v>
      </c>
      <c r="O382">
        <v>0</v>
      </c>
      <c r="P382">
        <v>0</v>
      </c>
      <c r="Q382">
        <v>274.68807900000002</v>
      </c>
      <c r="R382">
        <v>256.973632944999</v>
      </c>
    </row>
    <row r="383" spans="1:18" x14ac:dyDescent="0.3">
      <c r="A383">
        <v>35</v>
      </c>
      <c r="B383" t="s">
        <v>9</v>
      </c>
      <c r="C383">
        <v>80.062612692046301</v>
      </c>
      <c r="D383">
        <v>14</v>
      </c>
      <c r="G383">
        <v>50</v>
      </c>
      <c r="H383" t="s">
        <v>33</v>
      </c>
      <c r="I383">
        <v>87</v>
      </c>
      <c r="J383">
        <v>87</v>
      </c>
      <c r="K383">
        <v>8.7011494252873494</v>
      </c>
      <c r="L383">
        <v>18.543695197201</v>
      </c>
      <c r="M383">
        <v>17.769033237512701</v>
      </c>
      <c r="N383">
        <v>116.232354547542</v>
      </c>
      <c r="O383">
        <v>0</v>
      </c>
      <c r="P383">
        <v>0</v>
      </c>
      <c r="Q383">
        <v>240.70508100000001</v>
      </c>
      <c r="R383">
        <v>227.42971464299899</v>
      </c>
    </row>
    <row r="384" spans="1:18" x14ac:dyDescent="0.3">
      <c r="A384">
        <v>35</v>
      </c>
      <c r="B384" t="s">
        <v>10</v>
      </c>
      <c r="C384">
        <v>117.860721420274</v>
      </c>
      <c r="D384">
        <v>14</v>
      </c>
      <c r="G384">
        <v>50</v>
      </c>
      <c r="H384" t="s">
        <v>34</v>
      </c>
      <c r="I384">
        <v>86</v>
      </c>
      <c r="J384">
        <v>86</v>
      </c>
      <c r="K384">
        <v>8.4651162790697594</v>
      </c>
      <c r="L384">
        <v>18.366136526793198</v>
      </c>
      <c r="M384">
        <v>17.769033237512701</v>
      </c>
      <c r="N384">
        <v>116.388377352471</v>
      </c>
      <c r="O384">
        <v>0</v>
      </c>
      <c r="P384">
        <v>0</v>
      </c>
      <c r="Q384">
        <v>239.06922599999999</v>
      </c>
      <c r="R384">
        <v>225.707465552999</v>
      </c>
    </row>
    <row r="385" spans="1:18" x14ac:dyDescent="0.3">
      <c r="A385">
        <v>35</v>
      </c>
      <c r="B385" t="s">
        <v>11</v>
      </c>
      <c r="C385">
        <v>274.95146333130498</v>
      </c>
      <c r="D385">
        <v>0</v>
      </c>
      <c r="G385">
        <v>50</v>
      </c>
      <c r="H385" t="s">
        <v>35</v>
      </c>
      <c r="I385">
        <v>74</v>
      </c>
      <c r="J385">
        <v>74</v>
      </c>
      <c r="K385">
        <v>7.9594594594594597</v>
      </c>
      <c r="L385">
        <v>18.361834654481399</v>
      </c>
      <c r="M385">
        <v>17.769033237512701</v>
      </c>
      <c r="N385">
        <v>102.882169746755</v>
      </c>
      <c r="O385">
        <v>0</v>
      </c>
      <c r="P385">
        <v>0</v>
      </c>
      <c r="Q385">
        <v>221.78123299999999</v>
      </c>
      <c r="R385">
        <v>200.17785081599999</v>
      </c>
    </row>
    <row r="386" spans="1:18" x14ac:dyDescent="0.3">
      <c r="A386">
        <v>35</v>
      </c>
      <c r="B386" t="s">
        <v>12</v>
      </c>
      <c r="C386">
        <v>352.58959999039899</v>
      </c>
      <c r="D386">
        <v>0</v>
      </c>
      <c r="G386">
        <v>50</v>
      </c>
      <c r="H386" t="s">
        <v>36</v>
      </c>
      <c r="I386">
        <v>86</v>
      </c>
      <c r="J386">
        <v>86</v>
      </c>
      <c r="K386">
        <v>8.4651162790697594</v>
      </c>
      <c r="L386">
        <v>18.474742805203999</v>
      </c>
      <c r="M386">
        <v>17.769033237512701</v>
      </c>
      <c r="N386">
        <v>115.66308974892399</v>
      </c>
      <c r="O386">
        <v>0</v>
      </c>
      <c r="P386">
        <v>0</v>
      </c>
      <c r="Q386">
        <v>254.283975</v>
      </c>
      <c r="R386">
        <v>241.021107419999</v>
      </c>
    </row>
    <row r="387" spans="1:18" x14ac:dyDescent="0.3">
      <c r="A387">
        <v>35</v>
      </c>
      <c r="B387" t="s">
        <v>13</v>
      </c>
      <c r="C387">
        <v>353.60972237238201</v>
      </c>
      <c r="D387">
        <v>0</v>
      </c>
      <c r="G387">
        <v>51</v>
      </c>
      <c r="H387" t="s">
        <v>25</v>
      </c>
      <c r="I387">
        <v>81</v>
      </c>
      <c r="J387">
        <v>79</v>
      </c>
      <c r="K387">
        <v>7.2716049382715999</v>
      </c>
      <c r="L387">
        <v>18.766776984043201</v>
      </c>
      <c r="M387">
        <v>17.932182878599001</v>
      </c>
      <c r="N387">
        <v>103.395448322877</v>
      </c>
      <c r="O387">
        <v>0</v>
      </c>
      <c r="P387">
        <v>0</v>
      </c>
      <c r="Q387">
        <v>223.87485999999899</v>
      </c>
      <c r="R387">
        <v>203.279941783</v>
      </c>
    </row>
    <row r="388" spans="1:18" x14ac:dyDescent="0.3">
      <c r="A388">
        <v>36</v>
      </c>
      <c r="B388" t="s">
        <v>3</v>
      </c>
      <c r="C388">
        <v>15.2261688787931</v>
      </c>
      <c r="D388">
        <v>13</v>
      </c>
      <c r="G388">
        <v>51</v>
      </c>
      <c r="H388" t="s">
        <v>26</v>
      </c>
      <c r="I388">
        <v>93</v>
      </c>
      <c r="J388">
        <v>92</v>
      </c>
      <c r="K388">
        <v>7.8817204301075199</v>
      </c>
      <c r="L388">
        <v>20.275364710573601</v>
      </c>
      <c r="M388">
        <v>17.932182878599001</v>
      </c>
      <c r="N388">
        <v>130.35147478363299</v>
      </c>
      <c r="O388">
        <v>0</v>
      </c>
      <c r="P388">
        <v>0</v>
      </c>
      <c r="Q388">
        <v>261.94964099999999</v>
      </c>
      <c r="R388">
        <v>246.63756481799899</v>
      </c>
    </row>
    <row r="389" spans="1:18" x14ac:dyDescent="0.3">
      <c r="A389">
        <v>36</v>
      </c>
      <c r="B389" t="s">
        <v>4</v>
      </c>
      <c r="C389">
        <v>15.2003125905925</v>
      </c>
      <c r="D389">
        <v>13</v>
      </c>
      <c r="G389">
        <v>51</v>
      </c>
      <c r="H389" t="s">
        <v>27</v>
      </c>
      <c r="I389">
        <v>95</v>
      </c>
      <c r="J389">
        <v>93</v>
      </c>
      <c r="K389">
        <v>8.1263157894736793</v>
      </c>
      <c r="L389">
        <v>20.697828354185202</v>
      </c>
      <c r="M389">
        <v>17.932182878599001</v>
      </c>
      <c r="N389">
        <v>132.79638661356799</v>
      </c>
      <c r="O389">
        <v>0</v>
      </c>
      <c r="P389">
        <v>0</v>
      </c>
      <c r="Q389">
        <v>281.24119999999999</v>
      </c>
      <c r="R389">
        <v>264.60014550499898</v>
      </c>
    </row>
    <row r="390" spans="1:18" x14ac:dyDescent="0.3">
      <c r="A390">
        <v>36</v>
      </c>
      <c r="B390" t="s">
        <v>5</v>
      </c>
      <c r="C390">
        <v>19.422382027834601</v>
      </c>
      <c r="D390">
        <v>13</v>
      </c>
      <c r="G390">
        <v>51</v>
      </c>
      <c r="H390" t="s">
        <v>28</v>
      </c>
      <c r="I390">
        <v>100</v>
      </c>
      <c r="J390">
        <v>99</v>
      </c>
      <c r="K390">
        <v>8.48</v>
      </c>
      <c r="L390">
        <v>20.9398308891654</v>
      </c>
      <c r="M390">
        <v>17.932182878599001</v>
      </c>
      <c r="N390">
        <v>137.77663674592901</v>
      </c>
      <c r="O390">
        <v>0</v>
      </c>
      <c r="P390">
        <v>0</v>
      </c>
      <c r="Q390">
        <v>251.70361</v>
      </c>
      <c r="R390">
        <v>236.886886105</v>
      </c>
    </row>
    <row r="391" spans="1:18" x14ac:dyDescent="0.3">
      <c r="A391">
        <v>36</v>
      </c>
      <c r="B391" t="s">
        <v>6</v>
      </c>
      <c r="C391">
        <v>64.859782145045301</v>
      </c>
      <c r="D391">
        <v>13</v>
      </c>
      <c r="G391">
        <v>51</v>
      </c>
      <c r="H391" t="s">
        <v>29</v>
      </c>
      <c r="I391">
        <v>99</v>
      </c>
      <c r="J391">
        <v>98</v>
      </c>
      <c r="K391">
        <v>8.3939393939393891</v>
      </c>
      <c r="L391">
        <v>20.759143819865798</v>
      </c>
      <c r="M391">
        <v>17.932182878599001</v>
      </c>
      <c r="N391">
        <v>135.01890686430301</v>
      </c>
      <c r="O391">
        <v>0</v>
      </c>
      <c r="P391">
        <v>0</v>
      </c>
      <c r="Q391">
        <v>244.132259</v>
      </c>
      <c r="R391">
        <v>227.65511952199901</v>
      </c>
    </row>
    <row r="392" spans="1:18" x14ac:dyDescent="0.3">
      <c r="A392">
        <v>36</v>
      </c>
      <c r="B392" t="s">
        <v>7</v>
      </c>
      <c r="C392">
        <v>65.858164757740397</v>
      </c>
      <c r="D392">
        <v>13</v>
      </c>
      <c r="G392">
        <v>51</v>
      </c>
      <c r="H392" t="s">
        <v>30</v>
      </c>
      <c r="I392">
        <v>98</v>
      </c>
      <c r="J392">
        <v>97</v>
      </c>
      <c r="K392">
        <v>8.2653061224489797</v>
      </c>
      <c r="L392">
        <v>20.7445112764733</v>
      </c>
      <c r="M392">
        <v>17.932182878599001</v>
      </c>
      <c r="N392">
        <v>134.908993865784</v>
      </c>
      <c r="O392">
        <v>0</v>
      </c>
      <c r="P392">
        <v>0</v>
      </c>
      <c r="Q392">
        <v>247.534751</v>
      </c>
      <c r="R392">
        <v>232.17868131799901</v>
      </c>
    </row>
    <row r="393" spans="1:18" x14ac:dyDescent="0.3">
      <c r="A393">
        <v>36</v>
      </c>
      <c r="B393" t="s">
        <v>8</v>
      </c>
      <c r="C393">
        <v>79.391880933437093</v>
      </c>
      <c r="D393">
        <v>13</v>
      </c>
      <c r="G393">
        <v>51</v>
      </c>
      <c r="H393" t="s">
        <v>31</v>
      </c>
      <c r="I393">
        <v>78</v>
      </c>
      <c r="J393">
        <v>77</v>
      </c>
      <c r="K393">
        <v>7.0769230769230704</v>
      </c>
      <c r="L393">
        <v>20.232666338712999</v>
      </c>
      <c r="M393">
        <v>17.932182878599001</v>
      </c>
      <c r="N393">
        <v>112.205117500527</v>
      </c>
      <c r="O393">
        <v>0</v>
      </c>
      <c r="P393">
        <v>0</v>
      </c>
      <c r="Q393">
        <v>232.36915599999901</v>
      </c>
      <c r="R393">
        <v>208.62411797599901</v>
      </c>
    </row>
    <row r="394" spans="1:18" x14ac:dyDescent="0.3">
      <c r="A394">
        <v>36</v>
      </c>
      <c r="B394" t="s">
        <v>9</v>
      </c>
      <c r="C394">
        <v>81.307445394780302</v>
      </c>
      <c r="D394">
        <v>11.590361445783101</v>
      </c>
      <c r="G394">
        <v>51</v>
      </c>
      <c r="H394" t="s">
        <v>32</v>
      </c>
      <c r="I394">
        <v>88</v>
      </c>
      <c r="J394">
        <v>88</v>
      </c>
      <c r="K394">
        <v>8.4659090909090899</v>
      </c>
      <c r="L394">
        <v>20.3973884254277</v>
      </c>
      <c r="M394">
        <v>17.932182878599001</v>
      </c>
      <c r="N394">
        <v>118.108114489662</v>
      </c>
      <c r="O394">
        <v>0</v>
      </c>
      <c r="P394">
        <v>0</v>
      </c>
      <c r="Q394">
        <v>273.119415</v>
      </c>
      <c r="R394">
        <v>256.41399904299902</v>
      </c>
    </row>
    <row r="395" spans="1:18" x14ac:dyDescent="0.3">
      <c r="A395">
        <v>36</v>
      </c>
      <c r="B395" t="s">
        <v>10</v>
      </c>
      <c r="C395">
        <v>116.78195960203</v>
      </c>
      <c r="D395">
        <v>10.242647058823501</v>
      </c>
      <c r="G395">
        <v>51</v>
      </c>
      <c r="H395" t="s">
        <v>33</v>
      </c>
      <c r="I395">
        <v>85</v>
      </c>
      <c r="J395">
        <v>85</v>
      </c>
      <c r="K395">
        <v>8.5647058823529392</v>
      </c>
      <c r="L395">
        <v>18.288048017195202</v>
      </c>
      <c r="M395">
        <v>17.932182878599001</v>
      </c>
      <c r="N395">
        <v>114.119420035419</v>
      </c>
      <c r="O395">
        <v>0</v>
      </c>
      <c r="P395">
        <v>0</v>
      </c>
      <c r="Q395">
        <v>241.780586</v>
      </c>
      <c r="R395">
        <v>228.66567710299901</v>
      </c>
    </row>
    <row r="396" spans="1:18" x14ac:dyDescent="0.3">
      <c r="A396">
        <v>36</v>
      </c>
      <c r="B396" t="s">
        <v>11</v>
      </c>
      <c r="C396">
        <v>274.49114161172599</v>
      </c>
      <c r="D396">
        <v>13.9101796407185</v>
      </c>
      <c r="G396">
        <v>51</v>
      </c>
      <c r="H396" t="s">
        <v>34</v>
      </c>
      <c r="I396">
        <v>87</v>
      </c>
      <c r="J396">
        <v>87</v>
      </c>
      <c r="K396">
        <v>8.6321839080459704</v>
      </c>
      <c r="L396">
        <v>18.487425331843799</v>
      </c>
      <c r="M396">
        <v>17.932182878599001</v>
      </c>
      <c r="N396">
        <v>117.25859448321999</v>
      </c>
      <c r="O396">
        <v>0</v>
      </c>
      <c r="P396">
        <v>0</v>
      </c>
      <c r="Q396">
        <v>238.88593900000001</v>
      </c>
      <c r="R396">
        <v>225.443124546999</v>
      </c>
    </row>
    <row r="397" spans="1:18" x14ac:dyDescent="0.3">
      <c r="A397">
        <v>36</v>
      </c>
      <c r="B397" t="s">
        <v>12</v>
      </c>
      <c r="C397">
        <v>353.54246799501601</v>
      </c>
      <c r="D397">
        <v>14</v>
      </c>
      <c r="G397">
        <v>51</v>
      </c>
      <c r="H397" t="s">
        <v>35</v>
      </c>
      <c r="I397">
        <v>73</v>
      </c>
      <c r="J397">
        <v>73</v>
      </c>
      <c r="K397">
        <v>8.0821917808219101</v>
      </c>
      <c r="L397">
        <v>16.482770988563399</v>
      </c>
      <c r="M397">
        <v>17.932182878599001</v>
      </c>
      <c r="N397">
        <v>101.524020270866</v>
      </c>
      <c r="O397">
        <v>0</v>
      </c>
      <c r="P397">
        <v>0</v>
      </c>
      <c r="Q397">
        <v>197.34033600000001</v>
      </c>
      <c r="R397">
        <v>180.59833494599999</v>
      </c>
    </row>
    <row r="398" spans="1:18" x14ac:dyDescent="0.3">
      <c r="A398">
        <v>36</v>
      </c>
      <c r="B398" t="s">
        <v>13</v>
      </c>
      <c r="C398">
        <v>354.26609876577101</v>
      </c>
      <c r="D398">
        <v>0</v>
      </c>
      <c r="G398">
        <v>51</v>
      </c>
      <c r="H398" t="s">
        <v>36</v>
      </c>
      <c r="I398">
        <v>86</v>
      </c>
      <c r="J398">
        <v>86</v>
      </c>
      <c r="K398">
        <v>8.6162790697674403</v>
      </c>
      <c r="L398">
        <v>18.433878518001201</v>
      </c>
      <c r="M398">
        <v>17.932182878599001</v>
      </c>
      <c r="N398">
        <v>115.04369919072801</v>
      </c>
      <c r="O398">
        <v>0</v>
      </c>
      <c r="P398">
        <v>0</v>
      </c>
      <c r="Q398">
        <v>250.03895299999999</v>
      </c>
      <c r="R398">
        <v>236.582362469</v>
      </c>
    </row>
    <row r="399" spans="1:18" x14ac:dyDescent="0.3">
      <c r="A399">
        <v>37</v>
      </c>
      <c r="B399" t="s">
        <v>3</v>
      </c>
      <c r="C399">
        <v>15.4971292843088</v>
      </c>
      <c r="D399">
        <v>13</v>
      </c>
      <c r="G399">
        <v>52</v>
      </c>
      <c r="H399" t="s">
        <v>25</v>
      </c>
      <c r="I399">
        <v>98</v>
      </c>
      <c r="J399">
        <v>98</v>
      </c>
      <c r="K399">
        <v>10.1938775510204</v>
      </c>
      <c r="L399">
        <v>20.734315845589499</v>
      </c>
      <c r="M399">
        <v>19.722572473459799</v>
      </c>
      <c r="N399">
        <v>104.033704528958</v>
      </c>
      <c r="O399">
        <v>0</v>
      </c>
      <c r="P399">
        <v>0</v>
      </c>
      <c r="Q399">
        <v>244.88753299999999</v>
      </c>
      <c r="R399">
        <v>222.385951360999</v>
      </c>
    </row>
    <row r="400" spans="1:18" x14ac:dyDescent="0.3">
      <c r="A400">
        <v>37</v>
      </c>
      <c r="B400" t="s">
        <v>4</v>
      </c>
      <c r="C400">
        <v>15.2629392474838</v>
      </c>
      <c r="D400">
        <v>13</v>
      </c>
      <c r="G400">
        <v>52</v>
      </c>
      <c r="H400" t="s">
        <v>26</v>
      </c>
      <c r="I400">
        <v>117</v>
      </c>
      <c r="J400">
        <v>117</v>
      </c>
      <c r="K400">
        <v>13.991452991452899</v>
      </c>
      <c r="L400">
        <v>20.869900824252301</v>
      </c>
      <c r="M400">
        <v>19.722572473459799</v>
      </c>
      <c r="N400">
        <v>121.900885439419</v>
      </c>
      <c r="O400">
        <v>0</v>
      </c>
      <c r="P400">
        <v>0</v>
      </c>
      <c r="Q400">
        <v>251.64402699999999</v>
      </c>
      <c r="R400">
        <v>236.715325444999</v>
      </c>
    </row>
    <row r="401" spans="1:18" x14ac:dyDescent="0.3">
      <c r="A401">
        <v>37</v>
      </c>
      <c r="B401" t="s">
        <v>5</v>
      </c>
      <c r="C401">
        <v>19.661342359167101</v>
      </c>
      <c r="D401">
        <v>13</v>
      </c>
      <c r="G401">
        <v>52</v>
      </c>
      <c r="H401" t="s">
        <v>27</v>
      </c>
      <c r="I401">
        <v>118</v>
      </c>
      <c r="J401">
        <v>118</v>
      </c>
      <c r="K401">
        <v>13.6864406779661</v>
      </c>
      <c r="L401">
        <v>21.468661656737901</v>
      </c>
      <c r="M401">
        <v>19.722572473459799</v>
      </c>
      <c r="N401">
        <v>123.80615223845101</v>
      </c>
      <c r="O401">
        <v>0</v>
      </c>
      <c r="P401">
        <v>0</v>
      </c>
      <c r="Q401">
        <v>292.23541799999998</v>
      </c>
      <c r="R401">
        <v>274.478612677</v>
      </c>
    </row>
    <row r="402" spans="1:18" x14ac:dyDescent="0.3">
      <c r="A402">
        <v>37</v>
      </c>
      <c r="B402" t="s">
        <v>6</v>
      </c>
      <c r="C402">
        <v>64.180532417068093</v>
      </c>
      <c r="D402">
        <v>13</v>
      </c>
      <c r="G402">
        <v>52</v>
      </c>
      <c r="H402" t="s">
        <v>28</v>
      </c>
      <c r="I402">
        <v>137</v>
      </c>
      <c r="J402">
        <v>137</v>
      </c>
      <c r="K402">
        <v>14.620437956204301</v>
      </c>
      <c r="L402">
        <v>23.780205254279</v>
      </c>
      <c r="M402">
        <v>19.722572473459799</v>
      </c>
      <c r="N402">
        <v>143.32356962966699</v>
      </c>
      <c r="O402">
        <v>0</v>
      </c>
      <c r="P402">
        <v>0</v>
      </c>
      <c r="Q402">
        <v>310.03541999999999</v>
      </c>
      <c r="R402">
        <v>297.886077599999</v>
      </c>
    </row>
    <row r="403" spans="1:18" x14ac:dyDescent="0.3">
      <c r="A403">
        <v>37</v>
      </c>
      <c r="B403" t="s">
        <v>7</v>
      </c>
      <c r="C403">
        <v>66.092492684021906</v>
      </c>
      <c r="D403">
        <v>13</v>
      </c>
      <c r="G403">
        <v>53</v>
      </c>
      <c r="H403" t="s">
        <v>25</v>
      </c>
      <c r="I403">
        <v>81</v>
      </c>
      <c r="J403">
        <v>79</v>
      </c>
      <c r="K403">
        <v>7.2469135802469102</v>
      </c>
      <c r="L403">
        <v>18.661885184596599</v>
      </c>
      <c r="M403">
        <v>17.736158248876599</v>
      </c>
      <c r="N403">
        <v>103.378864132156</v>
      </c>
      <c r="O403">
        <v>0</v>
      </c>
      <c r="P403">
        <v>0</v>
      </c>
      <c r="Q403">
        <v>225.46507699999901</v>
      </c>
      <c r="R403">
        <v>204.742954948999</v>
      </c>
    </row>
    <row r="404" spans="1:18" x14ac:dyDescent="0.3">
      <c r="A404">
        <v>37</v>
      </c>
      <c r="B404" t="s">
        <v>8</v>
      </c>
      <c r="C404">
        <v>79.113317598034499</v>
      </c>
      <c r="D404">
        <v>13</v>
      </c>
      <c r="G404">
        <v>53</v>
      </c>
      <c r="H404" t="s">
        <v>26</v>
      </c>
      <c r="I404">
        <v>95</v>
      </c>
      <c r="J404">
        <v>94</v>
      </c>
      <c r="K404">
        <v>8.1684210526315795</v>
      </c>
      <c r="L404">
        <v>20.690118118435699</v>
      </c>
      <c r="M404">
        <v>17.736158248876599</v>
      </c>
      <c r="N404">
        <v>132.34988778050101</v>
      </c>
      <c r="O404">
        <v>0</v>
      </c>
      <c r="P404">
        <v>0</v>
      </c>
      <c r="Q404">
        <v>268.064954</v>
      </c>
      <c r="R404">
        <v>252.104140666999</v>
      </c>
    </row>
    <row r="405" spans="1:18" x14ac:dyDescent="0.3">
      <c r="A405">
        <v>37</v>
      </c>
      <c r="B405" t="s">
        <v>9</v>
      </c>
      <c r="C405">
        <v>81.390018518865105</v>
      </c>
      <c r="D405">
        <v>11.590361445783101</v>
      </c>
      <c r="G405">
        <v>53</v>
      </c>
      <c r="H405" t="s">
        <v>27</v>
      </c>
      <c r="I405">
        <v>95</v>
      </c>
      <c r="J405">
        <v>93</v>
      </c>
      <c r="K405">
        <v>8.1263157894736793</v>
      </c>
      <c r="L405">
        <v>20.8798563594782</v>
      </c>
      <c r="M405">
        <v>17.736158248876599</v>
      </c>
      <c r="N405">
        <v>131.498937410059</v>
      </c>
      <c r="O405">
        <v>0</v>
      </c>
      <c r="P405">
        <v>0</v>
      </c>
      <c r="Q405">
        <v>295.180488999999</v>
      </c>
      <c r="R405">
        <v>278.92798388199901</v>
      </c>
    </row>
    <row r="406" spans="1:18" x14ac:dyDescent="0.3">
      <c r="A406">
        <v>37</v>
      </c>
      <c r="B406" t="s">
        <v>10</v>
      </c>
      <c r="C406">
        <v>117.13780759110401</v>
      </c>
      <c r="D406">
        <v>10.3805970149253</v>
      </c>
      <c r="G406">
        <v>53</v>
      </c>
      <c r="H406" t="s">
        <v>28</v>
      </c>
      <c r="I406">
        <v>98</v>
      </c>
      <c r="J406">
        <v>98</v>
      </c>
      <c r="K406">
        <v>8.2653061224489797</v>
      </c>
      <c r="L406">
        <v>20.556786467317501</v>
      </c>
      <c r="M406">
        <v>17.736158248876599</v>
      </c>
      <c r="N406">
        <v>135.161151587559</v>
      </c>
      <c r="O406">
        <v>0</v>
      </c>
      <c r="P406">
        <v>0</v>
      </c>
      <c r="Q406">
        <v>252.613641</v>
      </c>
      <c r="R406">
        <v>237.622416633</v>
      </c>
    </row>
    <row r="407" spans="1:18" x14ac:dyDescent="0.3">
      <c r="A407">
        <v>37</v>
      </c>
      <c r="B407" t="s">
        <v>11</v>
      </c>
      <c r="C407">
        <v>273.68210300730902</v>
      </c>
      <c r="D407">
        <v>13.916167664670599</v>
      </c>
      <c r="G407">
        <v>53</v>
      </c>
      <c r="H407" t="s">
        <v>29</v>
      </c>
      <c r="I407">
        <v>99</v>
      </c>
      <c r="J407">
        <v>98</v>
      </c>
      <c r="K407">
        <v>8.4343434343434307</v>
      </c>
      <c r="L407">
        <v>21.0365955446855</v>
      </c>
      <c r="M407">
        <v>17.736158248876599</v>
      </c>
      <c r="N407">
        <v>136.782602321317</v>
      </c>
      <c r="O407">
        <v>0</v>
      </c>
      <c r="P407">
        <v>0</v>
      </c>
      <c r="Q407">
        <v>251.84784500000001</v>
      </c>
      <c r="R407">
        <v>235.94139669500001</v>
      </c>
    </row>
    <row r="408" spans="1:18" x14ac:dyDescent="0.3">
      <c r="A408">
        <v>37</v>
      </c>
      <c r="B408" t="s">
        <v>12</v>
      </c>
      <c r="C408">
        <v>353.72741830385201</v>
      </c>
      <c r="D408">
        <v>14</v>
      </c>
      <c r="G408">
        <v>53</v>
      </c>
      <c r="H408" t="s">
        <v>30</v>
      </c>
      <c r="I408">
        <v>99</v>
      </c>
      <c r="J408">
        <v>98</v>
      </c>
      <c r="K408">
        <v>8.4444444444444393</v>
      </c>
      <c r="L408">
        <v>20.684945949160401</v>
      </c>
      <c r="M408">
        <v>17.736158248876599</v>
      </c>
      <c r="N408">
        <v>135.505857407273</v>
      </c>
      <c r="O408">
        <v>0</v>
      </c>
      <c r="P408">
        <v>0</v>
      </c>
      <c r="Q408">
        <v>249.116445</v>
      </c>
      <c r="R408">
        <v>233.93370931499899</v>
      </c>
    </row>
    <row r="409" spans="1:18" x14ac:dyDescent="0.3">
      <c r="A409">
        <v>37</v>
      </c>
      <c r="B409" t="s">
        <v>13</v>
      </c>
      <c r="C409">
        <v>354.03310261926299</v>
      </c>
      <c r="D409">
        <v>0</v>
      </c>
      <c r="G409">
        <v>53</v>
      </c>
      <c r="H409" t="s">
        <v>31</v>
      </c>
      <c r="I409">
        <v>75</v>
      </c>
      <c r="J409">
        <v>75</v>
      </c>
      <c r="K409">
        <v>6.89333333333333</v>
      </c>
      <c r="L409">
        <v>19.735653046857301</v>
      </c>
      <c r="M409">
        <v>17.736158248876599</v>
      </c>
      <c r="N409">
        <v>107.670441331696</v>
      </c>
      <c r="O409">
        <v>0</v>
      </c>
      <c r="P409">
        <v>0</v>
      </c>
      <c r="Q409">
        <v>229.008026999999</v>
      </c>
      <c r="R409">
        <v>204.09704155999901</v>
      </c>
    </row>
    <row r="410" spans="1:18" x14ac:dyDescent="0.3">
      <c r="A410">
        <v>38</v>
      </c>
      <c r="B410" t="s">
        <v>3</v>
      </c>
      <c r="C410">
        <v>15.3084797862213</v>
      </c>
      <c r="D410">
        <v>13</v>
      </c>
      <c r="G410">
        <v>53</v>
      </c>
      <c r="H410" t="s">
        <v>32</v>
      </c>
      <c r="I410">
        <v>88</v>
      </c>
      <c r="J410">
        <v>88</v>
      </c>
      <c r="K410">
        <v>8.3068181818181799</v>
      </c>
      <c r="L410">
        <v>20.227639002418599</v>
      </c>
      <c r="M410">
        <v>17.736158248876599</v>
      </c>
      <c r="N410">
        <v>118.39874854698</v>
      </c>
      <c r="O410">
        <v>0</v>
      </c>
      <c r="P410">
        <v>0</v>
      </c>
      <c r="Q410">
        <v>265.03320200000002</v>
      </c>
      <c r="R410">
        <v>248.32569149699901</v>
      </c>
    </row>
    <row r="411" spans="1:18" x14ac:dyDescent="0.3">
      <c r="A411">
        <v>38</v>
      </c>
      <c r="B411" t="s">
        <v>4</v>
      </c>
      <c r="C411">
        <v>15.160369962882999</v>
      </c>
      <c r="D411">
        <v>13</v>
      </c>
      <c r="G411">
        <v>53</v>
      </c>
      <c r="H411" t="s">
        <v>33</v>
      </c>
      <c r="I411">
        <v>87</v>
      </c>
      <c r="J411">
        <v>87</v>
      </c>
      <c r="K411">
        <v>8.7931034482758594</v>
      </c>
      <c r="L411">
        <v>18.654040190668901</v>
      </c>
      <c r="M411">
        <v>17.736158248876599</v>
      </c>
      <c r="N411">
        <v>116.826292911385</v>
      </c>
      <c r="O411">
        <v>0</v>
      </c>
      <c r="P411">
        <v>0</v>
      </c>
      <c r="Q411">
        <v>257.87812600000001</v>
      </c>
      <c r="R411">
        <v>244.71841217799999</v>
      </c>
    </row>
    <row r="412" spans="1:18" x14ac:dyDescent="0.3">
      <c r="A412">
        <v>38</v>
      </c>
      <c r="B412" t="s">
        <v>5</v>
      </c>
      <c r="C412">
        <v>20.123342200063401</v>
      </c>
      <c r="D412">
        <v>13</v>
      </c>
      <c r="G412">
        <v>53</v>
      </c>
      <c r="H412" t="s">
        <v>34</v>
      </c>
      <c r="I412">
        <v>87</v>
      </c>
      <c r="J412">
        <v>87</v>
      </c>
      <c r="K412">
        <v>8.6551724137930997</v>
      </c>
      <c r="L412">
        <v>18.516369286736602</v>
      </c>
      <c r="M412">
        <v>17.736158248876599</v>
      </c>
      <c r="N412">
        <v>116.60613048825699</v>
      </c>
      <c r="O412">
        <v>0</v>
      </c>
      <c r="P412">
        <v>0</v>
      </c>
      <c r="Q412">
        <v>243.75873799999999</v>
      </c>
      <c r="R412">
        <v>230.487534508999</v>
      </c>
    </row>
    <row r="413" spans="1:18" x14ac:dyDescent="0.3">
      <c r="A413">
        <v>38</v>
      </c>
      <c r="B413" t="s">
        <v>6</v>
      </c>
      <c r="C413">
        <v>64.754640972217402</v>
      </c>
      <c r="D413">
        <v>13</v>
      </c>
      <c r="G413">
        <v>53</v>
      </c>
      <c r="H413" t="s">
        <v>35</v>
      </c>
      <c r="I413">
        <v>74</v>
      </c>
      <c r="J413">
        <v>74</v>
      </c>
      <c r="K413">
        <v>7.9594594594594597</v>
      </c>
      <c r="L413">
        <v>18.474521307920899</v>
      </c>
      <c r="M413">
        <v>17.736158248876599</v>
      </c>
      <c r="N413">
        <v>103.314006428276</v>
      </c>
      <c r="O413">
        <v>0</v>
      </c>
      <c r="P413">
        <v>0</v>
      </c>
      <c r="Q413">
        <v>221.64947000000001</v>
      </c>
      <c r="R413">
        <v>199.463015471999</v>
      </c>
    </row>
    <row r="414" spans="1:18" x14ac:dyDescent="0.3">
      <c r="A414">
        <v>38</v>
      </c>
      <c r="B414" t="s">
        <v>7</v>
      </c>
      <c r="C414">
        <v>65.565946563369593</v>
      </c>
      <c r="D414">
        <v>13</v>
      </c>
      <c r="G414">
        <v>53</v>
      </c>
      <c r="H414" t="s">
        <v>36</v>
      </c>
      <c r="I414">
        <v>88</v>
      </c>
      <c r="J414">
        <v>88</v>
      </c>
      <c r="K414">
        <v>8.6022727272727195</v>
      </c>
      <c r="L414">
        <v>18.507808465198899</v>
      </c>
      <c r="M414">
        <v>17.736158248876599</v>
      </c>
      <c r="N414">
        <v>116.87205606242</v>
      </c>
      <c r="O414">
        <v>0</v>
      </c>
      <c r="P414">
        <v>0</v>
      </c>
      <c r="Q414">
        <v>247.74087700000001</v>
      </c>
      <c r="R414">
        <v>234.382210861</v>
      </c>
    </row>
    <row r="415" spans="1:18" x14ac:dyDescent="0.3">
      <c r="A415">
        <v>38</v>
      </c>
      <c r="B415" t="s">
        <v>8</v>
      </c>
      <c r="C415">
        <v>78.924889921454593</v>
      </c>
      <c r="D415">
        <v>13</v>
      </c>
      <c r="G415">
        <v>54</v>
      </c>
      <c r="H415" t="s">
        <v>25</v>
      </c>
      <c r="I415">
        <v>121</v>
      </c>
      <c r="J415">
        <v>108</v>
      </c>
      <c r="K415">
        <v>10.3719008264462</v>
      </c>
      <c r="L415">
        <v>23.097740689712101</v>
      </c>
      <c r="M415">
        <v>19.1070389837822</v>
      </c>
      <c r="N415">
        <v>129.352110825804</v>
      </c>
      <c r="O415">
        <v>0</v>
      </c>
      <c r="P415">
        <v>0</v>
      </c>
      <c r="Q415">
        <v>282.483924</v>
      </c>
      <c r="R415">
        <v>256.56409011699901</v>
      </c>
    </row>
    <row r="416" spans="1:18" x14ac:dyDescent="0.3">
      <c r="A416">
        <v>38</v>
      </c>
      <c r="B416" t="s">
        <v>9</v>
      </c>
      <c r="C416">
        <v>80.4627626896647</v>
      </c>
      <c r="D416">
        <v>11.590361445783101</v>
      </c>
      <c r="G416">
        <v>54</v>
      </c>
      <c r="H416" t="s">
        <v>26</v>
      </c>
      <c r="I416">
        <v>117</v>
      </c>
      <c r="J416">
        <v>117</v>
      </c>
      <c r="K416">
        <v>13.991452991452899</v>
      </c>
      <c r="L416">
        <v>21.2457779570219</v>
      </c>
      <c r="M416">
        <v>19.1070389837822</v>
      </c>
      <c r="N416">
        <v>123.560109309994</v>
      </c>
      <c r="O416">
        <v>0</v>
      </c>
      <c r="P416">
        <v>0</v>
      </c>
      <c r="Q416">
        <v>262.88886500000001</v>
      </c>
      <c r="R416">
        <v>248.34335799899901</v>
      </c>
    </row>
    <row r="417" spans="1:18" x14ac:dyDescent="0.3">
      <c r="A417">
        <v>38</v>
      </c>
      <c r="B417" t="s">
        <v>10</v>
      </c>
      <c r="C417">
        <v>117.445675762257</v>
      </c>
      <c r="D417">
        <v>10.3805970149253</v>
      </c>
      <c r="G417">
        <v>54</v>
      </c>
      <c r="H417" t="s">
        <v>27</v>
      </c>
      <c r="I417">
        <v>103</v>
      </c>
      <c r="J417">
        <v>103</v>
      </c>
      <c r="K417">
        <v>11.1067961165048</v>
      </c>
      <c r="L417">
        <v>18.6990188789112</v>
      </c>
      <c r="M417">
        <v>19.1070389837822</v>
      </c>
      <c r="N417">
        <v>107.313973879115</v>
      </c>
      <c r="O417">
        <v>0</v>
      </c>
      <c r="P417">
        <v>0</v>
      </c>
      <c r="Q417">
        <v>253.20126099999999</v>
      </c>
      <c r="R417">
        <v>238.51769993799999</v>
      </c>
    </row>
    <row r="418" spans="1:18" x14ac:dyDescent="0.3">
      <c r="A418">
        <v>38</v>
      </c>
      <c r="B418" t="s">
        <v>11</v>
      </c>
      <c r="C418">
        <v>274.514998037726</v>
      </c>
      <c r="D418">
        <v>13.916167664670599</v>
      </c>
      <c r="G418">
        <v>54</v>
      </c>
      <c r="H418" t="s">
        <v>28</v>
      </c>
      <c r="I418">
        <v>130</v>
      </c>
      <c r="J418">
        <v>130</v>
      </c>
      <c r="K418">
        <v>11.9461538461538</v>
      </c>
      <c r="L418">
        <v>24.104661983543199</v>
      </c>
      <c r="M418">
        <v>19.1070389837822</v>
      </c>
      <c r="N418">
        <v>136.55681956342201</v>
      </c>
      <c r="O418">
        <v>0</v>
      </c>
      <c r="P418">
        <v>0</v>
      </c>
      <c r="Q418">
        <v>300.99931299999997</v>
      </c>
      <c r="R418">
        <v>279.23770350699903</v>
      </c>
    </row>
    <row r="419" spans="1:18" x14ac:dyDescent="0.3">
      <c r="A419">
        <v>38</v>
      </c>
      <c r="B419" t="s">
        <v>12</v>
      </c>
      <c r="C419">
        <v>351.463579726825</v>
      </c>
      <c r="D419">
        <v>14</v>
      </c>
      <c r="G419">
        <v>55</v>
      </c>
      <c r="H419" t="s">
        <v>25</v>
      </c>
      <c r="I419">
        <v>81</v>
      </c>
      <c r="J419">
        <v>79</v>
      </c>
      <c r="K419">
        <v>7.2716049382715999</v>
      </c>
      <c r="L419">
        <v>18.6456812937077</v>
      </c>
      <c r="M419">
        <v>17.7729193860464</v>
      </c>
      <c r="N419">
        <v>103.121397022368</v>
      </c>
      <c r="O419">
        <v>0</v>
      </c>
      <c r="P419">
        <v>0</v>
      </c>
      <c r="Q419">
        <v>224.81143699999899</v>
      </c>
      <c r="R419">
        <v>203.235905548999</v>
      </c>
    </row>
    <row r="420" spans="1:18" x14ac:dyDescent="0.3">
      <c r="A420">
        <v>38</v>
      </c>
      <c r="B420" t="s">
        <v>13</v>
      </c>
      <c r="C420">
        <v>354.96200813779097</v>
      </c>
      <c r="D420">
        <v>0</v>
      </c>
      <c r="G420">
        <v>55</v>
      </c>
      <c r="H420" t="s">
        <v>26</v>
      </c>
      <c r="I420">
        <v>94</v>
      </c>
      <c r="J420">
        <v>93</v>
      </c>
      <c r="K420">
        <v>8.1276595744680797</v>
      </c>
      <c r="L420">
        <v>20.567435008117702</v>
      </c>
      <c r="M420">
        <v>17.7729193860464</v>
      </c>
      <c r="N420">
        <v>130.72784812897501</v>
      </c>
      <c r="O420">
        <v>0</v>
      </c>
      <c r="P420">
        <v>0</v>
      </c>
      <c r="Q420">
        <v>272.11848700000002</v>
      </c>
      <c r="R420">
        <v>256.11064798599898</v>
      </c>
    </row>
    <row r="421" spans="1:18" x14ac:dyDescent="0.3">
      <c r="A421">
        <v>39</v>
      </c>
      <c r="B421" t="s">
        <v>3</v>
      </c>
      <c r="C421">
        <v>15.485762382440701</v>
      </c>
      <c r="D421">
        <v>13</v>
      </c>
      <c r="G421">
        <v>55</v>
      </c>
      <c r="H421" t="s">
        <v>27</v>
      </c>
      <c r="I421">
        <v>93</v>
      </c>
      <c r="J421">
        <v>92</v>
      </c>
      <c r="K421">
        <v>7.89247311827957</v>
      </c>
      <c r="L421">
        <v>20.561919577521</v>
      </c>
      <c r="M421">
        <v>17.7729193860464</v>
      </c>
      <c r="N421">
        <v>129.970836252151</v>
      </c>
      <c r="O421">
        <v>0</v>
      </c>
      <c r="P421">
        <v>0</v>
      </c>
      <c r="Q421">
        <v>283.628096999999</v>
      </c>
      <c r="R421">
        <v>266.99261522099903</v>
      </c>
    </row>
    <row r="422" spans="1:18" x14ac:dyDescent="0.3">
      <c r="A422">
        <v>39</v>
      </c>
      <c r="B422" t="s">
        <v>4</v>
      </c>
      <c r="C422">
        <v>15.4141006581035</v>
      </c>
      <c r="D422">
        <v>13</v>
      </c>
      <c r="G422">
        <v>55</v>
      </c>
      <c r="H422" t="s">
        <v>28</v>
      </c>
      <c r="I422">
        <v>99</v>
      </c>
      <c r="J422">
        <v>99</v>
      </c>
      <c r="K422">
        <v>8.4444444444444393</v>
      </c>
      <c r="L422">
        <v>21.191655414129801</v>
      </c>
      <c r="M422">
        <v>17.7729193860464</v>
      </c>
      <c r="N422">
        <v>135.700876702567</v>
      </c>
      <c r="O422">
        <v>0</v>
      </c>
      <c r="P422">
        <v>0</v>
      </c>
      <c r="Q422">
        <v>258.147785</v>
      </c>
      <c r="R422">
        <v>243.22171900999999</v>
      </c>
    </row>
    <row r="423" spans="1:18" x14ac:dyDescent="0.3">
      <c r="A423">
        <v>39</v>
      </c>
      <c r="B423" t="s">
        <v>5</v>
      </c>
      <c r="C423">
        <v>19.7176867541666</v>
      </c>
      <c r="D423">
        <v>13</v>
      </c>
      <c r="G423">
        <v>55</v>
      </c>
      <c r="H423" t="s">
        <v>29</v>
      </c>
      <c r="I423">
        <v>98</v>
      </c>
      <c r="J423">
        <v>98</v>
      </c>
      <c r="K423">
        <v>8.3571428571428505</v>
      </c>
      <c r="L423">
        <v>20.6450527212811</v>
      </c>
      <c r="M423">
        <v>17.7729193860464</v>
      </c>
      <c r="N423">
        <v>135.534799864174</v>
      </c>
      <c r="O423">
        <v>0</v>
      </c>
      <c r="P423">
        <v>0</v>
      </c>
      <c r="Q423">
        <v>250.18788499999999</v>
      </c>
      <c r="R423">
        <v>233.91952756999899</v>
      </c>
    </row>
    <row r="424" spans="1:18" x14ac:dyDescent="0.3">
      <c r="A424">
        <v>39</v>
      </c>
      <c r="B424" t="s">
        <v>6</v>
      </c>
      <c r="C424">
        <v>64.705404863101407</v>
      </c>
      <c r="D424">
        <v>13</v>
      </c>
      <c r="G424">
        <v>55</v>
      </c>
      <c r="H424" t="s">
        <v>30</v>
      </c>
      <c r="I424">
        <v>99</v>
      </c>
      <c r="J424">
        <v>98</v>
      </c>
      <c r="K424">
        <v>8.5151515151515103</v>
      </c>
      <c r="L424">
        <v>20.642244006968198</v>
      </c>
      <c r="M424">
        <v>17.7729193860464</v>
      </c>
      <c r="N424">
        <v>137.15831242915201</v>
      </c>
      <c r="O424">
        <v>0</v>
      </c>
      <c r="P424">
        <v>0</v>
      </c>
      <c r="Q424">
        <v>254.20648</v>
      </c>
      <c r="R424">
        <v>238.33896794499901</v>
      </c>
    </row>
    <row r="425" spans="1:18" x14ac:dyDescent="0.3">
      <c r="A425">
        <v>39</v>
      </c>
      <c r="B425" t="s">
        <v>7</v>
      </c>
      <c r="C425">
        <v>65.443588738552407</v>
      </c>
      <c r="D425">
        <v>13</v>
      </c>
      <c r="G425">
        <v>55</v>
      </c>
      <c r="H425" t="s">
        <v>31</v>
      </c>
      <c r="I425">
        <v>77</v>
      </c>
      <c r="J425">
        <v>76</v>
      </c>
      <c r="K425">
        <v>6.8961038961038899</v>
      </c>
      <c r="L425">
        <v>20.038581234714002</v>
      </c>
      <c r="M425">
        <v>17.7729193860464</v>
      </c>
      <c r="N425">
        <v>110.9058781577</v>
      </c>
      <c r="O425">
        <v>0</v>
      </c>
      <c r="P425">
        <v>0</v>
      </c>
      <c r="Q425">
        <v>227.149473999999</v>
      </c>
      <c r="R425">
        <v>203.67804913999899</v>
      </c>
    </row>
    <row r="426" spans="1:18" x14ac:dyDescent="0.3">
      <c r="A426">
        <v>39</v>
      </c>
      <c r="B426" t="s">
        <v>8</v>
      </c>
      <c r="C426">
        <v>78.378842645487097</v>
      </c>
      <c r="D426">
        <v>13</v>
      </c>
      <c r="G426">
        <v>55</v>
      </c>
      <c r="H426" t="s">
        <v>32</v>
      </c>
      <c r="I426">
        <v>91</v>
      </c>
      <c r="J426">
        <v>91</v>
      </c>
      <c r="K426">
        <v>8.5274725274725203</v>
      </c>
      <c r="L426">
        <v>20.833553442476902</v>
      </c>
      <c r="M426">
        <v>17.7729193860464</v>
      </c>
      <c r="N426">
        <v>122.55301040468299</v>
      </c>
      <c r="O426">
        <v>0</v>
      </c>
      <c r="P426">
        <v>0</v>
      </c>
      <c r="Q426">
        <v>282.08550500000001</v>
      </c>
      <c r="R426">
        <v>264.20581646499897</v>
      </c>
    </row>
    <row r="427" spans="1:18" x14ac:dyDescent="0.3">
      <c r="A427">
        <v>39</v>
      </c>
      <c r="B427" t="s">
        <v>9</v>
      </c>
      <c r="C427">
        <v>81.787266682743706</v>
      </c>
      <c r="D427">
        <v>11.590361445783101</v>
      </c>
      <c r="G427">
        <v>55</v>
      </c>
      <c r="H427" t="s">
        <v>33</v>
      </c>
      <c r="I427">
        <v>86</v>
      </c>
      <c r="J427">
        <v>86</v>
      </c>
      <c r="K427">
        <v>8.66279069767441</v>
      </c>
      <c r="L427">
        <v>18.401718121868999</v>
      </c>
      <c r="M427">
        <v>17.7729193860464</v>
      </c>
      <c r="N427">
        <v>115.44394518843499</v>
      </c>
      <c r="O427">
        <v>0</v>
      </c>
      <c r="P427">
        <v>0</v>
      </c>
      <c r="Q427">
        <v>241.681231</v>
      </c>
      <c r="R427">
        <v>228.21919522299899</v>
      </c>
    </row>
    <row r="428" spans="1:18" x14ac:dyDescent="0.3">
      <c r="A428">
        <v>39</v>
      </c>
      <c r="B428" t="s">
        <v>10</v>
      </c>
      <c r="C428">
        <v>118.216245145353</v>
      </c>
      <c r="D428">
        <v>10.3805970149253</v>
      </c>
      <c r="G428">
        <v>55</v>
      </c>
      <c r="H428" t="s">
        <v>34</v>
      </c>
      <c r="I428">
        <v>88</v>
      </c>
      <c r="J428">
        <v>88</v>
      </c>
      <c r="K428">
        <v>8.75</v>
      </c>
      <c r="L428">
        <v>18.448097592530502</v>
      </c>
      <c r="M428">
        <v>17.7729193860464</v>
      </c>
      <c r="N428">
        <v>117.676183683377</v>
      </c>
      <c r="O428">
        <v>0</v>
      </c>
      <c r="P428">
        <v>0</v>
      </c>
      <c r="Q428">
        <v>243.05486200000001</v>
      </c>
      <c r="R428">
        <v>229.68280860099901</v>
      </c>
    </row>
    <row r="429" spans="1:18" x14ac:dyDescent="0.3">
      <c r="A429">
        <v>39</v>
      </c>
      <c r="B429" t="s">
        <v>11</v>
      </c>
      <c r="C429">
        <v>275.34827068912699</v>
      </c>
      <c r="D429">
        <v>13.916167664670599</v>
      </c>
      <c r="G429">
        <v>55</v>
      </c>
      <c r="H429" t="s">
        <v>35</v>
      </c>
      <c r="I429">
        <v>73</v>
      </c>
      <c r="J429">
        <v>73</v>
      </c>
      <c r="K429">
        <v>7.8356164383561602</v>
      </c>
      <c r="L429">
        <v>18.350658639996102</v>
      </c>
      <c r="M429">
        <v>17.7729193860464</v>
      </c>
      <c r="N429">
        <v>101.67205402784499</v>
      </c>
      <c r="O429">
        <v>0</v>
      </c>
      <c r="P429">
        <v>0</v>
      </c>
      <c r="Q429">
        <v>219.04356000000001</v>
      </c>
      <c r="R429">
        <v>196.79683943199899</v>
      </c>
    </row>
    <row r="430" spans="1:18" x14ac:dyDescent="0.3">
      <c r="A430">
        <v>39</v>
      </c>
      <c r="B430" t="s">
        <v>12</v>
      </c>
      <c r="C430">
        <v>353.61912731124198</v>
      </c>
      <c r="D430">
        <v>14</v>
      </c>
      <c r="G430">
        <v>55</v>
      </c>
      <c r="H430" t="s">
        <v>36</v>
      </c>
      <c r="I430">
        <v>87</v>
      </c>
      <c r="J430">
        <v>87</v>
      </c>
      <c r="K430">
        <v>8.5172413793103399</v>
      </c>
      <c r="L430">
        <v>18.362633652905899</v>
      </c>
      <c r="M430">
        <v>17.7729193860464</v>
      </c>
      <c r="N430">
        <v>116.914247794376</v>
      </c>
      <c r="O430">
        <v>0</v>
      </c>
      <c r="P430">
        <v>0</v>
      </c>
      <c r="Q430">
        <v>244.44671700000001</v>
      </c>
      <c r="R430">
        <v>231.01979672100001</v>
      </c>
    </row>
    <row r="431" spans="1:18" x14ac:dyDescent="0.3">
      <c r="A431">
        <v>39</v>
      </c>
      <c r="B431" t="s">
        <v>13</v>
      </c>
      <c r="C431">
        <v>354.13433846025401</v>
      </c>
      <c r="D431">
        <v>0</v>
      </c>
      <c r="G431">
        <v>56</v>
      </c>
      <c r="H431" t="s">
        <v>25</v>
      </c>
      <c r="I431">
        <v>124</v>
      </c>
      <c r="J431">
        <v>112</v>
      </c>
      <c r="K431">
        <v>10.693548387096699</v>
      </c>
      <c r="L431">
        <v>23.767990688232999</v>
      </c>
      <c r="M431">
        <v>19.046094384068301</v>
      </c>
      <c r="N431">
        <v>130.473060758016</v>
      </c>
      <c r="O431">
        <v>0</v>
      </c>
      <c r="P431">
        <v>0</v>
      </c>
      <c r="Q431">
        <v>284.05937943314399</v>
      </c>
      <c r="R431">
        <v>258.75762733449398</v>
      </c>
    </row>
    <row r="432" spans="1:18" x14ac:dyDescent="0.3">
      <c r="A432">
        <v>40</v>
      </c>
      <c r="B432" t="s">
        <v>3</v>
      </c>
      <c r="C432">
        <v>15.5683095664282</v>
      </c>
      <c r="D432">
        <v>13</v>
      </c>
      <c r="G432">
        <v>56</v>
      </c>
      <c r="H432" t="s">
        <v>26</v>
      </c>
      <c r="I432">
        <v>117</v>
      </c>
      <c r="J432">
        <v>117</v>
      </c>
      <c r="K432">
        <v>14.094017094017</v>
      </c>
      <c r="L432">
        <v>21.168147194595701</v>
      </c>
      <c r="M432">
        <v>19.046094384068301</v>
      </c>
      <c r="N432">
        <v>122.982622563192</v>
      </c>
      <c r="O432">
        <v>0</v>
      </c>
      <c r="P432">
        <v>0</v>
      </c>
      <c r="Q432">
        <v>258.34919509335901</v>
      </c>
      <c r="R432">
        <v>243.557761714039</v>
      </c>
    </row>
    <row r="433" spans="1:18" x14ac:dyDescent="0.3">
      <c r="A433">
        <v>40</v>
      </c>
      <c r="B433" t="s">
        <v>4</v>
      </c>
      <c r="C433">
        <v>15.535618172067799</v>
      </c>
      <c r="D433">
        <v>13</v>
      </c>
      <c r="G433">
        <v>56</v>
      </c>
      <c r="H433" t="s">
        <v>27</v>
      </c>
      <c r="I433">
        <v>102</v>
      </c>
      <c r="J433">
        <v>102</v>
      </c>
      <c r="K433">
        <v>11.0686274509803</v>
      </c>
      <c r="L433">
        <v>18.437868645378199</v>
      </c>
      <c r="M433">
        <v>19.046094384068301</v>
      </c>
      <c r="N433">
        <v>106.39651465985401</v>
      </c>
      <c r="O433">
        <v>0</v>
      </c>
      <c r="P433">
        <v>0</v>
      </c>
      <c r="Q433">
        <v>252.55298644884601</v>
      </c>
      <c r="R433">
        <v>237.99045347200399</v>
      </c>
    </row>
    <row r="434" spans="1:18" x14ac:dyDescent="0.3">
      <c r="A434">
        <v>40</v>
      </c>
      <c r="B434" t="s">
        <v>5</v>
      </c>
      <c r="C434">
        <v>19.893567828243899</v>
      </c>
      <c r="D434">
        <v>13</v>
      </c>
      <c r="G434">
        <v>56</v>
      </c>
      <c r="H434" t="s">
        <v>28</v>
      </c>
      <c r="I434">
        <v>128</v>
      </c>
      <c r="J434">
        <v>128</v>
      </c>
      <c r="K434">
        <v>12.015625</v>
      </c>
      <c r="L434">
        <v>23.776865671560198</v>
      </c>
      <c r="M434">
        <v>19.046094384068301</v>
      </c>
      <c r="N434">
        <v>135.34625600471401</v>
      </c>
      <c r="O434">
        <v>0</v>
      </c>
      <c r="P434">
        <v>0</v>
      </c>
      <c r="Q434">
        <v>292.17879005865001</v>
      </c>
      <c r="R434">
        <v>268.87180952790197</v>
      </c>
    </row>
    <row r="435" spans="1:18" x14ac:dyDescent="0.3">
      <c r="A435">
        <v>40</v>
      </c>
      <c r="B435" t="s">
        <v>6</v>
      </c>
      <c r="C435">
        <v>64.763706078225695</v>
      </c>
      <c r="D435">
        <v>13</v>
      </c>
      <c r="G435">
        <v>57</v>
      </c>
      <c r="H435" t="s">
        <v>25</v>
      </c>
      <c r="I435">
        <v>121</v>
      </c>
      <c r="J435">
        <v>108</v>
      </c>
      <c r="K435">
        <v>10.3719008264462</v>
      </c>
      <c r="L435">
        <v>23.463623069187999</v>
      </c>
      <c r="M435">
        <v>19.121780183152801</v>
      </c>
      <c r="N435">
        <v>129.035465635327</v>
      </c>
      <c r="O435">
        <v>0</v>
      </c>
      <c r="P435">
        <v>0</v>
      </c>
      <c r="Q435">
        <v>282.483924</v>
      </c>
      <c r="R435">
        <v>256.56409011699901</v>
      </c>
    </row>
    <row r="436" spans="1:18" x14ac:dyDescent="0.3">
      <c r="A436">
        <v>40</v>
      </c>
      <c r="B436" t="s">
        <v>7</v>
      </c>
      <c r="C436">
        <v>65.541256853186098</v>
      </c>
      <c r="D436">
        <v>13</v>
      </c>
      <c r="G436">
        <v>57</v>
      </c>
      <c r="H436" t="s">
        <v>26</v>
      </c>
      <c r="I436">
        <v>118</v>
      </c>
      <c r="J436">
        <v>118</v>
      </c>
      <c r="K436">
        <v>14.067796610169401</v>
      </c>
      <c r="L436">
        <v>21.2894902951783</v>
      </c>
      <c r="M436">
        <v>19.121780183152801</v>
      </c>
      <c r="N436">
        <v>123.74388919813001</v>
      </c>
      <c r="O436">
        <v>0</v>
      </c>
      <c r="P436">
        <v>0</v>
      </c>
      <c r="Q436">
        <v>264.25345099999998</v>
      </c>
      <c r="R436">
        <v>249.53420354699901</v>
      </c>
    </row>
    <row r="437" spans="1:18" x14ac:dyDescent="0.3">
      <c r="A437">
        <v>40</v>
      </c>
      <c r="B437" t="s">
        <v>8</v>
      </c>
      <c r="C437">
        <v>78.763608559255005</v>
      </c>
      <c r="D437">
        <v>13</v>
      </c>
      <c r="G437">
        <v>57</v>
      </c>
      <c r="H437" t="s">
        <v>27</v>
      </c>
      <c r="I437">
        <v>102</v>
      </c>
      <c r="J437">
        <v>102</v>
      </c>
      <c r="K437">
        <v>11.0686274509803</v>
      </c>
      <c r="L437">
        <v>18.734470484291801</v>
      </c>
      <c r="M437">
        <v>19.121780183152801</v>
      </c>
      <c r="N437">
        <v>107.696796893645</v>
      </c>
      <c r="O437">
        <v>0</v>
      </c>
      <c r="P437">
        <v>0</v>
      </c>
      <c r="Q437">
        <v>252.98262299999999</v>
      </c>
      <c r="R437">
        <v>238.308244734</v>
      </c>
    </row>
    <row r="438" spans="1:18" x14ac:dyDescent="0.3">
      <c r="A438">
        <v>40</v>
      </c>
      <c r="B438" t="s">
        <v>9</v>
      </c>
      <c r="C438">
        <v>81.101312396842303</v>
      </c>
      <c r="D438">
        <v>11.590361445783101</v>
      </c>
      <c r="G438">
        <v>57</v>
      </c>
      <c r="H438" t="s">
        <v>28</v>
      </c>
      <c r="I438">
        <v>130</v>
      </c>
      <c r="J438">
        <v>130</v>
      </c>
      <c r="K438">
        <v>11.9461538461538</v>
      </c>
      <c r="L438">
        <v>24.032638522628101</v>
      </c>
      <c r="M438">
        <v>19.121780183152801</v>
      </c>
      <c r="N438">
        <v>136.69013303487</v>
      </c>
      <c r="O438">
        <v>0</v>
      </c>
      <c r="P438">
        <v>0</v>
      </c>
      <c r="Q438">
        <v>300.99931299999997</v>
      </c>
      <c r="R438">
        <v>276.920052432999</v>
      </c>
    </row>
    <row r="439" spans="1:18" x14ac:dyDescent="0.3">
      <c r="A439">
        <v>40</v>
      </c>
      <c r="B439" t="s">
        <v>10</v>
      </c>
      <c r="C439">
        <v>117.360271134341</v>
      </c>
      <c r="D439">
        <v>10.3805970149253</v>
      </c>
      <c r="G439">
        <v>58</v>
      </c>
      <c r="H439" t="s">
        <v>25</v>
      </c>
      <c r="I439">
        <v>118</v>
      </c>
      <c r="J439">
        <v>105</v>
      </c>
      <c r="K439">
        <v>10.584745762711799</v>
      </c>
      <c r="L439">
        <v>21.567957131677801</v>
      </c>
      <c r="M439">
        <v>20.212813755624801</v>
      </c>
      <c r="N439">
        <v>125.245736081004</v>
      </c>
      <c r="O439">
        <v>0</v>
      </c>
      <c r="P439">
        <v>0</v>
      </c>
      <c r="Q439">
        <v>258.52169099999998</v>
      </c>
      <c r="R439">
        <v>237.82361907599901</v>
      </c>
    </row>
    <row r="440" spans="1:18" x14ac:dyDescent="0.3">
      <c r="A440">
        <v>40</v>
      </c>
      <c r="B440" t="s">
        <v>11</v>
      </c>
      <c r="C440">
        <v>275.845333040193</v>
      </c>
      <c r="D440">
        <v>13.9221556886227</v>
      </c>
      <c r="G440">
        <v>58</v>
      </c>
      <c r="H440" t="s">
        <v>26</v>
      </c>
      <c r="I440">
        <v>117</v>
      </c>
      <c r="J440">
        <v>117</v>
      </c>
      <c r="K440">
        <v>13.991452991452899</v>
      </c>
      <c r="L440">
        <v>21.0839593701123</v>
      </c>
      <c r="M440">
        <v>20.212813755624801</v>
      </c>
      <c r="N440">
        <v>122.695175626972</v>
      </c>
      <c r="O440">
        <v>0</v>
      </c>
      <c r="P440">
        <v>0</v>
      </c>
      <c r="Q440">
        <v>260.300499554287</v>
      </c>
      <c r="R440">
        <v>245.708401975264</v>
      </c>
    </row>
    <row r="441" spans="1:18" x14ac:dyDescent="0.3">
      <c r="A441">
        <v>40</v>
      </c>
      <c r="B441" t="s">
        <v>12</v>
      </c>
      <c r="C441">
        <v>352.27351997842402</v>
      </c>
      <c r="D441">
        <v>14</v>
      </c>
      <c r="G441">
        <v>58</v>
      </c>
      <c r="H441" t="s">
        <v>27</v>
      </c>
      <c r="I441">
        <v>103</v>
      </c>
      <c r="J441">
        <v>103</v>
      </c>
      <c r="K441">
        <v>11.1067961165048</v>
      </c>
      <c r="L441">
        <v>18.848885456124101</v>
      </c>
      <c r="M441">
        <v>20.212813755624801</v>
      </c>
      <c r="N441">
        <v>109.168115484522</v>
      </c>
      <c r="O441">
        <v>0</v>
      </c>
      <c r="P441">
        <v>0</v>
      </c>
      <c r="Q441">
        <v>253.20126099999999</v>
      </c>
      <c r="R441">
        <v>241.437851338</v>
      </c>
    </row>
    <row r="442" spans="1:18" x14ac:dyDescent="0.3">
      <c r="A442">
        <v>40</v>
      </c>
      <c r="B442" t="s">
        <v>13</v>
      </c>
      <c r="C442">
        <v>353.55091018057902</v>
      </c>
      <c r="D442">
        <v>0</v>
      </c>
      <c r="G442">
        <v>58</v>
      </c>
      <c r="H442" t="s">
        <v>28</v>
      </c>
      <c r="I442">
        <v>123</v>
      </c>
      <c r="J442">
        <v>123</v>
      </c>
      <c r="K442">
        <v>12.520325203252</v>
      </c>
      <c r="L442">
        <v>21.678758524270499</v>
      </c>
      <c r="M442">
        <v>20.212813755624801</v>
      </c>
      <c r="N442">
        <v>127.998502942497</v>
      </c>
      <c r="O442">
        <v>0</v>
      </c>
      <c r="P442">
        <v>0</v>
      </c>
      <c r="Q442">
        <v>268.62655485631302</v>
      </c>
      <c r="R442">
        <v>251.647626221677</v>
      </c>
    </row>
    <row r="443" spans="1:18" x14ac:dyDescent="0.3">
      <c r="A443">
        <v>41</v>
      </c>
      <c r="B443" t="s">
        <v>3</v>
      </c>
      <c r="C443">
        <v>15.462388088328099</v>
      </c>
      <c r="D443">
        <v>13</v>
      </c>
      <c r="G443">
        <v>59</v>
      </c>
      <c r="H443" t="s">
        <v>25</v>
      </c>
      <c r="I443">
        <v>119</v>
      </c>
      <c r="J443">
        <v>119</v>
      </c>
      <c r="K443">
        <v>10.6890756302521</v>
      </c>
      <c r="L443">
        <v>22.727976853066099</v>
      </c>
      <c r="M443">
        <v>20.5324752438178</v>
      </c>
      <c r="N443">
        <v>126.565903272794</v>
      </c>
      <c r="O443">
        <v>0</v>
      </c>
      <c r="P443">
        <v>0</v>
      </c>
      <c r="Q443">
        <v>266.12109524538101</v>
      </c>
      <c r="R443">
        <v>245.659737182144</v>
      </c>
    </row>
    <row r="444" spans="1:18" x14ac:dyDescent="0.3">
      <c r="A444">
        <v>41</v>
      </c>
      <c r="B444" t="s">
        <v>4</v>
      </c>
      <c r="C444">
        <v>15.5964381445943</v>
      </c>
      <c r="D444">
        <v>13</v>
      </c>
      <c r="G444">
        <v>59</v>
      </c>
      <c r="H444" t="s">
        <v>26</v>
      </c>
      <c r="I444">
        <v>118</v>
      </c>
      <c r="J444">
        <v>118</v>
      </c>
      <c r="K444">
        <v>13.9745762711864</v>
      </c>
      <c r="L444">
        <v>21.126420549077601</v>
      </c>
      <c r="M444">
        <v>20.5324752438178</v>
      </c>
      <c r="N444">
        <v>124.707147844535</v>
      </c>
      <c r="O444">
        <v>0</v>
      </c>
      <c r="P444">
        <v>0</v>
      </c>
      <c r="Q444">
        <v>246.795004559007</v>
      </c>
      <c r="R444">
        <v>232.224312932538</v>
      </c>
    </row>
    <row r="445" spans="1:18" x14ac:dyDescent="0.3">
      <c r="A445">
        <v>41</v>
      </c>
      <c r="B445" t="s">
        <v>5</v>
      </c>
      <c r="C445">
        <v>19.475065104491499</v>
      </c>
      <c r="D445">
        <v>13</v>
      </c>
      <c r="G445">
        <v>59</v>
      </c>
      <c r="H445" t="s">
        <v>27</v>
      </c>
      <c r="I445">
        <v>115</v>
      </c>
      <c r="J445">
        <v>115</v>
      </c>
      <c r="K445">
        <v>13.834782608695599</v>
      </c>
      <c r="L445">
        <v>21.435276631709002</v>
      </c>
      <c r="M445">
        <v>20.5324752438178</v>
      </c>
      <c r="N445">
        <v>120.70896986319001</v>
      </c>
      <c r="O445">
        <v>0</v>
      </c>
      <c r="P445">
        <v>0</v>
      </c>
      <c r="Q445">
        <v>288.69522658899098</v>
      </c>
      <c r="R445">
        <v>271.59120299509198</v>
      </c>
    </row>
    <row r="446" spans="1:18" x14ac:dyDescent="0.3">
      <c r="A446">
        <v>41</v>
      </c>
      <c r="B446" t="s">
        <v>6</v>
      </c>
      <c r="C446">
        <v>64.720031696166501</v>
      </c>
      <c r="D446">
        <v>13</v>
      </c>
      <c r="G446">
        <v>59</v>
      </c>
      <c r="H446" t="s">
        <v>28</v>
      </c>
      <c r="I446">
        <v>135</v>
      </c>
      <c r="J446">
        <v>135</v>
      </c>
      <c r="K446">
        <v>14.5555555555555</v>
      </c>
      <c r="L446">
        <v>23.330618030256399</v>
      </c>
      <c r="M446">
        <v>20.5324752438178</v>
      </c>
      <c r="N446">
        <v>141.32986011492599</v>
      </c>
      <c r="O446">
        <v>0</v>
      </c>
      <c r="P446">
        <v>0</v>
      </c>
      <c r="Q446">
        <v>306.41056022145199</v>
      </c>
      <c r="R446">
        <v>291.38116707732399</v>
      </c>
    </row>
    <row r="447" spans="1:18" x14ac:dyDescent="0.3">
      <c r="A447">
        <v>41</v>
      </c>
      <c r="B447" t="s">
        <v>7</v>
      </c>
      <c r="C447">
        <v>65.114928323307296</v>
      </c>
      <c r="D447">
        <v>13</v>
      </c>
      <c r="G447">
        <v>60</v>
      </c>
      <c r="H447" t="s">
        <v>25</v>
      </c>
      <c r="I447">
        <v>122</v>
      </c>
      <c r="J447">
        <v>109</v>
      </c>
      <c r="K447">
        <v>10.4754098360655</v>
      </c>
      <c r="L447">
        <v>23.459176434487102</v>
      </c>
      <c r="M447">
        <v>19.1001570886271</v>
      </c>
      <c r="N447">
        <v>130.099315932916</v>
      </c>
      <c r="O447">
        <v>0</v>
      </c>
      <c r="P447">
        <v>0</v>
      </c>
      <c r="Q447">
        <v>282.65154765784001</v>
      </c>
      <c r="R447">
        <v>257.257837483196</v>
      </c>
    </row>
    <row r="448" spans="1:18" x14ac:dyDescent="0.3">
      <c r="A448">
        <v>41</v>
      </c>
      <c r="B448" t="s">
        <v>8</v>
      </c>
      <c r="C448">
        <v>78.168763209167807</v>
      </c>
      <c r="D448">
        <v>13</v>
      </c>
      <c r="G448">
        <v>60</v>
      </c>
      <c r="H448" t="s">
        <v>26</v>
      </c>
      <c r="I448">
        <v>117</v>
      </c>
      <c r="J448">
        <v>117</v>
      </c>
      <c r="K448">
        <v>13.991452991452899</v>
      </c>
      <c r="L448">
        <v>21.171184432935799</v>
      </c>
      <c r="M448">
        <v>19.1001570886271</v>
      </c>
      <c r="N448">
        <v>122.994333013477</v>
      </c>
      <c r="O448">
        <v>0</v>
      </c>
      <c r="P448">
        <v>0</v>
      </c>
      <c r="Q448">
        <v>262.77877812540697</v>
      </c>
      <c r="R448">
        <v>248.032986560664</v>
      </c>
    </row>
    <row r="449" spans="1:18" x14ac:dyDescent="0.3">
      <c r="A449">
        <v>41</v>
      </c>
      <c r="B449" t="s">
        <v>9</v>
      </c>
      <c r="C449">
        <v>80.917212914039595</v>
      </c>
      <c r="D449">
        <v>11.590361445783101</v>
      </c>
      <c r="G449">
        <v>60</v>
      </c>
      <c r="H449" t="s">
        <v>27</v>
      </c>
      <c r="I449">
        <v>102</v>
      </c>
      <c r="J449">
        <v>102</v>
      </c>
      <c r="K449">
        <v>11.0686274509803</v>
      </c>
      <c r="L449">
        <v>18.557569719846001</v>
      </c>
      <c r="M449">
        <v>19.1001570886271</v>
      </c>
      <c r="N449">
        <v>107.144067535178</v>
      </c>
      <c r="O449">
        <v>0</v>
      </c>
      <c r="P449">
        <v>0</v>
      </c>
      <c r="Q449">
        <v>252.98262299999999</v>
      </c>
      <c r="R449">
        <v>238.308244734</v>
      </c>
    </row>
    <row r="450" spans="1:18" x14ac:dyDescent="0.3">
      <c r="A450">
        <v>41</v>
      </c>
      <c r="B450" t="s">
        <v>10</v>
      </c>
      <c r="C450">
        <v>116.487780168233</v>
      </c>
      <c r="D450">
        <v>10.3805970149253</v>
      </c>
      <c r="G450">
        <v>60</v>
      </c>
      <c r="H450" t="s">
        <v>28</v>
      </c>
      <c r="I450">
        <v>130</v>
      </c>
      <c r="J450">
        <v>130</v>
      </c>
      <c r="K450">
        <v>11.9461538461538</v>
      </c>
      <c r="L450">
        <v>24.250369998402601</v>
      </c>
      <c r="M450">
        <v>19.1001570886271</v>
      </c>
      <c r="N450">
        <v>136.366367822733</v>
      </c>
      <c r="O450">
        <v>0</v>
      </c>
      <c r="P450">
        <v>0</v>
      </c>
      <c r="Q450">
        <v>298.46734920233598</v>
      </c>
      <c r="R450">
        <v>274.673675636224</v>
      </c>
    </row>
    <row r="451" spans="1:18" x14ac:dyDescent="0.3">
      <c r="A451">
        <v>41</v>
      </c>
      <c r="B451" t="s">
        <v>11</v>
      </c>
      <c r="C451">
        <v>274.952887049965</v>
      </c>
      <c r="D451">
        <v>13.9281437125748</v>
      </c>
      <c r="G451">
        <v>61</v>
      </c>
      <c r="H451" t="s">
        <v>25</v>
      </c>
      <c r="I451">
        <v>82</v>
      </c>
      <c r="J451">
        <v>80</v>
      </c>
      <c r="K451">
        <v>7.3048780487804796</v>
      </c>
      <c r="L451">
        <v>18.749391458093498</v>
      </c>
      <c r="M451">
        <v>17.753931293500798</v>
      </c>
      <c r="N451">
        <v>105.08639110823999</v>
      </c>
      <c r="O451">
        <v>0</v>
      </c>
      <c r="P451">
        <v>0</v>
      </c>
      <c r="Q451">
        <v>224.300266999999</v>
      </c>
      <c r="R451">
        <v>203.716319519</v>
      </c>
    </row>
    <row r="452" spans="1:18" x14ac:dyDescent="0.3">
      <c r="A452">
        <v>41</v>
      </c>
      <c r="B452" t="s">
        <v>12</v>
      </c>
      <c r="C452">
        <v>351.644775778736</v>
      </c>
      <c r="D452">
        <v>14</v>
      </c>
      <c r="G452">
        <v>61</v>
      </c>
      <c r="H452" t="s">
        <v>26</v>
      </c>
      <c r="I452">
        <v>93</v>
      </c>
      <c r="J452">
        <v>92</v>
      </c>
      <c r="K452">
        <v>7.9354838709677402</v>
      </c>
      <c r="L452">
        <v>20.2707890859575</v>
      </c>
      <c r="M452">
        <v>17.753931293500798</v>
      </c>
      <c r="N452">
        <v>130.270135175771</v>
      </c>
      <c r="O452">
        <v>0</v>
      </c>
      <c r="P452">
        <v>0</v>
      </c>
      <c r="Q452">
        <v>267.54310500000003</v>
      </c>
      <c r="R452">
        <v>252.283299929999</v>
      </c>
    </row>
    <row r="453" spans="1:18" x14ac:dyDescent="0.3">
      <c r="A453">
        <v>41</v>
      </c>
      <c r="B453" t="s">
        <v>13</v>
      </c>
      <c r="C453">
        <v>354.06461940226097</v>
      </c>
      <c r="D453">
        <v>0</v>
      </c>
      <c r="G453">
        <v>61</v>
      </c>
      <c r="H453" t="s">
        <v>27</v>
      </c>
      <c r="I453">
        <v>94</v>
      </c>
      <c r="J453">
        <v>92</v>
      </c>
      <c r="K453">
        <v>8.0851063829787204</v>
      </c>
      <c r="L453">
        <v>20.8651438203024</v>
      </c>
      <c r="M453">
        <v>17.753931293500798</v>
      </c>
      <c r="N453">
        <v>131.00900591762999</v>
      </c>
      <c r="O453">
        <v>0</v>
      </c>
      <c r="P453">
        <v>0</v>
      </c>
      <c r="Q453">
        <v>291.11599281197402</v>
      </c>
      <c r="R453">
        <v>275.122038286936</v>
      </c>
    </row>
    <row r="454" spans="1:18" x14ac:dyDescent="0.3">
      <c r="A454">
        <v>42</v>
      </c>
      <c r="B454" t="s">
        <v>3</v>
      </c>
      <c r="C454">
        <v>15.2672544310278</v>
      </c>
      <c r="D454">
        <v>13</v>
      </c>
      <c r="G454">
        <v>61</v>
      </c>
      <c r="H454" t="s">
        <v>28</v>
      </c>
      <c r="I454">
        <v>100</v>
      </c>
      <c r="J454">
        <v>99</v>
      </c>
      <c r="K454">
        <v>8.48</v>
      </c>
      <c r="L454">
        <v>20.8375112258854</v>
      </c>
      <c r="M454">
        <v>17.753931293500798</v>
      </c>
      <c r="N454">
        <v>136.96765744024501</v>
      </c>
      <c r="O454">
        <v>0</v>
      </c>
      <c r="P454">
        <v>0</v>
      </c>
      <c r="Q454">
        <v>250.04195907231301</v>
      </c>
      <c r="R454">
        <v>235.407557547604</v>
      </c>
    </row>
    <row r="455" spans="1:18" x14ac:dyDescent="0.3">
      <c r="A455">
        <v>42</v>
      </c>
      <c r="B455" t="s">
        <v>4</v>
      </c>
      <c r="C455">
        <v>14.9536748763479</v>
      </c>
      <c r="D455">
        <v>13</v>
      </c>
      <c r="G455">
        <v>61</v>
      </c>
      <c r="H455" t="s">
        <v>29</v>
      </c>
      <c r="I455">
        <v>99</v>
      </c>
      <c r="J455">
        <v>99</v>
      </c>
      <c r="K455">
        <v>8.4444444444444393</v>
      </c>
      <c r="L455">
        <v>20.660102273772701</v>
      </c>
      <c r="M455">
        <v>17.753931293500798</v>
      </c>
      <c r="N455">
        <v>136.05290597511501</v>
      </c>
      <c r="O455">
        <v>0</v>
      </c>
      <c r="P455">
        <v>0</v>
      </c>
      <c r="Q455">
        <v>249.49842956408</v>
      </c>
      <c r="R455">
        <v>233.99040735547101</v>
      </c>
    </row>
    <row r="456" spans="1:18" x14ac:dyDescent="0.3">
      <c r="A456">
        <v>42</v>
      </c>
      <c r="B456" t="s">
        <v>5</v>
      </c>
      <c r="C456">
        <v>19.794520490865001</v>
      </c>
      <c r="D456">
        <v>13</v>
      </c>
      <c r="G456">
        <v>61</v>
      </c>
      <c r="H456" t="s">
        <v>30</v>
      </c>
      <c r="I456">
        <v>98</v>
      </c>
      <c r="J456">
        <v>98</v>
      </c>
      <c r="K456">
        <v>8.2653061224489797</v>
      </c>
      <c r="L456">
        <v>20.802246646779</v>
      </c>
      <c r="M456">
        <v>17.753931293500798</v>
      </c>
      <c r="N456">
        <v>135.639184229504</v>
      </c>
      <c r="O456">
        <v>0</v>
      </c>
      <c r="P456">
        <v>0</v>
      </c>
      <c r="Q456">
        <v>248.05718153278801</v>
      </c>
      <c r="R456">
        <v>232.638182315378</v>
      </c>
    </row>
    <row r="457" spans="1:18" x14ac:dyDescent="0.3">
      <c r="A457">
        <v>42</v>
      </c>
      <c r="B457" t="s">
        <v>6</v>
      </c>
      <c r="C457">
        <v>64.332369059148803</v>
      </c>
      <c r="D457">
        <v>13</v>
      </c>
      <c r="G457">
        <v>61</v>
      </c>
      <c r="H457" t="s">
        <v>31</v>
      </c>
      <c r="I457">
        <v>76</v>
      </c>
      <c r="J457">
        <v>75</v>
      </c>
      <c r="K457">
        <v>6.9605263157894699</v>
      </c>
      <c r="L457">
        <v>19.8325706078626</v>
      </c>
      <c r="M457">
        <v>17.753931293500798</v>
      </c>
      <c r="N457">
        <v>108.67039958638399</v>
      </c>
      <c r="O457">
        <v>0</v>
      </c>
      <c r="P457">
        <v>0</v>
      </c>
      <c r="Q457">
        <v>227.946462999999</v>
      </c>
      <c r="R457">
        <v>203.04934647299899</v>
      </c>
    </row>
    <row r="458" spans="1:18" x14ac:dyDescent="0.3">
      <c r="A458">
        <v>42</v>
      </c>
      <c r="B458" t="s">
        <v>7</v>
      </c>
      <c r="C458">
        <v>66.019883972340907</v>
      </c>
      <c r="D458">
        <v>13</v>
      </c>
      <c r="G458">
        <v>61</v>
      </c>
      <c r="H458" t="s">
        <v>32</v>
      </c>
      <c r="I458">
        <v>90</v>
      </c>
      <c r="J458">
        <v>90</v>
      </c>
      <c r="K458">
        <v>8.3333333333333304</v>
      </c>
      <c r="L458">
        <v>20.284892545647299</v>
      </c>
      <c r="M458">
        <v>17.753931293500798</v>
      </c>
      <c r="N458">
        <v>121.84816846306499</v>
      </c>
      <c r="O458">
        <v>0</v>
      </c>
      <c r="P458">
        <v>0</v>
      </c>
      <c r="Q458">
        <v>268.15194100000002</v>
      </c>
      <c r="R458">
        <v>251.47155168299901</v>
      </c>
    </row>
    <row r="459" spans="1:18" x14ac:dyDescent="0.3">
      <c r="A459">
        <v>42</v>
      </c>
      <c r="B459" t="s">
        <v>8</v>
      </c>
      <c r="C459">
        <v>78.902822044077894</v>
      </c>
      <c r="D459">
        <v>13</v>
      </c>
      <c r="G459">
        <v>61</v>
      </c>
      <c r="H459" t="s">
        <v>33</v>
      </c>
      <c r="I459">
        <v>85</v>
      </c>
      <c r="J459">
        <v>85</v>
      </c>
      <c r="K459">
        <v>8.5647058823529392</v>
      </c>
      <c r="L459">
        <v>18.2433370215394</v>
      </c>
      <c r="M459">
        <v>17.753931293500798</v>
      </c>
      <c r="N459">
        <v>114.571695048354</v>
      </c>
      <c r="O459">
        <v>0</v>
      </c>
      <c r="P459">
        <v>0</v>
      </c>
      <c r="Q459">
        <v>244.51333399999999</v>
      </c>
      <c r="R459">
        <v>231.63064669699901</v>
      </c>
    </row>
    <row r="460" spans="1:18" x14ac:dyDescent="0.3">
      <c r="A460">
        <v>42</v>
      </c>
      <c r="B460" t="s">
        <v>9</v>
      </c>
      <c r="C460">
        <v>81.162790610557096</v>
      </c>
      <c r="D460">
        <v>11.590361445783101</v>
      </c>
      <c r="G460">
        <v>61</v>
      </c>
      <c r="H460" t="s">
        <v>34</v>
      </c>
      <c r="I460">
        <v>87</v>
      </c>
      <c r="J460">
        <v>87</v>
      </c>
      <c r="K460">
        <v>8.6551724137930997</v>
      </c>
      <c r="L460">
        <v>18.266066772022999</v>
      </c>
      <c r="M460">
        <v>17.753931293500798</v>
      </c>
      <c r="N460">
        <v>116.47454694818001</v>
      </c>
      <c r="O460">
        <v>0</v>
      </c>
      <c r="P460">
        <v>0</v>
      </c>
      <c r="Q460">
        <v>240.46431232441901</v>
      </c>
      <c r="R460">
        <v>226.93399054125899</v>
      </c>
    </row>
    <row r="461" spans="1:18" x14ac:dyDescent="0.3">
      <c r="A461">
        <v>42</v>
      </c>
      <c r="B461" t="s">
        <v>10</v>
      </c>
      <c r="C461">
        <v>118.389418917029</v>
      </c>
      <c r="D461">
        <v>10.3805970149253</v>
      </c>
      <c r="G461">
        <v>61</v>
      </c>
      <c r="H461" t="s">
        <v>35</v>
      </c>
      <c r="I461">
        <v>73</v>
      </c>
      <c r="J461">
        <v>73</v>
      </c>
      <c r="K461">
        <v>7.8356164383561602</v>
      </c>
      <c r="L461">
        <v>18.2015293940206</v>
      </c>
      <c r="M461">
        <v>17.753931293500798</v>
      </c>
      <c r="N461">
        <v>102.242739350636</v>
      </c>
      <c r="O461">
        <v>0</v>
      </c>
      <c r="P461">
        <v>0</v>
      </c>
      <c r="Q461">
        <v>222.03952475789899</v>
      </c>
      <c r="R461">
        <v>200.21715061554099</v>
      </c>
    </row>
    <row r="462" spans="1:18" x14ac:dyDescent="0.3">
      <c r="A462">
        <v>42</v>
      </c>
      <c r="B462" t="s">
        <v>11</v>
      </c>
      <c r="C462">
        <v>273.77969380851499</v>
      </c>
      <c r="D462">
        <v>13.9221556886227</v>
      </c>
      <c r="G462">
        <v>61</v>
      </c>
      <c r="H462" t="s">
        <v>36</v>
      </c>
      <c r="I462">
        <v>87</v>
      </c>
      <c r="J462">
        <v>87</v>
      </c>
      <c r="K462">
        <v>8.5517241379310303</v>
      </c>
      <c r="L462">
        <v>18.747207099926801</v>
      </c>
      <c r="M462">
        <v>17.753931293500798</v>
      </c>
      <c r="N462">
        <v>116.98953682393901</v>
      </c>
      <c r="O462">
        <v>0</v>
      </c>
      <c r="P462">
        <v>0</v>
      </c>
      <c r="Q462">
        <v>250.04924927706099</v>
      </c>
      <c r="R462">
        <v>236.72323927404801</v>
      </c>
    </row>
    <row r="463" spans="1:18" x14ac:dyDescent="0.3">
      <c r="A463">
        <v>42</v>
      </c>
      <c r="B463" t="s">
        <v>12</v>
      </c>
      <c r="C463">
        <v>352.42391236343002</v>
      </c>
      <c r="D463">
        <v>14</v>
      </c>
      <c r="G463">
        <v>62</v>
      </c>
      <c r="H463" t="s">
        <v>25</v>
      </c>
      <c r="I463">
        <v>123</v>
      </c>
      <c r="J463">
        <v>123</v>
      </c>
      <c r="K463">
        <v>12.959349593495901</v>
      </c>
      <c r="L463">
        <v>21.341656048588199</v>
      </c>
      <c r="M463">
        <v>19.570009787013799</v>
      </c>
      <c r="N463">
        <v>129.36048025863201</v>
      </c>
      <c r="O463">
        <v>0</v>
      </c>
      <c r="P463">
        <v>0</v>
      </c>
      <c r="Q463">
        <v>238.113794346329</v>
      </c>
      <c r="R463">
        <v>221.86296532876199</v>
      </c>
    </row>
    <row r="464" spans="1:18" x14ac:dyDescent="0.3">
      <c r="A464">
        <v>42</v>
      </c>
      <c r="B464" t="s">
        <v>13</v>
      </c>
      <c r="C464">
        <v>353.314077971232</v>
      </c>
      <c r="D464">
        <v>0</v>
      </c>
      <c r="G464">
        <v>62</v>
      </c>
      <c r="H464" t="s">
        <v>26</v>
      </c>
      <c r="I464">
        <v>106</v>
      </c>
      <c r="J464">
        <v>106</v>
      </c>
      <c r="K464">
        <v>10.622641509433899</v>
      </c>
      <c r="L464">
        <v>20.069817694804101</v>
      </c>
      <c r="M464">
        <v>19.570009787013799</v>
      </c>
      <c r="N464">
        <v>112.24755470076801</v>
      </c>
      <c r="O464">
        <v>0</v>
      </c>
      <c r="P464">
        <v>0</v>
      </c>
      <c r="Q464">
        <v>241.52006323260099</v>
      </c>
      <c r="R464">
        <v>223.70830148566901</v>
      </c>
    </row>
    <row r="465" spans="1:18" x14ac:dyDescent="0.3">
      <c r="A465">
        <v>43</v>
      </c>
      <c r="B465" t="s">
        <v>3</v>
      </c>
      <c r="C465">
        <v>15.3187060812411</v>
      </c>
      <c r="D465">
        <v>13</v>
      </c>
      <c r="G465">
        <v>62</v>
      </c>
      <c r="H465" t="s">
        <v>27</v>
      </c>
      <c r="I465">
        <v>112</v>
      </c>
      <c r="J465">
        <v>112</v>
      </c>
      <c r="K465">
        <v>11.2410714285714</v>
      </c>
      <c r="L465">
        <v>21.2389300996137</v>
      </c>
      <c r="M465">
        <v>19.570009787013799</v>
      </c>
      <c r="N465">
        <v>118.977807265895</v>
      </c>
      <c r="O465">
        <v>0</v>
      </c>
      <c r="P465">
        <v>0</v>
      </c>
      <c r="Q465">
        <v>275.74065901389599</v>
      </c>
      <c r="R465">
        <v>259.46321076148502</v>
      </c>
    </row>
    <row r="466" spans="1:18" x14ac:dyDescent="0.3">
      <c r="A466">
        <v>43</v>
      </c>
      <c r="B466" t="s">
        <v>4</v>
      </c>
      <c r="C466">
        <v>15.3838541735372</v>
      </c>
      <c r="D466">
        <v>13</v>
      </c>
      <c r="G466">
        <v>62</v>
      </c>
      <c r="H466" t="s">
        <v>28</v>
      </c>
      <c r="I466">
        <v>103</v>
      </c>
      <c r="J466">
        <v>103</v>
      </c>
      <c r="K466">
        <v>12.8349514563106</v>
      </c>
      <c r="L466">
        <v>19.7795506843763</v>
      </c>
      <c r="M466">
        <v>19.570009787013799</v>
      </c>
      <c r="N466">
        <v>109.09439266303499</v>
      </c>
      <c r="O466">
        <v>0</v>
      </c>
      <c r="P466">
        <v>0</v>
      </c>
      <c r="Q466">
        <v>246.231751051456</v>
      </c>
      <c r="R466">
        <v>226.884365722295</v>
      </c>
    </row>
    <row r="467" spans="1:18" x14ac:dyDescent="0.3">
      <c r="A467">
        <v>43</v>
      </c>
      <c r="B467" t="s">
        <v>5</v>
      </c>
      <c r="C467">
        <v>19.735976628518301</v>
      </c>
      <c r="D467">
        <v>13</v>
      </c>
      <c r="G467">
        <v>63</v>
      </c>
      <c r="H467" t="s">
        <v>25</v>
      </c>
      <c r="I467">
        <v>121</v>
      </c>
      <c r="J467">
        <v>108</v>
      </c>
      <c r="K467">
        <v>10.892561983470999</v>
      </c>
      <c r="L467">
        <v>21.5301915693815</v>
      </c>
      <c r="M467">
        <v>19.6866710058673</v>
      </c>
      <c r="N467">
        <v>127.868873612999</v>
      </c>
      <c r="O467">
        <v>0</v>
      </c>
      <c r="P467">
        <v>0</v>
      </c>
      <c r="Q467">
        <v>250.49589730114499</v>
      </c>
      <c r="R467">
        <v>230.12330657401799</v>
      </c>
    </row>
    <row r="468" spans="1:18" x14ac:dyDescent="0.3">
      <c r="A468">
        <v>43</v>
      </c>
      <c r="B468" t="s">
        <v>6</v>
      </c>
      <c r="C468">
        <v>64.642781075336401</v>
      </c>
      <c r="D468">
        <v>13</v>
      </c>
      <c r="G468">
        <v>63</v>
      </c>
      <c r="H468" t="s">
        <v>26</v>
      </c>
      <c r="I468">
        <v>120</v>
      </c>
      <c r="J468">
        <v>120</v>
      </c>
      <c r="K468">
        <v>14.125</v>
      </c>
      <c r="L468">
        <v>21.406278590322199</v>
      </c>
      <c r="M468">
        <v>19.6866710058673</v>
      </c>
      <c r="N468">
        <v>125.31026442006601</v>
      </c>
      <c r="O468">
        <v>0</v>
      </c>
      <c r="P468">
        <v>0</v>
      </c>
      <c r="Q468">
        <v>260.45394409335898</v>
      </c>
      <c r="R468">
        <v>245.47009964403901</v>
      </c>
    </row>
    <row r="469" spans="1:18" x14ac:dyDescent="0.3">
      <c r="A469">
        <v>43</v>
      </c>
      <c r="B469" t="s">
        <v>7</v>
      </c>
      <c r="C469">
        <v>66.008407334552899</v>
      </c>
      <c r="D469">
        <v>13</v>
      </c>
      <c r="G469">
        <v>63</v>
      </c>
      <c r="H469" t="s">
        <v>27</v>
      </c>
      <c r="I469">
        <v>101</v>
      </c>
      <c r="J469">
        <v>101</v>
      </c>
      <c r="K469">
        <v>11.039603960396001</v>
      </c>
      <c r="L469">
        <v>18.496237891526899</v>
      </c>
      <c r="M469">
        <v>19.6866710058673</v>
      </c>
      <c r="N469">
        <v>105.94031198846299</v>
      </c>
      <c r="O469">
        <v>0</v>
      </c>
      <c r="P469">
        <v>0</v>
      </c>
      <c r="Q469">
        <v>251.13265044884599</v>
      </c>
      <c r="R469">
        <v>236.629771584004</v>
      </c>
    </row>
    <row r="470" spans="1:18" x14ac:dyDescent="0.3">
      <c r="A470">
        <v>43</v>
      </c>
      <c r="B470" t="s">
        <v>8</v>
      </c>
      <c r="C470">
        <v>78.450917988790707</v>
      </c>
      <c r="D470">
        <v>13</v>
      </c>
      <c r="G470">
        <v>63</v>
      </c>
      <c r="H470" t="s">
        <v>28</v>
      </c>
      <c r="I470">
        <v>126</v>
      </c>
      <c r="J470">
        <v>126</v>
      </c>
      <c r="K470">
        <v>11.968253968253901</v>
      </c>
      <c r="L470">
        <v>23.6759361411669</v>
      </c>
      <c r="M470">
        <v>19.6866710058673</v>
      </c>
      <c r="N470">
        <v>133.04732512515301</v>
      </c>
      <c r="O470">
        <v>0</v>
      </c>
      <c r="P470">
        <v>0</v>
      </c>
      <c r="Q470">
        <v>286.270915280103</v>
      </c>
      <c r="R470">
        <v>262.167175507227</v>
      </c>
    </row>
    <row r="471" spans="1:18" x14ac:dyDescent="0.3">
      <c r="A471">
        <v>43</v>
      </c>
      <c r="B471" t="s">
        <v>9</v>
      </c>
      <c r="C471">
        <v>80.365940635339996</v>
      </c>
      <c r="D471">
        <v>11.590361445783101</v>
      </c>
      <c r="G471">
        <v>64</v>
      </c>
      <c r="H471" t="s">
        <v>25</v>
      </c>
      <c r="I471">
        <v>73</v>
      </c>
      <c r="J471">
        <v>73</v>
      </c>
      <c r="K471">
        <v>7.2602739726027297</v>
      </c>
      <c r="L471">
        <v>17.9971746284204</v>
      </c>
      <c r="M471">
        <v>21.135303082301402</v>
      </c>
      <c r="N471">
        <v>94.235169957254001</v>
      </c>
      <c r="O471">
        <v>0</v>
      </c>
      <c r="P471">
        <v>0</v>
      </c>
      <c r="Q471">
        <v>216.05221293997201</v>
      </c>
      <c r="R471">
        <v>190.68967890808099</v>
      </c>
    </row>
    <row r="472" spans="1:18" x14ac:dyDescent="0.3">
      <c r="A472">
        <v>43</v>
      </c>
      <c r="B472" t="s">
        <v>10</v>
      </c>
      <c r="C472">
        <v>117.387589757554</v>
      </c>
      <c r="D472">
        <v>10.3805970149253</v>
      </c>
      <c r="G472">
        <v>64</v>
      </c>
      <c r="H472" t="s">
        <v>26</v>
      </c>
      <c r="I472">
        <v>92</v>
      </c>
      <c r="J472">
        <v>92</v>
      </c>
      <c r="K472">
        <v>10.2717391304347</v>
      </c>
      <c r="L472">
        <v>17.184628431198298</v>
      </c>
      <c r="M472">
        <v>21.135303082301402</v>
      </c>
      <c r="N472">
        <v>111.866540451727</v>
      </c>
      <c r="O472">
        <v>0</v>
      </c>
      <c r="P472">
        <v>0</v>
      </c>
      <c r="Q472">
        <v>230.382389177699</v>
      </c>
      <c r="R472">
        <v>220.01161430909801</v>
      </c>
    </row>
    <row r="473" spans="1:18" x14ac:dyDescent="0.3">
      <c r="A473">
        <v>43</v>
      </c>
      <c r="B473" t="s">
        <v>11</v>
      </c>
      <c r="C473">
        <v>273.47441214005102</v>
      </c>
      <c r="D473">
        <v>13.916167664670599</v>
      </c>
      <c r="G473">
        <v>64</v>
      </c>
      <c r="H473" t="s">
        <v>27</v>
      </c>
      <c r="I473">
        <v>119</v>
      </c>
      <c r="J473">
        <v>119</v>
      </c>
      <c r="K473">
        <v>13.638655462184801</v>
      </c>
      <c r="L473">
        <v>21.961268334654999</v>
      </c>
      <c r="M473">
        <v>21.135303082301402</v>
      </c>
      <c r="N473">
        <v>141.230430995956</v>
      </c>
      <c r="O473">
        <v>0</v>
      </c>
      <c r="P473">
        <v>0</v>
      </c>
      <c r="Q473">
        <v>318.70062106788299</v>
      </c>
      <c r="R473">
        <v>307.94252579210502</v>
      </c>
    </row>
    <row r="474" spans="1:18" x14ac:dyDescent="0.3">
      <c r="A474">
        <v>43</v>
      </c>
      <c r="B474" t="s">
        <v>12</v>
      </c>
      <c r="C474">
        <v>353.75225445253699</v>
      </c>
      <c r="D474">
        <v>14</v>
      </c>
      <c r="G474">
        <v>64</v>
      </c>
      <c r="H474" t="s">
        <v>28</v>
      </c>
      <c r="I474">
        <v>102</v>
      </c>
      <c r="J474">
        <v>102</v>
      </c>
      <c r="K474">
        <v>11.176470588235199</v>
      </c>
      <c r="L474">
        <v>18.525806802367899</v>
      </c>
      <c r="M474">
        <v>21.135303082301402</v>
      </c>
      <c r="N474">
        <v>123.89951187244201</v>
      </c>
      <c r="O474">
        <v>0</v>
      </c>
      <c r="P474">
        <v>0</v>
      </c>
      <c r="Q474">
        <v>260.84858799999898</v>
      </c>
      <c r="R474">
        <v>251.08028244399901</v>
      </c>
    </row>
    <row r="475" spans="1:18" x14ac:dyDescent="0.3">
      <c r="A475">
        <v>43</v>
      </c>
      <c r="B475" t="s">
        <v>13</v>
      </c>
      <c r="C475">
        <v>352.72555919342398</v>
      </c>
      <c r="D475">
        <v>0</v>
      </c>
      <c r="G475">
        <v>64</v>
      </c>
      <c r="H475" t="s">
        <v>29</v>
      </c>
      <c r="I475">
        <v>89</v>
      </c>
      <c r="J475">
        <v>85</v>
      </c>
      <c r="K475">
        <v>8.8089887640449405</v>
      </c>
      <c r="L475">
        <v>19.955627596862701</v>
      </c>
      <c r="M475">
        <v>21.135303082301402</v>
      </c>
      <c r="N475">
        <v>118.950484985488</v>
      </c>
      <c r="O475">
        <v>0</v>
      </c>
      <c r="P475">
        <v>0</v>
      </c>
      <c r="Q475">
        <v>263.54153123780497</v>
      </c>
      <c r="R475">
        <v>239.901127187817</v>
      </c>
    </row>
    <row r="476" spans="1:18" x14ac:dyDescent="0.3">
      <c r="A476">
        <v>44</v>
      </c>
      <c r="B476" t="s">
        <v>3</v>
      </c>
      <c r="C476">
        <v>15.3944145800768</v>
      </c>
      <c r="D476">
        <v>13</v>
      </c>
      <c r="G476">
        <v>64</v>
      </c>
      <c r="H476" t="s">
        <v>30</v>
      </c>
      <c r="I476">
        <v>105</v>
      </c>
      <c r="J476">
        <v>105</v>
      </c>
      <c r="K476">
        <v>12.0571428571428</v>
      </c>
      <c r="L476">
        <v>20.4068245033056</v>
      </c>
      <c r="M476">
        <v>21.135303082301402</v>
      </c>
      <c r="N476">
        <v>133.116218960498</v>
      </c>
      <c r="O476">
        <v>0</v>
      </c>
      <c r="P476">
        <v>0</v>
      </c>
      <c r="Q476">
        <v>275.08627287253</v>
      </c>
      <c r="R476">
        <v>262.79887856744</v>
      </c>
    </row>
    <row r="477" spans="1:18" x14ac:dyDescent="0.3">
      <c r="A477">
        <v>44</v>
      </c>
      <c r="B477" t="s">
        <v>4</v>
      </c>
      <c r="C477">
        <v>15.245646333732299</v>
      </c>
      <c r="D477">
        <v>13</v>
      </c>
      <c r="G477">
        <v>64</v>
      </c>
      <c r="H477" t="s">
        <v>31</v>
      </c>
      <c r="I477">
        <v>108</v>
      </c>
      <c r="J477">
        <v>103</v>
      </c>
      <c r="K477">
        <v>10.009259259259199</v>
      </c>
      <c r="L477">
        <v>20.092066870191399</v>
      </c>
      <c r="M477">
        <v>21.135303082301402</v>
      </c>
      <c r="N477">
        <v>145.388328749876</v>
      </c>
      <c r="O477">
        <v>0</v>
      </c>
      <c r="P477">
        <v>0</v>
      </c>
      <c r="Q477">
        <v>263.21861558397802</v>
      </c>
      <c r="R477">
        <v>251.12571455483601</v>
      </c>
    </row>
    <row r="478" spans="1:18" x14ac:dyDescent="0.3">
      <c r="A478">
        <v>44</v>
      </c>
      <c r="B478" t="s">
        <v>5</v>
      </c>
      <c r="C478">
        <v>19.529584016159198</v>
      </c>
      <c r="D478">
        <v>13</v>
      </c>
      <c r="G478">
        <v>64</v>
      </c>
      <c r="H478" t="s">
        <v>32</v>
      </c>
      <c r="I478">
        <v>117</v>
      </c>
      <c r="J478">
        <v>117</v>
      </c>
      <c r="K478">
        <v>12.692307692307599</v>
      </c>
      <c r="L478">
        <v>21.0550309808219</v>
      </c>
      <c r="M478">
        <v>21.135303082301402</v>
      </c>
      <c r="N478">
        <v>145.80786197722401</v>
      </c>
      <c r="O478">
        <v>0</v>
      </c>
      <c r="P478">
        <v>0</v>
      </c>
      <c r="Q478">
        <v>269.69545521499401</v>
      </c>
      <c r="R478">
        <v>257.95572015623799</v>
      </c>
    </row>
    <row r="479" spans="1:18" x14ac:dyDescent="0.3">
      <c r="A479">
        <v>44</v>
      </c>
      <c r="B479" t="s">
        <v>6</v>
      </c>
      <c r="C479">
        <v>64.285804838119503</v>
      </c>
      <c r="D479">
        <v>13</v>
      </c>
      <c r="G479">
        <v>65</v>
      </c>
      <c r="H479" t="s">
        <v>25</v>
      </c>
      <c r="I479">
        <v>82</v>
      </c>
      <c r="J479">
        <v>82</v>
      </c>
      <c r="K479">
        <v>8.8536585365853604</v>
      </c>
      <c r="L479">
        <v>17.758546101060599</v>
      </c>
      <c r="M479">
        <v>22.182343519033601</v>
      </c>
      <c r="N479">
        <v>102.58891624329701</v>
      </c>
      <c r="O479">
        <v>0</v>
      </c>
      <c r="P479">
        <v>0</v>
      </c>
      <c r="Q479">
        <v>241.070258177699</v>
      </c>
      <c r="R479">
        <v>223.09112194909801</v>
      </c>
    </row>
    <row r="480" spans="1:18" x14ac:dyDescent="0.3">
      <c r="A480">
        <v>44</v>
      </c>
      <c r="B480" t="s">
        <v>7</v>
      </c>
      <c r="C480">
        <v>66.056035824885598</v>
      </c>
      <c r="D480">
        <v>11.1428571428571</v>
      </c>
      <c r="G480">
        <v>65</v>
      </c>
      <c r="H480" t="s">
        <v>26</v>
      </c>
      <c r="I480">
        <v>116</v>
      </c>
      <c r="J480">
        <v>116</v>
      </c>
      <c r="K480">
        <v>13.6293103448275</v>
      </c>
      <c r="L480">
        <v>20.957026836167898</v>
      </c>
      <c r="M480">
        <v>22.182343519033601</v>
      </c>
      <c r="N480">
        <v>137.490491663521</v>
      </c>
      <c r="O480">
        <v>0</v>
      </c>
      <c r="P480">
        <v>0</v>
      </c>
      <c r="Q480">
        <v>257.56704545282901</v>
      </c>
      <c r="R480">
        <v>246.20791570598001</v>
      </c>
    </row>
    <row r="481" spans="1:18" x14ac:dyDescent="0.3">
      <c r="A481">
        <v>44</v>
      </c>
      <c r="B481" t="s">
        <v>8</v>
      </c>
      <c r="C481">
        <v>79.095772681084398</v>
      </c>
      <c r="D481">
        <v>11.802469135802401</v>
      </c>
      <c r="G481">
        <v>65</v>
      </c>
      <c r="H481" t="s">
        <v>27</v>
      </c>
      <c r="I481">
        <v>104</v>
      </c>
      <c r="J481">
        <v>104</v>
      </c>
      <c r="K481">
        <v>11.432692307692299</v>
      </c>
      <c r="L481">
        <v>20.031324452745299</v>
      </c>
      <c r="M481">
        <v>22.182343519033601</v>
      </c>
      <c r="N481">
        <v>122.492073771005</v>
      </c>
      <c r="O481">
        <v>0</v>
      </c>
      <c r="P481">
        <v>0</v>
      </c>
      <c r="Q481">
        <v>269.510989729654</v>
      </c>
      <c r="R481">
        <v>249.18027192426501</v>
      </c>
    </row>
    <row r="482" spans="1:18" x14ac:dyDescent="0.3">
      <c r="A482">
        <v>44</v>
      </c>
      <c r="B482" t="s">
        <v>9</v>
      </c>
      <c r="C482">
        <v>81.245803631757298</v>
      </c>
      <c r="D482">
        <v>14</v>
      </c>
      <c r="G482">
        <v>65</v>
      </c>
      <c r="H482" t="s">
        <v>28</v>
      </c>
      <c r="I482">
        <v>108</v>
      </c>
      <c r="J482">
        <v>103</v>
      </c>
      <c r="K482">
        <v>10.009259259259199</v>
      </c>
      <c r="L482">
        <v>20.564373001759201</v>
      </c>
      <c r="M482">
        <v>22.182343519033601</v>
      </c>
      <c r="N482">
        <v>145.68495773929399</v>
      </c>
      <c r="O482">
        <v>0</v>
      </c>
      <c r="P482">
        <v>0</v>
      </c>
      <c r="Q482">
        <v>290.62283076611101</v>
      </c>
      <c r="R482">
        <v>277.54270044873903</v>
      </c>
    </row>
    <row r="483" spans="1:18" x14ac:dyDescent="0.3">
      <c r="A483">
        <v>44</v>
      </c>
      <c r="B483" t="s">
        <v>10</v>
      </c>
      <c r="C483">
        <v>116.11634767358299</v>
      </c>
      <c r="D483">
        <v>14</v>
      </c>
      <c r="G483">
        <v>65</v>
      </c>
      <c r="H483" t="s">
        <v>29</v>
      </c>
      <c r="I483">
        <v>118</v>
      </c>
      <c r="J483">
        <v>118</v>
      </c>
      <c r="K483">
        <v>12.711864406779601</v>
      </c>
      <c r="L483">
        <v>21.681489460331001</v>
      </c>
      <c r="M483">
        <v>22.182343519033601</v>
      </c>
      <c r="N483">
        <v>147.57710911299</v>
      </c>
      <c r="O483">
        <v>0</v>
      </c>
      <c r="P483">
        <v>0</v>
      </c>
      <c r="Q483">
        <v>301.14161039617301</v>
      </c>
      <c r="R483">
        <v>290.98130656567901</v>
      </c>
    </row>
    <row r="484" spans="1:18" x14ac:dyDescent="0.3">
      <c r="A484">
        <v>44</v>
      </c>
      <c r="B484" t="s">
        <v>11</v>
      </c>
      <c r="C484">
        <v>274.21758380943999</v>
      </c>
      <c r="D484">
        <v>0</v>
      </c>
      <c r="G484">
        <v>65</v>
      </c>
      <c r="H484" t="s">
        <v>30</v>
      </c>
      <c r="I484">
        <v>105</v>
      </c>
      <c r="J484">
        <v>105</v>
      </c>
      <c r="K484">
        <v>12.2095238095238</v>
      </c>
      <c r="L484">
        <v>20.228263955036802</v>
      </c>
      <c r="M484">
        <v>22.182343519033601</v>
      </c>
      <c r="N484">
        <v>133.235857351627</v>
      </c>
      <c r="O484">
        <v>0</v>
      </c>
      <c r="P484">
        <v>0</v>
      </c>
      <c r="Q484">
        <v>265.60762083762302</v>
      </c>
      <c r="R484">
        <v>252.46952770841901</v>
      </c>
    </row>
    <row r="485" spans="1:18" x14ac:dyDescent="0.3">
      <c r="A485">
        <v>44</v>
      </c>
      <c r="B485" t="s">
        <v>12</v>
      </c>
      <c r="C485">
        <v>353.258983150137</v>
      </c>
      <c r="D485">
        <v>0</v>
      </c>
      <c r="G485">
        <v>65</v>
      </c>
      <c r="H485" t="s">
        <v>31</v>
      </c>
      <c r="I485">
        <v>102</v>
      </c>
      <c r="J485">
        <v>99</v>
      </c>
      <c r="K485">
        <v>9.3333333333333304</v>
      </c>
      <c r="L485">
        <v>19.665291483936102</v>
      </c>
      <c r="M485">
        <v>22.182343519033601</v>
      </c>
      <c r="N485">
        <v>141.16886826769999</v>
      </c>
      <c r="O485">
        <v>0</v>
      </c>
      <c r="P485">
        <v>0</v>
      </c>
      <c r="Q485">
        <v>269.87525500485299</v>
      </c>
      <c r="R485">
        <v>255.81535917888101</v>
      </c>
    </row>
    <row r="486" spans="1:18" x14ac:dyDescent="0.3">
      <c r="A486">
        <v>44</v>
      </c>
      <c r="B486" t="s">
        <v>13</v>
      </c>
      <c r="C486">
        <v>353.12093928496398</v>
      </c>
      <c r="D486">
        <v>0</v>
      </c>
      <c r="G486">
        <v>65</v>
      </c>
      <c r="H486" t="s">
        <v>32</v>
      </c>
      <c r="I486">
        <v>119</v>
      </c>
      <c r="J486">
        <v>115</v>
      </c>
      <c r="K486">
        <v>9.9075630252100808</v>
      </c>
      <c r="L486">
        <v>23.0154275006864</v>
      </c>
      <c r="M486">
        <v>22.182343519033601</v>
      </c>
      <c r="N486">
        <v>156.696558283211</v>
      </c>
      <c r="O486">
        <v>0</v>
      </c>
      <c r="P486">
        <v>0</v>
      </c>
      <c r="Q486">
        <v>308.810079473261</v>
      </c>
      <c r="R486">
        <v>291.12275276778001</v>
      </c>
    </row>
    <row r="487" spans="1:18" x14ac:dyDescent="0.3">
      <c r="A487">
        <v>45</v>
      </c>
      <c r="B487" t="s">
        <v>3</v>
      </c>
      <c r="C487">
        <v>15.3898670275308</v>
      </c>
      <c r="D487">
        <v>13</v>
      </c>
      <c r="G487">
        <v>66</v>
      </c>
      <c r="H487" t="s">
        <v>25</v>
      </c>
      <c r="I487">
        <v>82</v>
      </c>
      <c r="J487">
        <v>82</v>
      </c>
      <c r="K487">
        <v>8.8536585365853604</v>
      </c>
      <c r="L487">
        <v>17.780376058543698</v>
      </c>
      <c r="M487">
        <v>22.207318185529601</v>
      </c>
      <c r="N487">
        <v>102.125749396271</v>
      </c>
      <c r="O487">
        <v>0</v>
      </c>
      <c r="P487">
        <v>0</v>
      </c>
      <c r="Q487">
        <v>234.99252147478501</v>
      </c>
      <c r="R487">
        <v>216.72541524553199</v>
      </c>
    </row>
    <row r="488" spans="1:18" x14ac:dyDescent="0.3">
      <c r="A488">
        <v>45</v>
      </c>
      <c r="B488" t="s">
        <v>4</v>
      </c>
      <c r="C488">
        <v>15.231100508706801</v>
      </c>
      <c r="D488">
        <v>13</v>
      </c>
      <c r="G488">
        <v>66</v>
      </c>
      <c r="H488" t="s">
        <v>26</v>
      </c>
      <c r="I488">
        <v>92</v>
      </c>
      <c r="J488">
        <v>92</v>
      </c>
      <c r="K488">
        <v>10.2717391304347</v>
      </c>
      <c r="L488">
        <v>17.384603900931602</v>
      </c>
      <c r="M488">
        <v>22.207318185529601</v>
      </c>
      <c r="N488">
        <v>112.79164773739799</v>
      </c>
      <c r="O488">
        <v>0</v>
      </c>
      <c r="P488">
        <v>0</v>
      </c>
      <c r="Q488">
        <v>235.60401106275299</v>
      </c>
      <c r="R488">
        <v>226.091038308593</v>
      </c>
    </row>
    <row r="489" spans="1:18" x14ac:dyDescent="0.3">
      <c r="A489">
        <v>45</v>
      </c>
      <c r="B489" t="s">
        <v>5</v>
      </c>
      <c r="C489">
        <v>19.675400388220901</v>
      </c>
      <c r="D489">
        <v>13</v>
      </c>
      <c r="G489">
        <v>66</v>
      </c>
      <c r="H489" t="s">
        <v>27</v>
      </c>
      <c r="I489">
        <v>96</v>
      </c>
      <c r="J489">
        <v>96</v>
      </c>
      <c r="K489">
        <v>10.53125</v>
      </c>
      <c r="L489">
        <v>18.269480333848598</v>
      </c>
      <c r="M489">
        <v>22.207318185529601</v>
      </c>
      <c r="N489">
        <v>116.701034048837</v>
      </c>
      <c r="O489">
        <v>0</v>
      </c>
      <c r="P489">
        <v>0</v>
      </c>
      <c r="Q489">
        <v>267.35928261505302</v>
      </c>
      <c r="R489">
        <v>254.89432772212399</v>
      </c>
    </row>
    <row r="490" spans="1:18" x14ac:dyDescent="0.3">
      <c r="A490">
        <v>45</v>
      </c>
      <c r="B490" t="s">
        <v>6</v>
      </c>
      <c r="C490">
        <v>64.265227702740205</v>
      </c>
      <c r="D490">
        <v>13</v>
      </c>
      <c r="G490">
        <v>66</v>
      </c>
      <c r="H490" t="s">
        <v>28</v>
      </c>
      <c r="I490">
        <v>98</v>
      </c>
      <c r="J490">
        <v>93</v>
      </c>
      <c r="K490">
        <v>9.9489795918367303</v>
      </c>
      <c r="L490">
        <v>19.000530694158201</v>
      </c>
      <c r="M490">
        <v>22.207318185529601</v>
      </c>
      <c r="N490">
        <v>128.000752915232</v>
      </c>
      <c r="O490">
        <v>0</v>
      </c>
      <c r="P490">
        <v>0</v>
      </c>
      <c r="Q490">
        <v>251.332639555372</v>
      </c>
      <c r="R490">
        <v>235.39708256608699</v>
      </c>
    </row>
    <row r="491" spans="1:18" x14ac:dyDescent="0.3">
      <c r="A491">
        <v>45</v>
      </c>
      <c r="B491" t="s">
        <v>7</v>
      </c>
      <c r="C491">
        <v>65.361289462703198</v>
      </c>
      <c r="D491">
        <v>13</v>
      </c>
      <c r="G491">
        <v>66</v>
      </c>
      <c r="H491" t="s">
        <v>29</v>
      </c>
      <c r="I491">
        <v>117</v>
      </c>
      <c r="J491">
        <v>117</v>
      </c>
      <c r="K491">
        <v>12.692307692307599</v>
      </c>
      <c r="L491">
        <v>21.601444378257899</v>
      </c>
      <c r="M491">
        <v>22.207318185529601</v>
      </c>
      <c r="N491">
        <v>145.634519998934</v>
      </c>
      <c r="O491">
        <v>0</v>
      </c>
      <c r="P491">
        <v>0</v>
      </c>
      <c r="Q491">
        <v>278.32536345926297</v>
      </c>
      <c r="R491">
        <v>268.19346298152999</v>
      </c>
    </row>
    <row r="492" spans="1:18" x14ac:dyDescent="0.3">
      <c r="A492">
        <v>45</v>
      </c>
      <c r="B492" t="s">
        <v>8</v>
      </c>
      <c r="C492">
        <v>78.182953802528402</v>
      </c>
      <c r="D492">
        <v>13</v>
      </c>
      <c r="G492">
        <v>66</v>
      </c>
      <c r="H492" t="s">
        <v>30</v>
      </c>
      <c r="I492">
        <v>102</v>
      </c>
      <c r="J492">
        <v>102</v>
      </c>
      <c r="K492">
        <v>11.980392156862701</v>
      </c>
      <c r="L492">
        <v>19.919183728181899</v>
      </c>
      <c r="M492">
        <v>22.207318185529601</v>
      </c>
      <c r="N492">
        <v>129.154221284068</v>
      </c>
      <c r="O492">
        <v>0</v>
      </c>
      <c r="P492">
        <v>0</v>
      </c>
      <c r="Q492">
        <v>262.29124208146101</v>
      </c>
      <c r="R492">
        <v>249.02356459792699</v>
      </c>
    </row>
    <row r="493" spans="1:18" x14ac:dyDescent="0.3">
      <c r="A493">
        <v>45</v>
      </c>
      <c r="B493" t="s">
        <v>9</v>
      </c>
      <c r="C493">
        <v>81.018116743935394</v>
      </c>
      <c r="D493">
        <v>13</v>
      </c>
      <c r="G493">
        <v>66</v>
      </c>
      <c r="H493" t="s">
        <v>31</v>
      </c>
      <c r="I493">
        <v>103</v>
      </c>
      <c r="J493">
        <v>97</v>
      </c>
      <c r="K493">
        <v>9.3883495145630995</v>
      </c>
      <c r="L493">
        <v>19.5672908276089</v>
      </c>
      <c r="M493">
        <v>22.207318185529601</v>
      </c>
      <c r="N493">
        <v>141.21280307962101</v>
      </c>
      <c r="O493">
        <v>0</v>
      </c>
      <c r="P493">
        <v>0</v>
      </c>
      <c r="Q493">
        <v>269.14098683936601</v>
      </c>
      <c r="R493">
        <v>253.95327653595399</v>
      </c>
    </row>
    <row r="494" spans="1:18" x14ac:dyDescent="0.3">
      <c r="A494">
        <v>45</v>
      </c>
      <c r="B494" t="s">
        <v>10</v>
      </c>
      <c r="C494">
        <v>116.261202964392</v>
      </c>
      <c r="D494">
        <v>13</v>
      </c>
      <c r="G494">
        <v>66</v>
      </c>
      <c r="H494" t="s">
        <v>32</v>
      </c>
      <c r="I494">
        <v>117</v>
      </c>
      <c r="J494">
        <v>117</v>
      </c>
      <c r="K494">
        <v>12.692307692307599</v>
      </c>
      <c r="L494">
        <v>21.5835182584816</v>
      </c>
      <c r="M494">
        <v>22.207318185529601</v>
      </c>
      <c r="N494">
        <v>145.91590807399601</v>
      </c>
      <c r="O494">
        <v>0</v>
      </c>
      <c r="P494">
        <v>0</v>
      </c>
      <c r="Q494">
        <v>295.49634702895003</v>
      </c>
      <c r="R494">
        <v>283.82536451784603</v>
      </c>
    </row>
    <row r="495" spans="1:18" x14ac:dyDescent="0.3">
      <c r="A495">
        <v>45</v>
      </c>
      <c r="B495" t="s">
        <v>11</v>
      </c>
      <c r="C495">
        <v>275.55682735402303</v>
      </c>
      <c r="D495">
        <v>12.8579881656804</v>
      </c>
      <c r="G495">
        <v>67</v>
      </c>
      <c r="H495" t="s">
        <v>25</v>
      </c>
      <c r="I495">
        <v>82</v>
      </c>
      <c r="J495">
        <v>82</v>
      </c>
      <c r="K495">
        <v>8.8536585365853604</v>
      </c>
      <c r="L495">
        <v>18.228910408524499</v>
      </c>
      <c r="M495">
        <v>22.5491037315402</v>
      </c>
      <c r="N495">
        <v>102.205034052743</v>
      </c>
      <c r="O495">
        <v>0</v>
      </c>
      <c r="P495">
        <v>0</v>
      </c>
      <c r="Q495">
        <v>247.58705717769899</v>
      </c>
      <c r="R495">
        <v>229.28672432609801</v>
      </c>
    </row>
    <row r="496" spans="1:18" x14ac:dyDescent="0.3">
      <c r="A496">
        <v>45</v>
      </c>
      <c r="B496" t="s">
        <v>12</v>
      </c>
      <c r="C496">
        <v>353.93764819005003</v>
      </c>
      <c r="D496">
        <v>13.725581395348801</v>
      </c>
      <c r="G496">
        <v>67</v>
      </c>
      <c r="H496" t="s">
        <v>26</v>
      </c>
      <c r="I496">
        <v>92</v>
      </c>
      <c r="J496">
        <v>92</v>
      </c>
      <c r="K496">
        <v>10.2717391304347</v>
      </c>
      <c r="L496">
        <v>17.389880228520799</v>
      </c>
      <c r="M496">
        <v>22.5491037315402</v>
      </c>
      <c r="N496">
        <v>112.42321558467501</v>
      </c>
      <c r="O496">
        <v>0</v>
      </c>
      <c r="P496">
        <v>0</v>
      </c>
      <c r="Q496">
        <v>231.05219306275299</v>
      </c>
      <c r="R496">
        <v>221.02956585459299</v>
      </c>
    </row>
    <row r="497" spans="1:18" x14ac:dyDescent="0.3">
      <c r="A497">
        <v>45</v>
      </c>
      <c r="B497" t="s">
        <v>13</v>
      </c>
      <c r="C497">
        <v>352.08605953638499</v>
      </c>
      <c r="D497">
        <v>14</v>
      </c>
      <c r="G497">
        <v>67</v>
      </c>
      <c r="H497" t="s">
        <v>27</v>
      </c>
      <c r="I497">
        <v>116</v>
      </c>
      <c r="J497">
        <v>116</v>
      </c>
      <c r="K497">
        <v>12.939655172413699</v>
      </c>
      <c r="L497">
        <v>21.557270976445398</v>
      </c>
      <c r="M497">
        <v>22.5491037315402</v>
      </c>
      <c r="N497">
        <v>137.68824391997401</v>
      </c>
      <c r="O497">
        <v>0</v>
      </c>
      <c r="P497">
        <v>0</v>
      </c>
      <c r="Q497">
        <v>283.31760438143698</v>
      </c>
      <c r="R497">
        <v>269.54513019530202</v>
      </c>
    </row>
    <row r="498" spans="1:18" x14ac:dyDescent="0.3">
      <c r="A498">
        <v>46</v>
      </c>
      <c r="B498" t="s">
        <v>3</v>
      </c>
      <c r="C498">
        <v>15.0767602616987</v>
      </c>
      <c r="D498">
        <v>13</v>
      </c>
      <c r="G498">
        <v>67</v>
      </c>
      <c r="H498" t="s">
        <v>28</v>
      </c>
      <c r="I498">
        <v>109</v>
      </c>
      <c r="J498">
        <v>103</v>
      </c>
      <c r="K498">
        <v>10.055045871559599</v>
      </c>
      <c r="L498">
        <v>20.485874528987299</v>
      </c>
      <c r="M498">
        <v>22.5491037315402</v>
      </c>
      <c r="N498">
        <v>146.46717146929399</v>
      </c>
      <c r="O498">
        <v>0</v>
      </c>
      <c r="P498">
        <v>0</v>
      </c>
      <c r="Q498">
        <v>294.59691224968799</v>
      </c>
      <c r="R498">
        <v>281.51752852402097</v>
      </c>
    </row>
    <row r="499" spans="1:18" x14ac:dyDescent="0.3">
      <c r="A499">
        <v>46</v>
      </c>
      <c r="B499" t="s">
        <v>4</v>
      </c>
      <c r="C499">
        <v>15.054601694544701</v>
      </c>
      <c r="D499">
        <v>13</v>
      </c>
      <c r="G499">
        <v>67</v>
      </c>
      <c r="H499" t="s">
        <v>29</v>
      </c>
      <c r="I499">
        <v>114</v>
      </c>
      <c r="J499">
        <v>114</v>
      </c>
      <c r="K499">
        <v>12.657894736842101</v>
      </c>
      <c r="L499">
        <v>21.071270766959898</v>
      </c>
      <c r="M499">
        <v>22.5491037315402</v>
      </c>
      <c r="N499">
        <v>141.08490011358199</v>
      </c>
      <c r="O499">
        <v>0</v>
      </c>
      <c r="P499">
        <v>0</v>
      </c>
      <c r="Q499">
        <v>278.798698081461</v>
      </c>
      <c r="R499">
        <v>268.31632307692701</v>
      </c>
    </row>
    <row r="500" spans="1:18" x14ac:dyDescent="0.3">
      <c r="A500">
        <v>46</v>
      </c>
      <c r="B500" t="s">
        <v>5</v>
      </c>
      <c r="C500">
        <v>20.094349448587199</v>
      </c>
      <c r="D500">
        <v>13</v>
      </c>
      <c r="G500">
        <v>67</v>
      </c>
      <c r="H500" t="s">
        <v>30</v>
      </c>
      <c r="I500">
        <v>105</v>
      </c>
      <c r="J500">
        <v>105</v>
      </c>
      <c r="K500">
        <v>12.0571428571428</v>
      </c>
      <c r="L500">
        <v>20.459347426838601</v>
      </c>
      <c r="M500">
        <v>22.5491037315402</v>
      </c>
      <c r="N500">
        <v>132.20192402158401</v>
      </c>
      <c r="O500">
        <v>0</v>
      </c>
      <c r="P500">
        <v>0</v>
      </c>
      <c r="Q500">
        <v>286.38551621499403</v>
      </c>
      <c r="R500">
        <v>273.75210441323799</v>
      </c>
    </row>
    <row r="501" spans="1:18" x14ac:dyDescent="0.3">
      <c r="A501">
        <v>46</v>
      </c>
      <c r="B501" t="s">
        <v>6</v>
      </c>
      <c r="C501">
        <v>65.092430004431804</v>
      </c>
      <c r="D501">
        <v>13</v>
      </c>
      <c r="G501">
        <v>67</v>
      </c>
      <c r="H501" t="s">
        <v>31</v>
      </c>
      <c r="I501">
        <v>103</v>
      </c>
      <c r="J501">
        <v>99</v>
      </c>
      <c r="K501">
        <v>9.3883495145630995</v>
      </c>
      <c r="L501">
        <v>19.7110278187258</v>
      </c>
      <c r="M501">
        <v>22.5491037315402</v>
      </c>
      <c r="N501">
        <v>141.045094306538</v>
      </c>
      <c r="O501">
        <v>0</v>
      </c>
      <c r="P501">
        <v>0</v>
      </c>
      <c r="Q501">
        <v>269.20450800485298</v>
      </c>
      <c r="R501">
        <v>253.175577503076</v>
      </c>
    </row>
    <row r="502" spans="1:18" x14ac:dyDescent="0.3">
      <c r="A502">
        <v>46</v>
      </c>
      <c r="B502" t="s">
        <v>7</v>
      </c>
      <c r="C502">
        <v>64.899636218996207</v>
      </c>
      <c r="D502">
        <v>13</v>
      </c>
      <c r="G502">
        <v>67</v>
      </c>
      <c r="H502" t="s">
        <v>32</v>
      </c>
      <c r="I502">
        <v>117</v>
      </c>
      <c r="J502">
        <v>117</v>
      </c>
      <c r="K502">
        <v>12.829059829059799</v>
      </c>
      <c r="L502">
        <v>21.327853502406601</v>
      </c>
      <c r="M502">
        <v>22.5491037315402</v>
      </c>
      <c r="N502">
        <v>146.692291913996</v>
      </c>
      <c r="O502">
        <v>0</v>
      </c>
      <c r="P502">
        <v>0</v>
      </c>
      <c r="Q502">
        <v>269.03446856942702</v>
      </c>
      <c r="R502">
        <v>257.86669000448001</v>
      </c>
    </row>
    <row r="503" spans="1:18" x14ac:dyDescent="0.3">
      <c r="A503">
        <v>46</v>
      </c>
      <c r="B503" t="s">
        <v>8</v>
      </c>
      <c r="C503">
        <v>78.771348638321498</v>
      </c>
      <c r="D503">
        <v>13</v>
      </c>
      <c r="G503">
        <v>68</v>
      </c>
      <c r="H503" t="s">
        <v>25</v>
      </c>
      <c r="I503">
        <v>82</v>
      </c>
      <c r="J503">
        <v>82</v>
      </c>
      <c r="K503">
        <v>8.8536585365853604</v>
      </c>
      <c r="L503">
        <v>17.956549226797101</v>
      </c>
      <c r="M503">
        <v>22.600118052859401</v>
      </c>
      <c r="N503">
        <v>103.288625347389</v>
      </c>
      <c r="O503">
        <v>0</v>
      </c>
      <c r="P503">
        <v>0</v>
      </c>
      <c r="Q503">
        <v>242.425458177699</v>
      </c>
      <c r="R503">
        <v>224.450290169098</v>
      </c>
    </row>
    <row r="504" spans="1:18" x14ac:dyDescent="0.3">
      <c r="A504">
        <v>46</v>
      </c>
      <c r="B504" t="s">
        <v>9</v>
      </c>
      <c r="C504">
        <v>81.193727715464703</v>
      </c>
      <c r="D504">
        <v>13</v>
      </c>
      <c r="G504">
        <v>68</v>
      </c>
      <c r="H504" t="s">
        <v>26</v>
      </c>
      <c r="I504">
        <v>106</v>
      </c>
      <c r="J504">
        <v>101</v>
      </c>
      <c r="K504">
        <v>9.9056603773584904</v>
      </c>
      <c r="L504">
        <v>19.784435211750498</v>
      </c>
      <c r="M504">
        <v>22.600118052859401</v>
      </c>
      <c r="N504">
        <v>136.18417230743901</v>
      </c>
      <c r="O504">
        <v>0</v>
      </c>
      <c r="P504">
        <v>0</v>
      </c>
      <c r="Q504">
        <v>251.957875022536</v>
      </c>
      <c r="R504">
        <v>239.858060352612</v>
      </c>
    </row>
    <row r="505" spans="1:18" x14ac:dyDescent="0.3">
      <c r="A505">
        <v>46</v>
      </c>
      <c r="B505" t="s">
        <v>10</v>
      </c>
      <c r="C505">
        <v>118.10772388750399</v>
      </c>
      <c r="D505">
        <v>13</v>
      </c>
      <c r="G505">
        <v>68</v>
      </c>
      <c r="H505" t="s">
        <v>27</v>
      </c>
      <c r="I505">
        <v>96</v>
      </c>
      <c r="J505">
        <v>96</v>
      </c>
      <c r="K505">
        <v>10.53125</v>
      </c>
      <c r="L505">
        <v>17.9468058694851</v>
      </c>
      <c r="M505">
        <v>22.600118052859401</v>
      </c>
      <c r="N505">
        <v>116.874507613798</v>
      </c>
      <c r="O505">
        <v>0</v>
      </c>
      <c r="P505">
        <v>0</v>
      </c>
      <c r="Q505">
        <v>243.315476263584</v>
      </c>
      <c r="R505">
        <v>231.15241536149699</v>
      </c>
    </row>
    <row r="506" spans="1:18" x14ac:dyDescent="0.3">
      <c r="A506">
        <v>46</v>
      </c>
      <c r="B506" t="s">
        <v>11</v>
      </c>
      <c r="C506">
        <v>274.354973208763</v>
      </c>
      <c r="D506">
        <v>12.776470588235201</v>
      </c>
      <c r="G506">
        <v>68</v>
      </c>
      <c r="H506" t="s">
        <v>28</v>
      </c>
      <c r="I506">
        <v>108</v>
      </c>
      <c r="J506">
        <v>102</v>
      </c>
      <c r="K506">
        <v>10</v>
      </c>
      <c r="L506">
        <v>20.1028065801253</v>
      </c>
      <c r="M506">
        <v>22.600118052859401</v>
      </c>
      <c r="N506">
        <v>138.00074288061199</v>
      </c>
      <c r="O506">
        <v>0</v>
      </c>
      <c r="P506">
        <v>0</v>
      </c>
      <c r="Q506">
        <v>264.95653207932202</v>
      </c>
      <c r="R506">
        <v>251.58960222132299</v>
      </c>
    </row>
    <row r="507" spans="1:18" x14ac:dyDescent="0.3">
      <c r="A507">
        <v>46</v>
      </c>
      <c r="B507" t="s">
        <v>12</v>
      </c>
      <c r="C507">
        <v>353.481929127868</v>
      </c>
      <c r="D507">
        <v>13.7116279069767</v>
      </c>
      <c r="G507">
        <v>68</v>
      </c>
      <c r="H507" t="s">
        <v>29</v>
      </c>
      <c r="I507">
        <v>117</v>
      </c>
      <c r="J507">
        <v>117</v>
      </c>
      <c r="K507">
        <v>12.692307692307599</v>
      </c>
      <c r="L507">
        <v>21.624859201982002</v>
      </c>
      <c r="M507">
        <v>22.600118052859401</v>
      </c>
      <c r="N507">
        <v>144.59307210316501</v>
      </c>
      <c r="O507">
        <v>0</v>
      </c>
      <c r="P507">
        <v>0</v>
      </c>
      <c r="Q507">
        <v>283.21064345926402</v>
      </c>
      <c r="R507">
        <v>272.54643594152998</v>
      </c>
    </row>
    <row r="508" spans="1:18" x14ac:dyDescent="0.3">
      <c r="A508">
        <v>46</v>
      </c>
      <c r="B508" t="s">
        <v>13</v>
      </c>
      <c r="C508">
        <v>351.15819504053098</v>
      </c>
      <c r="D508">
        <v>14</v>
      </c>
      <c r="G508">
        <v>68</v>
      </c>
      <c r="H508" t="s">
        <v>30</v>
      </c>
      <c r="I508">
        <v>96</v>
      </c>
      <c r="J508">
        <v>91</v>
      </c>
      <c r="K508">
        <v>8.9791666666666607</v>
      </c>
      <c r="L508">
        <v>19.133388607609099</v>
      </c>
      <c r="M508">
        <v>22.600118052859401</v>
      </c>
      <c r="N508">
        <v>134.07801686759399</v>
      </c>
      <c r="O508">
        <v>0</v>
      </c>
      <c r="P508">
        <v>0</v>
      </c>
      <c r="Q508">
        <v>250.37260709441401</v>
      </c>
      <c r="R508">
        <v>236.05904552495301</v>
      </c>
    </row>
    <row r="509" spans="1:18" x14ac:dyDescent="0.3">
      <c r="A509">
        <v>47</v>
      </c>
      <c r="B509" t="s">
        <v>3</v>
      </c>
      <c r="C509">
        <v>15.156215580755401</v>
      </c>
      <c r="D509">
        <v>13</v>
      </c>
      <c r="G509">
        <v>68</v>
      </c>
      <c r="H509" t="s">
        <v>31</v>
      </c>
      <c r="I509">
        <v>102</v>
      </c>
      <c r="J509">
        <v>98</v>
      </c>
      <c r="K509">
        <v>9.3333333333333304</v>
      </c>
      <c r="L509">
        <v>19.774220147995599</v>
      </c>
      <c r="M509">
        <v>22.600118052859401</v>
      </c>
      <c r="N509">
        <v>140.59295113151799</v>
      </c>
      <c r="O509">
        <v>0</v>
      </c>
      <c r="P509">
        <v>0</v>
      </c>
      <c r="Q509">
        <v>280.07694624674798</v>
      </c>
      <c r="R509">
        <v>264.40789466938401</v>
      </c>
    </row>
    <row r="510" spans="1:18" x14ac:dyDescent="0.3">
      <c r="A510">
        <v>47</v>
      </c>
      <c r="B510" t="s">
        <v>4</v>
      </c>
      <c r="C510">
        <v>15.4347325378061</v>
      </c>
      <c r="D510">
        <v>13</v>
      </c>
      <c r="G510">
        <v>68</v>
      </c>
      <c r="H510" t="s">
        <v>32</v>
      </c>
      <c r="I510">
        <v>118</v>
      </c>
      <c r="J510">
        <v>118</v>
      </c>
      <c r="K510">
        <v>12.711864406779601</v>
      </c>
      <c r="L510">
        <v>21.765497369150399</v>
      </c>
      <c r="M510">
        <v>22.600118052859401</v>
      </c>
      <c r="N510">
        <v>148.59346023287699</v>
      </c>
      <c r="O510">
        <v>0</v>
      </c>
      <c r="P510">
        <v>0</v>
      </c>
      <c r="Q510">
        <v>296.76048348104001</v>
      </c>
      <c r="R510">
        <v>285.252192138699</v>
      </c>
    </row>
    <row r="511" spans="1:18" x14ac:dyDescent="0.3">
      <c r="A511">
        <v>47</v>
      </c>
      <c r="B511" t="s">
        <v>5</v>
      </c>
      <c r="C511">
        <v>19.489543525782398</v>
      </c>
      <c r="D511">
        <v>13</v>
      </c>
      <c r="G511">
        <v>69</v>
      </c>
      <c r="H511" t="s">
        <v>25</v>
      </c>
      <c r="I511">
        <v>82</v>
      </c>
      <c r="J511">
        <v>82</v>
      </c>
      <c r="K511">
        <v>8.8536585365853604</v>
      </c>
      <c r="L511">
        <v>17.670994075285801</v>
      </c>
      <c r="M511">
        <v>22.132630265787501</v>
      </c>
      <c r="N511">
        <v>102.96439892176301</v>
      </c>
      <c r="O511">
        <v>0</v>
      </c>
      <c r="P511">
        <v>0</v>
      </c>
      <c r="Q511">
        <v>231.96974817769899</v>
      </c>
      <c r="R511">
        <v>213.65345921409801</v>
      </c>
    </row>
    <row r="512" spans="1:18" x14ac:dyDescent="0.3">
      <c r="A512">
        <v>47</v>
      </c>
      <c r="B512" t="s">
        <v>6</v>
      </c>
      <c r="C512">
        <v>64.657688460897305</v>
      </c>
      <c r="D512">
        <v>13</v>
      </c>
      <c r="G512">
        <v>69</v>
      </c>
      <c r="H512" t="s">
        <v>26</v>
      </c>
      <c r="I512">
        <v>115</v>
      </c>
      <c r="J512">
        <v>115</v>
      </c>
      <c r="K512">
        <v>13.6173913043478</v>
      </c>
      <c r="L512">
        <v>21.017952788164301</v>
      </c>
      <c r="M512">
        <v>22.132630265787501</v>
      </c>
      <c r="N512">
        <v>135.07101401615699</v>
      </c>
      <c r="O512">
        <v>0</v>
      </c>
      <c r="P512">
        <v>0</v>
      </c>
      <c r="Q512">
        <v>256.70762400435802</v>
      </c>
      <c r="R512">
        <v>246.42707253925099</v>
      </c>
    </row>
    <row r="513" spans="1:18" x14ac:dyDescent="0.3">
      <c r="A513">
        <v>47</v>
      </c>
      <c r="B513" t="s">
        <v>7</v>
      </c>
      <c r="C513">
        <v>65.826541518561797</v>
      </c>
      <c r="D513">
        <v>13</v>
      </c>
      <c r="G513">
        <v>69</v>
      </c>
      <c r="H513" t="s">
        <v>27</v>
      </c>
      <c r="I513">
        <v>106</v>
      </c>
      <c r="J513">
        <v>106</v>
      </c>
      <c r="K513">
        <v>11.4716981132075</v>
      </c>
      <c r="L513">
        <v>20.3459559722818</v>
      </c>
      <c r="M513">
        <v>22.132630265787501</v>
      </c>
      <c r="N513">
        <v>126.085016292635</v>
      </c>
      <c r="O513">
        <v>0</v>
      </c>
      <c r="P513">
        <v>0</v>
      </c>
      <c r="Q513">
        <v>272.14423472965399</v>
      </c>
      <c r="R513">
        <v>251.808787124265</v>
      </c>
    </row>
    <row r="514" spans="1:18" x14ac:dyDescent="0.3">
      <c r="A514">
        <v>47</v>
      </c>
      <c r="B514" t="s">
        <v>8</v>
      </c>
      <c r="C514">
        <v>79.267652422097498</v>
      </c>
      <c r="D514">
        <v>13</v>
      </c>
      <c r="G514">
        <v>69</v>
      </c>
      <c r="H514" t="s">
        <v>28</v>
      </c>
      <c r="I514">
        <v>103</v>
      </c>
      <c r="J514">
        <v>97</v>
      </c>
      <c r="K514">
        <v>9.3883495145630995</v>
      </c>
      <c r="L514">
        <v>19.888651311710898</v>
      </c>
      <c r="M514">
        <v>22.132630265787501</v>
      </c>
      <c r="N514">
        <v>142.193054381689</v>
      </c>
      <c r="O514">
        <v>0</v>
      </c>
      <c r="P514">
        <v>0</v>
      </c>
      <c r="Q514">
        <v>271.97709254570202</v>
      </c>
      <c r="R514">
        <v>260.12461692864798</v>
      </c>
    </row>
    <row r="515" spans="1:18" x14ac:dyDescent="0.3">
      <c r="A515">
        <v>47</v>
      </c>
      <c r="B515" t="s">
        <v>9</v>
      </c>
      <c r="C515">
        <v>81.420624981813006</v>
      </c>
      <c r="D515">
        <v>11.590361445783101</v>
      </c>
      <c r="G515">
        <v>69</v>
      </c>
      <c r="H515" t="s">
        <v>29</v>
      </c>
      <c r="I515">
        <v>107</v>
      </c>
      <c r="J515">
        <v>104</v>
      </c>
      <c r="K515">
        <v>9.9626168224299008</v>
      </c>
      <c r="L515">
        <v>20.247544589322299</v>
      </c>
      <c r="M515">
        <v>22.132630265787501</v>
      </c>
      <c r="N515">
        <v>144.153545646754</v>
      </c>
      <c r="O515">
        <v>0</v>
      </c>
      <c r="P515">
        <v>0</v>
      </c>
      <c r="Q515">
        <v>275.56957502306</v>
      </c>
      <c r="R515">
        <v>262.69229988264999</v>
      </c>
    </row>
    <row r="516" spans="1:18" x14ac:dyDescent="0.3">
      <c r="A516">
        <v>47</v>
      </c>
      <c r="B516" t="s">
        <v>10</v>
      </c>
      <c r="C516">
        <v>116.204847404193</v>
      </c>
      <c r="D516">
        <v>10.1678832116788</v>
      </c>
      <c r="G516">
        <v>69</v>
      </c>
      <c r="H516" t="s">
        <v>30</v>
      </c>
      <c r="I516">
        <v>104</v>
      </c>
      <c r="J516">
        <v>104</v>
      </c>
      <c r="K516">
        <v>12.0288461538461</v>
      </c>
      <c r="L516">
        <v>20.546317202683198</v>
      </c>
      <c r="M516">
        <v>22.132630265787501</v>
      </c>
      <c r="N516">
        <v>132.32897770526299</v>
      </c>
      <c r="O516">
        <v>0</v>
      </c>
      <c r="P516">
        <v>0</v>
      </c>
      <c r="Q516">
        <v>279.65183121499399</v>
      </c>
      <c r="R516">
        <v>266.90192270823798</v>
      </c>
    </row>
    <row r="517" spans="1:18" x14ac:dyDescent="0.3">
      <c r="A517">
        <v>47</v>
      </c>
      <c r="B517" t="s">
        <v>11</v>
      </c>
      <c r="C517">
        <v>275.620066577297</v>
      </c>
      <c r="D517">
        <v>13.916167664670599</v>
      </c>
      <c r="G517">
        <v>69</v>
      </c>
      <c r="H517" t="s">
        <v>31</v>
      </c>
      <c r="I517">
        <v>116</v>
      </c>
      <c r="J517">
        <v>116</v>
      </c>
      <c r="K517">
        <v>12.6724137931034</v>
      </c>
      <c r="L517">
        <v>21.154419416599701</v>
      </c>
      <c r="M517">
        <v>22.132630265787501</v>
      </c>
      <c r="N517">
        <v>144.425061417102</v>
      </c>
      <c r="O517">
        <v>0</v>
      </c>
      <c r="P517">
        <v>0</v>
      </c>
      <c r="Q517">
        <v>266.94191706818299</v>
      </c>
      <c r="R517">
        <v>255.78932698158201</v>
      </c>
    </row>
    <row r="518" spans="1:18" x14ac:dyDescent="0.3">
      <c r="A518">
        <v>47</v>
      </c>
      <c r="B518" t="s">
        <v>12</v>
      </c>
      <c r="C518">
        <v>352.59948636567998</v>
      </c>
      <c r="D518">
        <v>14</v>
      </c>
      <c r="G518">
        <v>69</v>
      </c>
      <c r="H518" t="s">
        <v>32</v>
      </c>
      <c r="I518">
        <v>120</v>
      </c>
      <c r="J518">
        <v>116</v>
      </c>
      <c r="K518">
        <v>9.9499999999999993</v>
      </c>
      <c r="L518">
        <v>23.326710506049899</v>
      </c>
      <c r="M518">
        <v>22.132630265787501</v>
      </c>
      <c r="N518">
        <v>157.27781464222099</v>
      </c>
      <c r="O518">
        <v>0</v>
      </c>
      <c r="P518">
        <v>0</v>
      </c>
      <c r="Q518">
        <v>310.33506172866299</v>
      </c>
      <c r="R518">
        <v>293.50597252877901</v>
      </c>
    </row>
    <row r="519" spans="1:18" x14ac:dyDescent="0.3">
      <c r="A519">
        <v>47</v>
      </c>
      <c r="B519" t="s">
        <v>13</v>
      </c>
      <c r="C519">
        <v>353.61676868504702</v>
      </c>
      <c r="D519">
        <v>0</v>
      </c>
      <c r="G519">
        <v>70</v>
      </c>
      <c r="H519" t="s">
        <v>25</v>
      </c>
      <c r="I519">
        <v>94</v>
      </c>
      <c r="J519">
        <v>94</v>
      </c>
      <c r="K519">
        <v>9.5638297872340399</v>
      </c>
      <c r="L519">
        <v>19.312928258794301</v>
      </c>
      <c r="M519">
        <v>21.702594035195599</v>
      </c>
      <c r="N519">
        <v>114.300979218796</v>
      </c>
      <c r="O519">
        <v>0</v>
      </c>
      <c r="P519">
        <v>0</v>
      </c>
      <c r="Q519">
        <v>266.24870908647102</v>
      </c>
      <c r="R519">
        <v>250.74777043197</v>
      </c>
    </row>
    <row r="520" spans="1:18" x14ac:dyDescent="0.3">
      <c r="A520">
        <v>48</v>
      </c>
      <c r="B520" t="s">
        <v>3</v>
      </c>
      <c r="C520">
        <v>15.3798114237341</v>
      </c>
      <c r="D520">
        <v>13</v>
      </c>
      <c r="G520">
        <v>70</v>
      </c>
      <c r="H520" t="s">
        <v>26</v>
      </c>
      <c r="I520">
        <v>115</v>
      </c>
      <c r="J520">
        <v>115</v>
      </c>
      <c r="K520">
        <v>13.539130434782599</v>
      </c>
      <c r="L520">
        <v>21.439382789781199</v>
      </c>
      <c r="M520">
        <v>21.702594035195599</v>
      </c>
      <c r="N520">
        <v>137.34429670830099</v>
      </c>
      <c r="O520">
        <v>0</v>
      </c>
      <c r="P520">
        <v>0</v>
      </c>
      <c r="Q520">
        <v>279.55174603532299</v>
      </c>
      <c r="R520">
        <v>268.552363757948</v>
      </c>
    </row>
    <row r="521" spans="1:18" x14ac:dyDescent="0.3">
      <c r="A521">
        <v>48</v>
      </c>
      <c r="B521" t="s">
        <v>4</v>
      </c>
      <c r="C521">
        <v>15.2626418127543</v>
      </c>
      <c r="D521">
        <v>13</v>
      </c>
      <c r="G521">
        <v>70</v>
      </c>
      <c r="H521" t="s">
        <v>27</v>
      </c>
      <c r="I521">
        <v>120</v>
      </c>
      <c r="J521">
        <v>120</v>
      </c>
      <c r="K521">
        <v>13.725</v>
      </c>
      <c r="L521">
        <v>21.937011403342701</v>
      </c>
      <c r="M521">
        <v>21.702594035195599</v>
      </c>
      <c r="N521">
        <v>141.618141232272</v>
      </c>
      <c r="O521">
        <v>0</v>
      </c>
      <c r="P521">
        <v>0</v>
      </c>
      <c r="Q521">
        <v>300.76662204636</v>
      </c>
      <c r="R521">
        <v>286.963744978195</v>
      </c>
    </row>
    <row r="522" spans="1:18" x14ac:dyDescent="0.3">
      <c r="A522">
        <v>48</v>
      </c>
      <c r="B522" t="s">
        <v>5</v>
      </c>
      <c r="C522">
        <v>19.6707094542225</v>
      </c>
      <c r="D522">
        <v>13</v>
      </c>
      <c r="G522">
        <v>70</v>
      </c>
      <c r="H522" t="s">
        <v>28</v>
      </c>
      <c r="I522">
        <v>76</v>
      </c>
      <c r="J522">
        <v>76</v>
      </c>
      <c r="K522">
        <v>8.8157894736842106</v>
      </c>
      <c r="L522">
        <v>17.169391094462298</v>
      </c>
      <c r="M522">
        <v>21.702594035195599</v>
      </c>
      <c r="N522">
        <v>94.4624141314345</v>
      </c>
      <c r="O522">
        <v>0</v>
      </c>
      <c r="P522">
        <v>0</v>
      </c>
      <c r="Q522">
        <v>205.432161653279</v>
      </c>
      <c r="R522">
        <v>185.554121858841</v>
      </c>
    </row>
    <row r="523" spans="1:18" x14ac:dyDescent="0.3">
      <c r="A523">
        <v>48</v>
      </c>
      <c r="B523" t="s">
        <v>6</v>
      </c>
      <c r="C523">
        <v>64.937451099179199</v>
      </c>
      <c r="D523">
        <v>13</v>
      </c>
      <c r="G523">
        <v>70</v>
      </c>
      <c r="H523" t="s">
        <v>29</v>
      </c>
      <c r="I523">
        <v>108</v>
      </c>
      <c r="J523">
        <v>103</v>
      </c>
      <c r="K523">
        <v>10.009259259259199</v>
      </c>
      <c r="L523">
        <v>20.398802622490098</v>
      </c>
      <c r="M523">
        <v>21.702594035195599</v>
      </c>
      <c r="N523">
        <v>146.78140701110499</v>
      </c>
      <c r="O523">
        <v>0</v>
      </c>
      <c r="P523">
        <v>0</v>
      </c>
      <c r="Q523">
        <v>273.35525773585601</v>
      </c>
      <c r="R523">
        <v>261.03378198474297</v>
      </c>
    </row>
    <row r="524" spans="1:18" x14ac:dyDescent="0.3">
      <c r="A524">
        <v>48</v>
      </c>
      <c r="B524" t="s">
        <v>7</v>
      </c>
      <c r="C524">
        <v>64.837868235013602</v>
      </c>
      <c r="D524">
        <v>13</v>
      </c>
      <c r="G524">
        <v>70</v>
      </c>
      <c r="H524" t="s">
        <v>30</v>
      </c>
      <c r="I524">
        <v>97</v>
      </c>
      <c r="J524">
        <v>91</v>
      </c>
      <c r="K524">
        <v>8.8969072164948404</v>
      </c>
      <c r="L524">
        <v>20.567396271564402</v>
      </c>
      <c r="M524">
        <v>21.702594035195599</v>
      </c>
      <c r="N524">
        <v>135.557519903539</v>
      </c>
      <c r="O524">
        <v>0</v>
      </c>
      <c r="P524">
        <v>0</v>
      </c>
      <c r="Q524">
        <v>274.98657173017199</v>
      </c>
      <c r="R524">
        <v>256.202379472774</v>
      </c>
    </row>
    <row r="525" spans="1:18" x14ac:dyDescent="0.3">
      <c r="A525">
        <v>48</v>
      </c>
      <c r="B525" t="s">
        <v>8</v>
      </c>
      <c r="C525">
        <v>78.903257456057503</v>
      </c>
      <c r="D525">
        <v>13</v>
      </c>
      <c r="G525">
        <v>70</v>
      </c>
      <c r="H525" t="s">
        <v>31</v>
      </c>
      <c r="I525">
        <v>108</v>
      </c>
      <c r="J525">
        <v>105</v>
      </c>
      <c r="K525">
        <v>10.009259259259199</v>
      </c>
      <c r="L525">
        <v>20.5115756581007</v>
      </c>
      <c r="M525">
        <v>21.702594035195599</v>
      </c>
      <c r="N525">
        <v>146.05224111847301</v>
      </c>
      <c r="O525">
        <v>0</v>
      </c>
      <c r="P525">
        <v>0</v>
      </c>
      <c r="Q525">
        <v>270.18935156394701</v>
      </c>
      <c r="R525">
        <v>257.00533374604299</v>
      </c>
    </row>
    <row r="526" spans="1:18" x14ac:dyDescent="0.3">
      <c r="A526">
        <v>48</v>
      </c>
      <c r="B526" t="s">
        <v>9</v>
      </c>
      <c r="C526">
        <v>81.767373052328693</v>
      </c>
      <c r="D526">
        <v>13</v>
      </c>
      <c r="G526">
        <v>70</v>
      </c>
      <c r="H526" t="s">
        <v>32</v>
      </c>
      <c r="I526">
        <v>117</v>
      </c>
      <c r="J526">
        <v>117</v>
      </c>
      <c r="K526">
        <v>12.615384615384601</v>
      </c>
      <c r="L526">
        <v>21.8200808731502</v>
      </c>
      <c r="M526">
        <v>21.702594035195599</v>
      </c>
      <c r="N526">
        <v>147.31010840066199</v>
      </c>
      <c r="O526">
        <v>0</v>
      </c>
      <c r="P526">
        <v>0</v>
      </c>
      <c r="Q526">
        <v>302.18524185513002</v>
      </c>
      <c r="R526">
        <v>291.46637523589601</v>
      </c>
    </row>
    <row r="527" spans="1:18" x14ac:dyDescent="0.3">
      <c r="A527">
        <v>48</v>
      </c>
      <c r="B527" t="s">
        <v>10</v>
      </c>
      <c r="C527">
        <v>118.07268430870501</v>
      </c>
      <c r="D527">
        <v>13</v>
      </c>
      <c r="G527">
        <v>71</v>
      </c>
      <c r="H527" t="s">
        <v>25</v>
      </c>
      <c r="I527">
        <v>100</v>
      </c>
      <c r="J527">
        <v>100</v>
      </c>
      <c r="K527">
        <v>10.45</v>
      </c>
      <c r="L527">
        <v>19.351252214817301</v>
      </c>
      <c r="M527">
        <v>22.2789043817871</v>
      </c>
      <c r="N527">
        <v>137.097347262992</v>
      </c>
      <c r="O527">
        <v>0</v>
      </c>
      <c r="P527">
        <v>0</v>
      </c>
      <c r="Q527">
        <v>235.22915180610701</v>
      </c>
      <c r="R527">
        <v>221.209346375498</v>
      </c>
    </row>
    <row r="528" spans="1:18" x14ac:dyDescent="0.3">
      <c r="A528">
        <v>48</v>
      </c>
      <c r="B528" t="s">
        <v>11</v>
      </c>
      <c r="C528">
        <v>273.99022304432202</v>
      </c>
      <c r="D528">
        <v>12.770588235294101</v>
      </c>
      <c r="G528">
        <v>71</v>
      </c>
      <c r="H528" t="s">
        <v>26</v>
      </c>
      <c r="I528">
        <v>92</v>
      </c>
      <c r="J528">
        <v>92</v>
      </c>
      <c r="K528">
        <v>10.0217391304347</v>
      </c>
      <c r="L528">
        <v>19.870498463014201</v>
      </c>
      <c r="M528">
        <v>22.2789043817871</v>
      </c>
      <c r="N528">
        <v>125.121603958142</v>
      </c>
      <c r="O528">
        <v>0</v>
      </c>
      <c r="P528">
        <v>0</v>
      </c>
      <c r="Q528">
        <v>230.894736656661</v>
      </c>
      <c r="R528">
        <v>212.52230009479101</v>
      </c>
    </row>
    <row r="529" spans="1:18" x14ac:dyDescent="0.3">
      <c r="A529">
        <v>48</v>
      </c>
      <c r="B529" t="s">
        <v>12</v>
      </c>
      <c r="C529">
        <v>353.86830463772702</v>
      </c>
      <c r="D529">
        <v>13.7209302325581</v>
      </c>
      <c r="G529">
        <v>71</v>
      </c>
      <c r="H529" t="s">
        <v>27</v>
      </c>
      <c r="I529">
        <v>103</v>
      </c>
      <c r="J529">
        <v>103</v>
      </c>
      <c r="K529">
        <v>10.6407766990291</v>
      </c>
      <c r="L529">
        <v>20.065148453873299</v>
      </c>
      <c r="M529">
        <v>22.2789043817871</v>
      </c>
      <c r="N529">
        <v>139.746552743883</v>
      </c>
      <c r="O529">
        <v>0</v>
      </c>
      <c r="P529">
        <v>0</v>
      </c>
      <c r="Q529">
        <v>260.86989338474302</v>
      </c>
      <c r="R529">
        <v>249.74564004643801</v>
      </c>
    </row>
    <row r="530" spans="1:18" x14ac:dyDescent="0.3">
      <c r="A530">
        <v>48</v>
      </c>
      <c r="B530" t="s">
        <v>13</v>
      </c>
      <c r="C530">
        <v>354.72433446869701</v>
      </c>
      <c r="D530">
        <v>14</v>
      </c>
      <c r="G530">
        <v>71</v>
      </c>
      <c r="H530" t="s">
        <v>28</v>
      </c>
      <c r="I530">
        <v>89</v>
      </c>
      <c r="J530">
        <v>89</v>
      </c>
      <c r="K530">
        <v>9.3483146067415692</v>
      </c>
      <c r="L530">
        <v>18.201299625920601</v>
      </c>
      <c r="M530">
        <v>22.2789043817871</v>
      </c>
      <c r="N530">
        <v>118.10512103531499</v>
      </c>
      <c r="O530">
        <v>0</v>
      </c>
      <c r="P530">
        <v>0</v>
      </c>
      <c r="Q530">
        <v>219.83444231825499</v>
      </c>
      <c r="R530">
        <v>204.03598366288901</v>
      </c>
    </row>
    <row r="531" spans="1:18" x14ac:dyDescent="0.3">
      <c r="A531">
        <v>49</v>
      </c>
      <c r="B531" t="s">
        <v>3</v>
      </c>
      <c r="C531">
        <v>15.285539491258101</v>
      </c>
      <c r="D531">
        <v>13</v>
      </c>
      <c r="G531">
        <v>71</v>
      </c>
      <c r="H531" t="s">
        <v>29</v>
      </c>
      <c r="I531">
        <v>94</v>
      </c>
      <c r="J531">
        <v>94</v>
      </c>
      <c r="K531">
        <v>10.3829787234042</v>
      </c>
      <c r="L531">
        <v>17.0908167146744</v>
      </c>
      <c r="M531">
        <v>22.2789043817871</v>
      </c>
      <c r="N531">
        <v>122.149284243122</v>
      </c>
      <c r="O531">
        <v>0</v>
      </c>
      <c r="P531">
        <v>0</v>
      </c>
      <c r="Q531">
        <v>195.42769623347999</v>
      </c>
      <c r="R531">
        <v>186.52905534414</v>
      </c>
    </row>
    <row r="532" spans="1:18" x14ac:dyDescent="0.3">
      <c r="A532">
        <v>49</v>
      </c>
      <c r="B532" t="s">
        <v>4</v>
      </c>
      <c r="C532">
        <v>15.411879026542</v>
      </c>
      <c r="D532">
        <v>13</v>
      </c>
      <c r="G532">
        <v>71</v>
      </c>
      <c r="H532" t="s">
        <v>30</v>
      </c>
      <c r="I532">
        <v>81</v>
      </c>
      <c r="J532">
        <v>81</v>
      </c>
      <c r="K532">
        <v>9.1604938271604901</v>
      </c>
      <c r="L532">
        <v>15.975023436746699</v>
      </c>
      <c r="M532">
        <v>22.2789043817871</v>
      </c>
      <c r="N532">
        <v>109.251833537518</v>
      </c>
      <c r="O532">
        <v>0</v>
      </c>
      <c r="P532">
        <v>0</v>
      </c>
      <c r="Q532">
        <v>195.872454951007</v>
      </c>
      <c r="R532">
        <v>184.492910060588</v>
      </c>
    </row>
    <row r="533" spans="1:18" x14ac:dyDescent="0.3">
      <c r="A533">
        <v>49</v>
      </c>
      <c r="B533" t="s">
        <v>5</v>
      </c>
      <c r="C533">
        <v>19.880281633750201</v>
      </c>
      <c r="D533">
        <v>13</v>
      </c>
      <c r="G533">
        <v>71</v>
      </c>
      <c r="H533" t="s">
        <v>31</v>
      </c>
      <c r="I533">
        <v>82</v>
      </c>
      <c r="J533">
        <v>82</v>
      </c>
      <c r="K533">
        <v>10.024390243902401</v>
      </c>
      <c r="L533">
        <v>16.2790090811034</v>
      </c>
      <c r="M533">
        <v>22.2789043817871</v>
      </c>
      <c r="N533">
        <v>106.173788600474</v>
      </c>
      <c r="O533">
        <v>0</v>
      </c>
      <c r="P533">
        <v>0</v>
      </c>
      <c r="Q533">
        <v>205.676007296531</v>
      </c>
      <c r="R533">
        <v>192.85138408109799</v>
      </c>
    </row>
    <row r="534" spans="1:18" x14ac:dyDescent="0.3">
      <c r="A534">
        <v>49</v>
      </c>
      <c r="B534" t="s">
        <v>6</v>
      </c>
      <c r="C534">
        <v>65.005099260951695</v>
      </c>
      <c r="D534">
        <v>13</v>
      </c>
      <c r="G534">
        <v>71</v>
      </c>
      <c r="H534" t="s">
        <v>32</v>
      </c>
      <c r="I534">
        <v>94</v>
      </c>
      <c r="J534">
        <v>94</v>
      </c>
      <c r="K534">
        <v>10.3829787234042</v>
      </c>
      <c r="L534">
        <v>17.676588580257601</v>
      </c>
      <c r="M534">
        <v>22.2789043817871</v>
      </c>
      <c r="N534">
        <v>123.59504439009901</v>
      </c>
      <c r="O534">
        <v>0</v>
      </c>
      <c r="P534">
        <v>0</v>
      </c>
      <c r="Q534">
        <v>232.44119599999999</v>
      </c>
      <c r="R534">
        <v>222.05597144299901</v>
      </c>
    </row>
    <row r="535" spans="1:18" x14ac:dyDescent="0.3">
      <c r="A535">
        <v>49</v>
      </c>
      <c r="B535" t="s">
        <v>7</v>
      </c>
      <c r="C535">
        <v>65.962040636657605</v>
      </c>
      <c r="D535">
        <v>13</v>
      </c>
      <c r="G535">
        <v>71</v>
      </c>
      <c r="H535" t="s">
        <v>33</v>
      </c>
      <c r="I535">
        <v>82</v>
      </c>
      <c r="J535">
        <v>82</v>
      </c>
      <c r="K535">
        <v>9.1951219512195106</v>
      </c>
      <c r="L535">
        <v>16.113633967862601</v>
      </c>
      <c r="M535">
        <v>22.2789043817871</v>
      </c>
      <c r="N535">
        <v>110.638121905673</v>
      </c>
      <c r="O535">
        <v>0</v>
      </c>
      <c r="P535">
        <v>0</v>
      </c>
      <c r="Q535">
        <v>202.28849950922501</v>
      </c>
      <c r="R535">
        <v>188.67023556126199</v>
      </c>
    </row>
    <row r="536" spans="1:18" x14ac:dyDescent="0.3">
      <c r="A536">
        <v>49</v>
      </c>
      <c r="B536" t="s">
        <v>8</v>
      </c>
      <c r="C536">
        <v>78.850597404467095</v>
      </c>
      <c r="D536">
        <v>13</v>
      </c>
      <c r="G536">
        <v>71</v>
      </c>
      <c r="H536" t="s">
        <v>34</v>
      </c>
      <c r="I536">
        <v>86</v>
      </c>
      <c r="J536">
        <v>86</v>
      </c>
      <c r="K536">
        <v>9.4418604651162799</v>
      </c>
      <c r="L536">
        <v>16.574615074276199</v>
      </c>
      <c r="M536">
        <v>22.2789043817871</v>
      </c>
      <c r="N536">
        <v>123.234396016728</v>
      </c>
      <c r="O536">
        <v>0</v>
      </c>
      <c r="P536">
        <v>0</v>
      </c>
      <c r="Q536">
        <v>213.66699791689399</v>
      </c>
      <c r="R536">
        <v>203.68897972308301</v>
      </c>
    </row>
    <row r="537" spans="1:18" x14ac:dyDescent="0.3">
      <c r="A537">
        <v>49</v>
      </c>
      <c r="B537" t="s">
        <v>9</v>
      </c>
      <c r="C537">
        <v>81.3965287471745</v>
      </c>
      <c r="D537">
        <v>13</v>
      </c>
      <c r="G537">
        <v>71</v>
      </c>
      <c r="H537" t="s">
        <v>35</v>
      </c>
      <c r="I537">
        <v>96</v>
      </c>
      <c r="J537">
        <v>96</v>
      </c>
      <c r="K537">
        <v>10.15625</v>
      </c>
      <c r="L537">
        <v>19.300829832189599</v>
      </c>
      <c r="M537">
        <v>22.2789043817871</v>
      </c>
      <c r="N537">
        <v>132.85421925318599</v>
      </c>
      <c r="O537">
        <v>0</v>
      </c>
      <c r="P537">
        <v>0</v>
      </c>
      <c r="Q537">
        <v>243.18964910178599</v>
      </c>
      <c r="R537">
        <v>228.71559995101501</v>
      </c>
    </row>
    <row r="538" spans="1:18" x14ac:dyDescent="0.3">
      <c r="A538">
        <v>49</v>
      </c>
      <c r="B538" t="s">
        <v>10</v>
      </c>
      <c r="C538">
        <v>117.028158085288</v>
      </c>
      <c r="D538">
        <v>13</v>
      </c>
      <c r="G538">
        <v>71</v>
      </c>
      <c r="H538" t="s">
        <v>36</v>
      </c>
      <c r="I538">
        <v>86</v>
      </c>
      <c r="J538">
        <v>86</v>
      </c>
      <c r="K538">
        <v>9.4418604651162799</v>
      </c>
      <c r="L538">
        <v>16.809589717328802</v>
      </c>
      <c r="M538">
        <v>22.2789043817871</v>
      </c>
      <c r="N538">
        <v>122.440376250811</v>
      </c>
      <c r="O538">
        <v>0</v>
      </c>
      <c r="P538">
        <v>0</v>
      </c>
      <c r="Q538">
        <v>222.802721922182</v>
      </c>
      <c r="R538">
        <v>212.07685040595601</v>
      </c>
    </row>
    <row r="539" spans="1:18" x14ac:dyDescent="0.3">
      <c r="A539">
        <v>49</v>
      </c>
      <c r="B539" t="s">
        <v>11</v>
      </c>
      <c r="C539">
        <v>276.060192146156</v>
      </c>
      <c r="D539">
        <v>12.770588235294101</v>
      </c>
      <c r="G539">
        <v>72</v>
      </c>
      <c r="H539" t="s">
        <v>25</v>
      </c>
      <c r="I539">
        <v>82</v>
      </c>
      <c r="J539">
        <v>82</v>
      </c>
      <c r="K539">
        <v>8.8536585365853604</v>
      </c>
      <c r="L539">
        <v>17.8152994202682</v>
      </c>
      <c r="M539">
        <v>22.242177112854499</v>
      </c>
      <c r="N539">
        <v>102.227524595209</v>
      </c>
      <c r="O539">
        <v>0</v>
      </c>
      <c r="P539">
        <v>0</v>
      </c>
      <c r="Q539">
        <v>234.99252147478501</v>
      </c>
      <c r="R539">
        <v>216.72541524553199</v>
      </c>
    </row>
    <row r="540" spans="1:18" x14ac:dyDescent="0.3">
      <c r="A540">
        <v>49</v>
      </c>
      <c r="B540" t="s">
        <v>12</v>
      </c>
      <c r="C540">
        <v>353.58957948425501</v>
      </c>
      <c r="D540">
        <v>13.7767441860465</v>
      </c>
      <c r="G540">
        <v>72</v>
      </c>
      <c r="H540" t="s">
        <v>26</v>
      </c>
      <c r="I540">
        <v>91</v>
      </c>
      <c r="J540">
        <v>91</v>
      </c>
      <c r="K540">
        <v>10.219780219780199</v>
      </c>
      <c r="L540">
        <v>17.3538365690505</v>
      </c>
      <c r="M540">
        <v>22.242177112854499</v>
      </c>
      <c r="N540">
        <v>111.521544343215</v>
      </c>
      <c r="O540">
        <v>0</v>
      </c>
      <c r="P540">
        <v>0</v>
      </c>
      <c r="Q540">
        <v>232.93050406275299</v>
      </c>
      <c r="R540">
        <v>223.26985625759301</v>
      </c>
    </row>
    <row r="541" spans="1:18" x14ac:dyDescent="0.3">
      <c r="A541">
        <v>49</v>
      </c>
      <c r="B541" t="s">
        <v>13</v>
      </c>
      <c r="C541">
        <v>353.02386281085302</v>
      </c>
      <c r="D541">
        <v>14</v>
      </c>
      <c r="G541">
        <v>72</v>
      </c>
      <c r="H541" t="s">
        <v>27</v>
      </c>
      <c r="I541">
        <v>95</v>
      </c>
      <c r="J541">
        <v>95</v>
      </c>
      <c r="K541">
        <v>10.484210526315699</v>
      </c>
      <c r="L541">
        <v>18.330213523985101</v>
      </c>
      <c r="M541">
        <v>22.242177112854499</v>
      </c>
      <c r="N541">
        <v>114.82458283118901</v>
      </c>
      <c r="O541">
        <v>0</v>
      </c>
      <c r="P541">
        <v>0</v>
      </c>
      <c r="Q541">
        <v>265.14506761505299</v>
      </c>
      <c r="R541">
        <v>253.090487597124</v>
      </c>
    </row>
    <row r="542" spans="1:18" x14ac:dyDescent="0.3">
      <c r="A542">
        <v>50</v>
      </c>
      <c r="B542" t="s">
        <v>3</v>
      </c>
      <c r="C542">
        <v>15.010360626164401</v>
      </c>
      <c r="D542">
        <v>13</v>
      </c>
      <c r="G542">
        <v>72</v>
      </c>
      <c r="H542" t="s">
        <v>28</v>
      </c>
      <c r="I542">
        <v>97</v>
      </c>
      <c r="J542">
        <v>93</v>
      </c>
      <c r="K542">
        <v>9.8969072164948404</v>
      </c>
      <c r="L542">
        <v>19.0064243741589</v>
      </c>
      <c r="M542">
        <v>22.242177112854499</v>
      </c>
      <c r="N542">
        <v>127.06717713278501</v>
      </c>
      <c r="O542">
        <v>0</v>
      </c>
      <c r="P542">
        <v>0</v>
      </c>
      <c r="Q542">
        <v>246.968358447866</v>
      </c>
      <c r="R542">
        <v>231.19417620864601</v>
      </c>
    </row>
    <row r="543" spans="1:18" x14ac:dyDescent="0.3">
      <c r="A543">
        <v>50</v>
      </c>
      <c r="B543" t="s">
        <v>4</v>
      </c>
      <c r="C543">
        <v>15.245894397769799</v>
      </c>
      <c r="D543">
        <v>13</v>
      </c>
      <c r="G543">
        <v>72</v>
      </c>
      <c r="H543" t="s">
        <v>29</v>
      </c>
      <c r="I543">
        <v>117</v>
      </c>
      <c r="J543">
        <v>117</v>
      </c>
      <c r="K543">
        <v>12.692307692307599</v>
      </c>
      <c r="L543">
        <v>21.515707587577602</v>
      </c>
      <c r="M543">
        <v>22.242177112854499</v>
      </c>
      <c r="N543">
        <v>145.26458470501501</v>
      </c>
      <c r="O543">
        <v>0</v>
      </c>
      <c r="P543">
        <v>0</v>
      </c>
      <c r="Q543">
        <v>277.73279256731797</v>
      </c>
      <c r="R543">
        <v>267.88332662273399</v>
      </c>
    </row>
    <row r="544" spans="1:18" x14ac:dyDescent="0.3">
      <c r="A544">
        <v>50</v>
      </c>
      <c r="B544" t="s">
        <v>5</v>
      </c>
      <c r="C544">
        <v>19.3274969308073</v>
      </c>
      <c r="D544">
        <v>13</v>
      </c>
      <c r="G544">
        <v>72</v>
      </c>
      <c r="H544" t="s">
        <v>30</v>
      </c>
      <c r="I544">
        <v>105</v>
      </c>
      <c r="J544">
        <v>105</v>
      </c>
      <c r="K544">
        <v>12.0571428571428</v>
      </c>
      <c r="L544">
        <v>20.044516856491501</v>
      </c>
      <c r="M544">
        <v>22.242177112854499</v>
      </c>
      <c r="N544">
        <v>133.95234786683301</v>
      </c>
      <c r="O544">
        <v>0</v>
      </c>
      <c r="P544">
        <v>0</v>
      </c>
      <c r="Q544">
        <v>263.95479908146098</v>
      </c>
      <c r="R544">
        <v>250.77455724892701</v>
      </c>
    </row>
    <row r="545" spans="1:18" x14ac:dyDescent="0.3">
      <c r="A545">
        <v>50</v>
      </c>
      <c r="B545" t="s">
        <v>6</v>
      </c>
      <c r="C545">
        <v>65.300411176909705</v>
      </c>
      <c r="D545">
        <v>13</v>
      </c>
      <c r="G545">
        <v>72</v>
      </c>
      <c r="H545" t="s">
        <v>31</v>
      </c>
      <c r="I545">
        <v>103</v>
      </c>
      <c r="J545">
        <v>97</v>
      </c>
      <c r="K545">
        <v>9.3883495145630995</v>
      </c>
      <c r="L545">
        <v>19.675432762359801</v>
      </c>
      <c r="M545">
        <v>22.242177112854499</v>
      </c>
      <c r="N545">
        <v>141.13058515951701</v>
      </c>
      <c r="O545">
        <v>0</v>
      </c>
      <c r="P545">
        <v>0</v>
      </c>
      <c r="Q545">
        <v>269.688517839366</v>
      </c>
      <c r="R545">
        <v>254.439322178954</v>
      </c>
    </row>
    <row r="546" spans="1:18" x14ac:dyDescent="0.3">
      <c r="A546">
        <v>50</v>
      </c>
      <c r="B546" t="s">
        <v>7</v>
      </c>
      <c r="C546">
        <v>65.753792408306296</v>
      </c>
      <c r="D546">
        <v>13</v>
      </c>
      <c r="G546">
        <v>72</v>
      </c>
      <c r="H546" t="s">
        <v>32</v>
      </c>
      <c r="I546">
        <v>118</v>
      </c>
      <c r="J546">
        <v>118</v>
      </c>
      <c r="K546">
        <v>12.711864406779601</v>
      </c>
      <c r="L546">
        <v>21.891587738491999</v>
      </c>
      <c r="M546">
        <v>22.242177112854499</v>
      </c>
      <c r="N546">
        <v>147.151800557543</v>
      </c>
      <c r="O546">
        <v>0</v>
      </c>
      <c r="P546">
        <v>0</v>
      </c>
      <c r="Q546">
        <v>295.08538802894998</v>
      </c>
      <c r="R546">
        <v>283.68463103084599</v>
      </c>
    </row>
    <row r="547" spans="1:18" x14ac:dyDescent="0.3">
      <c r="A547">
        <v>50</v>
      </c>
      <c r="B547" t="s">
        <v>8</v>
      </c>
      <c r="C547">
        <v>78.690922639825601</v>
      </c>
      <c r="D547">
        <v>13</v>
      </c>
      <c r="G547">
        <v>73</v>
      </c>
      <c r="H547" t="s">
        <v>25</v>
      </c>
      <c r="I547">
        <v>100</v>
      </c>
      <c r="J547">
        <v>100</v>
      </c>
      <c r="K547">
        <v>10.45</v>
      </c>
      <c r="L547">
        <v>19.248287556425201</v>
      </c>
      <c r="M547">
        <v>22.338923418057099</v>
      </c>
      <c r="N547">
        <v>136.06733480861701</v>
      </c>
      <c r="O547">
        <v>0</v>
      </c>
      <c r="P547">
        <v>0</v>
      </c>
      <c r="Q547">
        <v>236.76117591344899</v>
      </c>
      <c r="R547">
        <v>222.37715932989099</v>
      </c>
    </row>
    <row r="548" spans="1:18" x14ac:dyDescent="0.3">
      <c r="A548">
        <v>50</v>
      </c>
      <c r="B548" t="s">
        <v>9</v>
      </c>
      <c r="C548">
        <v>81.195731231939703</v>
      </c>
      <c r="D548">
        <v>13</v>
      </c>
      <c r="G548">
        <v>73</v>
      </c>
      <c r="H548" t="s">
        <v>26</v>
      </c>
      <c r="I548">
        <v>96</v>
      </c>
      <c r="J548">
        <v>96</v>
      </c>
      <c r="K548">
        <v>9.96875</v>
      </c>
      <c r="L548">
        <v>20.177730211602999</v>
      </c>
      <c r="M548">
        <v>22.338923418057099</v>
      </c>
      <c r="N548">
        <v>131.25476699670301</v>
      </c>
      <c r="O548">
        <v>0</v>
      </c>
      <c r="P548">
        <v>0</v>
      </c>
      <c r="Q548">
        <v>235.860530747246</v>
      </c>
      <c r="R548">
        <v>218.220545804697</v>
      </c>
    </row>
    <row r="549" spans="1:18" x14ac:dyDescent="0.3">
      <c r="A549">
        <v>50</v>
      </c>
      <c r="B549" t="s">
        <v>10</v>
      </c>
      <c r="C549">
        <v>118.26720505716</v>
      </c>
      <c r="D549">
        <v>13</v>
      </c>
      <c r="G549">
        <v>73</v>
      </c>
      <c r="H549" t="s">
        <v>27</v>
      </c>
      <c r="I549">
        <v>103</v>
      </c>
      <c r="J549">
        <v>103</v>
      </c>
      <c r="K549">
        <v>10.6407766990291</v>
      </c>
      <c r="L549">
        <v>20.031212544965701</v>
      </c>
      <c r="M549">
        <v>22.338923418057099</v>
      </c>
      <c r="N549">
        <v>140.544531915948</v>
      </c>
      <c r="O549">
        <v>0</v>
      </c>
      <c r="P549">
        <v>0</v>
      </c>
      <c r="Q549">
        <v>263.35278499835402</v>
      </c>
      <c r="R549">
        <v>248.03046172832401</v>
      </c>
    </row>
    <row r="550" spans="1:18" x14ac:dyDescent="0.3">
      <c r="A550">
        <v>50</v>
      </c>
      <c r="B550" t="s">
        <v>11</v>
      </c>
      <c r="C550">
        <v>273.27509430241599</v>
      </c>
      <c r="D550">
        <v>12.549132947976799</v>
      </c>
      <c r="G550">
        <v>73</v>
      </c>
      <c r="H550" t="s">
        <v>28</v>
      </c>
      <c r="I550">
        <v>89</v>
      </c>
      <c r="J550">
        <v>89</v>
      </c>
      <c r="K550">
        <v>9.3483146067415692</v>
      </c>
      <c r="L550">
        <v>18.2227106446745</v>
      </c>
      <c r="M550">
        <v>22.338923418057099</v>
      </c>
      <c r="N550">
        <v>118.08851290021499</v>
      </c>
      <c r="O550">
        <v>0</v>
      </c>
      <c r="P550">
        <v>0</v>
      </c>
      <c r="Q550">
        <v>219.83444231825499</v>
      </c>
      <c r="R550">
        <v>204.03598366288901</v>
      </c>
    </row>
    <row r="551" spans="1:18" x14ac:dyDescent="0.3">
      <c r="A551">
        <v>50</v>
      </c>
      <c r="B551" t="s">
        <v>12</v>
      </c>
      <c r="C551">
        <v>353.160723747232</v>
      </c>
      <c r="D551">
        <v>13.706976744186001</v>
      </c>
      <c r="G551">
        <v>73</v>
      </c>
      <c r="H551" t="s">
        <v>29</v>
      </c>
      <c r="I551">
        <v>94</v>
      </c>
      <c r="J551">
        <v>94</v>
      </c>
      <c r="K551">
        <v>10.3829787234042</v>
      </c>
      <c r="L551">
        <v>17.216497544322198</v>
      </c>
      <c r="M551">
        <v>22.338923418057099</v>
      </c>
      <c r="N551">
        <v>123.594017048857</v>
      </c>
      <c r="O551">
        <v>0</v>
      </c>
      <c r="P551">
        <v>0</v>
      </c>
      <c r="Q551">
        <v>195.42769623347999</v>
      </c>
      <c r="R551">
        <v>186.52905534414</v>
      </c>
    </row>
    <row r="552" spans="1:18" x14ac:dyDescent="0.3">
      <c r="A552">
        <v>50</v>
      </c>
      <c r="B552" t="s">
        <v>13</v>
      </c>
      <c r="C552">
        <v>352.843970653513</v>
      </c>
      <c r="D552">
        <v>14</v>
      </c>
      <c r="G552">
        <v>73</v>
      </c>
      <c r="H552" t="s">
        <v>30</v>
      </c>
      <c r="I552">
        <v>80</v>
      </c>
      <c r="J552">
        <v>80</v>
      </c>
      <c r="K552">
        <v>9.0875000000000004</v>
      </c>
      <c r="L552">
        <v>16.0016643396022</v>
      </c>
      <c r="M552">
        <v>22.338923418057099</v>
      </c>
      <c r="N552">
        <v>108.30783115198</v>
      </c>
      <c r="O552">
        <v>0</v>
      </c>
      <c r="P552">
        <v>0</v>
      </c>
      <c r="Q552">
        <v>193.37872730173001</v>
      </c>
      <c r="R552">
        <v>182.08330074866799</v>
      </c>
    </row>
    <row r="553" spans="1:18" x14ac:dyDescent="0.3">
      <c r="A553">
        <v>51</v>
      </c>
      <c r="B553" t="s">
        <v>3</v>
      </c>
      <c r="C553">
        <v>15.4656680352265</v>
      </c>
      <c r="D553">
        <v>13</v>
      </c>
      <c r="G553">
        <v>73</v>
      </c>
      <c r="H553" t="s">
        <v>31</v>
      </c>
      <c r="I553">
        <v>83</v>
      </c>
      <c r="J553">
        <v>83</v>
      </c>
      <c r="K553">
        <v>10.084337349397501</v>
      </c>
      <c r="L553">
        <v>16.260276624735098</v>
      </c>
      <c r="M553">
        <v>22.338923418057099</v>
      </c>
      <c r="N553">
        <v>105.858705960281</v>
      </c>
      <c r="O553">
        <v>0</v>
      </c>
      <c r="P553">
        <v>0</v>
      </c>
      <c r="Q553">
        <v>204.55884159998001</v>
      </c>
      <c r="R553">
        <v>191.616215892009</v>
      </c>
    </row>
    <row r="554" spans="1:18" x14ac:dyDescent="0.3">
      <c r="A554">
        <v>51</v>
      </c>
      <c r="B554" t="s">
        <v>4</v>
      </c>
      <c r="C554">
        <v>15.4863349636801</v>
      </c>
      <c r="D554">
        <v>13</v>
      </c>
      <c r="G554">
        <v>73</v>
      </c>
      <c r="H554" t="s">
        <v>32</v>
      </c>
      <c r="I554">
        <v>93</v>
      </c>
      <c r="J554">
        <v>93</v>
      </c>
      <c r="K554">
        <v>10.3333333333333</v>
      </c>
      <c r="L554">
        <v>17.344877865411501</v>
      </c>
      <c r="M554">
        <v>22.338923418057099</v>
      </c>
      <c r="N554">
        <v>122.39590298410999</v>
      </c>
      <c r="O554">
        <v>0</v>
      </c>
      <c r="P554">
        <v>0</v>
      </c>
      <c r="Q554">
        <v>231.75764799999999</v>
      </c>
      <c r="R554">
        <v>221.337855093999</v>
      </c>
    </row>
    <row r="555" spans="1:18" x14ac:dyDescent="0.3">
      <c r="A555">
        <v>51</v>
      </c>
      <c r="B555" t="s">
        <v>5</v>
      </c>
      <c r="C555">
        <v>19.741621816763399</v>
      </c>
      <c r="D555">
        <v>13</v>
      </c>
      <c r="G555">
        <v>73</v>
      </c>
      <c r="H555" t="s">
        <v>33</v>
      </c>
      <c r="I555">
        <v>82</v>
      </c>
      <c r="J555">
        <v>82</v>
      </c>
      <c r="K555">
        <v>9.1951219512195106</v>
      </c>
      <c r="L555">
        <v>16.211686534806301</v>
      </c>
      <c r="M555">
        <v>22.338923418057099</v>
      </c>
      <c r="N555">
        <v>110.97591970995001</v>
      </c>
      <c r="O555">
        <v>0</v>
      </c>
      <c r="P555">
        <v>0</v>
      </c>
      <c r="Q555">
        <v>202.21344281720599</v>
      </c>
      <c r="R555">
        <v>188.65508623101201</v>
      </c>
    </row>
    <row r="556" spans="1:18" x14ac:dyDescent="0.3">
      <c r="A556">
        <v>51</v>
      </c>
      <c r="B556" t="s">
        <v>6</v>
      </c>
      <c r="C556">
        <v>64.455182372780897</v>
      </c>
      <c r="D556">
        <v>13</v>
      </c>
      <c r="G556">
        <v>73</v>
      </c>
      <c r="H556" t="s">
        <v>34</v>
      </c>
      <c r="I556">
        <v>96</v>
      </c>
      <c r="J556">
        <v>96</v>
      </c>
      <c r="K556">
        <v>10.3229166666666</v>
      </c>
      <c r="L556">
        <v>18.7125099393926</v>
      </c>
      <c r="M556">
        <v>22.338923418057099</v>
      </c>
      <c r="N556">
        <v>134.00501962190299</v>
      </c>
      <c r="O556">
        <v>0</v>
      </c>
      <c r="P556">
        <v>0</v>
      </c>
      <c r="Q556">
        <v>225.74346016743499</v>
      </c>
      <c r="R556">
        <v>209.771693982561</v>
      </c>
    </row>
    <row r="557" spans="1:18" x14ac:dyDescent="0.3">
      <c r="A557">
        <v>51</v>
      </c>
      <c r="B557" t="s">
        <v>7</v>
      </c>
      <c r="C557">
        <v>66.372922980624097</v>
      </c>
      <c r="D557">
        <v>13</v>
      </c>
      <c r="G557">
        <v>73</v>
      </c>
      <c r="H557" t="s">
        <v>35</v>
      </c>
      <c r="I557">
        <v>86</v>
      </c>
      <c r="J557">
        <v>86</v>
      </c>
      <c r="K557">
        <v>9.4418604651162799</v>
      </c>
      <c r="L557">
        <v>17.024186273712498</v>
      </c>
      <c r="M557">
        <v>22.338923418057099</v>
      </c>
      <c r="N557">
        <v>122.985191216739</v>
      </c>
      <c r="O557">
        <v>0</v>
      </c>
      <c r="P557">
        <v>0</v>
      </c>
      <c r="Q557">
        <v>235.47564464214301</v>
      </c>
      <c r="R557">
        <v>225.885145252981</v>
      </c>
    </row>
    <row r="558" spans="1:18" x14ac:dyDescent="0.3">
      <c r="A558">
        <v>51</v>
      </c>
      <c r="B558" t="s">
        <v>8</v>
      </c>
      <c r="C558">
        <v>78.397819114502596</v>
      </c>
      <c r="D558">
        <v>13</v>
      </c>
      <c r="G558">
        <v>73</v>
      </c>
      <c r="H558" t="s">
        <v>36</v>
      </c>
      <c r="I558">
        <v>84</v>
      </c>
      <c r="J558">
        <v>84</v>
      </c>
      <c r="K558">
        <v>9.3095238095238102</v>
      </c>
      <c r="L558">
        <v>16.559316041066801</v>
      </c>
      <c r="M558">
        <v>22.338923418057099</v>
      </c>
      <c r="N558">
        <v>120.291211276461</v>
      </c>
      <c r="O558">
        <v>0</v>
      </c>
      <c r="P558">
        <v>0</v>
      </c>
      <c r="Q558">
        <v>221.80848148279699</v>
      </c>
      <c r="R558">
        <v>211.572211782968</v>
      </c>
    </row>
    <row r="559" spans="1:18" x14ac:dyDescent="0.3">
      <c r="A559">
        <v>51</v>
      </c>
      <c r="B559" t="s">
        <v>9</v>
      </c>
      <c r="C559">
        <v>80.940372995382504</v>
      </c>
      <c r="D559">
        <v>13</v>
      </c>
      <c r="G559">
        <v>74</v>
      </c>
      <c r="H559" t="s">
        <v>25</v>
      </c>
      <c r="I559">
        <v>83</v>
      </c>
      <c r="J559">
        <v>83</v>
      </c>
      <c r="K559">
        <v>7.8313253012048101</v>
      </c>
      <c r="L559">
        <v>19.1701530893667</v>
      </c>
      <c r="M559">
        <v>22.081656153887799</v>
      </c>
      <c r="N559">
        <v>114.96736881276701</v>
      </c>
      <c r="O559">
        <v>0</v>
      </c>
      <c r="P559">
        <v>0</v>
      </c>
      <c r="Q559">
        <v>220.03739142510699</v>
      </c>
      <c r="R559">
        <v>198.114589082664</v>
      </c>
    </row>
    <row r="560" spans="1:18" x14ac:dyDescent="0.3">
      <c r="A560">
        <v>51</v>
      </c>
      <c r="B560" t="s">
        <v>10</v>
      </c>
      <c r="C560">
        <v>117.96540082028901</v>
      </c>
      <c r="D560">
        <v>13</v>
      </c>
      <c r="G560">
        <v>74</v>
      </c>
      <c r="H560" t="s">
        <v>26</v>
      </c>
      <c r="I560">
        <v>87</v>
      </c>
      <c r="J560">
        <v>87</v>
      </c>
      <c r="K560">
        <v>10.6666666666666</v>
      </c>
      <c r="L560">
        <v>18.1214093355381</v>
      </c>
      <c r="M560">
        <v>22.081656153887799</v>
      </c>
      <c r="N560">
        <v>114.92742097865199</v>
      </c>
      <c r="O560">
        <v>0</v>
      </c>
      <c r="P560">
        <v>0</v>
      </c>
      <c r="Q560">
        <v>223.13971043227701</v>
      </c>
      <c r="R560">
        <v>207.38247385405799</v>
      </c>
    </row>
    <row r="561" spans="1:18" x14ac:dyDescent="0.3">
      <c r="A561">
        <v>51</v>
      </c>
      <c r="B561" t="s">
        <v>11</v>
      </c>
      <c r="C561">
        <v>273.814678816916</v>
      </c>
      <c r="D561">
        <v>12.770588235294101</v>
      </c>
      <c r="G561">
        <v>74</v>
      </c>
      <c r="H561" t="s">
        <v>27</v>
      </c>
      <c r="I561">
        <v>104</v>
      </c>
      <c r="J561">
        <v>104</v>
      </c>
      <c r="K561">
        <v>10.5288461538461</v>
      </c>
      <c r="L561">
        <v>20.087205404470399</v>
      </c>
      <c r="M561">
        <v>22.081656153887799</v>
      </c>
      <c r="N561">
        <v>142.375033332279</v>
      </c>
      <c r="O561">
        <v>0</v>
      </c>
      <c r="P561">
        <v>0</v>
      </c>
      <c r="Q561">
        <v>259.69818663520499</v>
      </c>
      <c r="R561">
        <v>245.171551411954</v>
      </c>
    </row>
    <row r="562" spans="1:18" x14ac:dyDescent="0.3">
      <c r="A562">
        <v>51</v>
      </c>
      <c r="B562" t="s">
        <v>12</v>
      </c>
      <c r="C562">
        <v>352.44078587249498</v>
      </c>
      <c r="D562">
        <v>13.716279069767401</v>
      </c>
      <c r="G562">
        <v>74</v>
      </c>
      <c r="H562" t="s">
        <v>28</v>
      </c>
      <c r="I562">
        <v>93</v>
      </c>
      <c r="J562">
        <v>93</v>
      </c>
      <c r="K562">
        <v>10.3333333333333</v>
      </c>
      <c r="L562">
        <v>17.089008528547701</v>
      </c>
      <c r="M562">
        <v>22.081656153887799</v>
      </c>
      <c r="N562">
        <v>121.48945153469199</v>
      </c>
      <c r="O562">
        <v>0</v>
      </c>
      <c r="P562">
        <v>0</v>
      </c>
      <c r="Q562">
        <v>203.17892541881</v>
      </c>
      <c r="R562">
        <v>193.50754730152599</v>
      </c>
    </row>
    <row r="563" spans="1:18" x14ac:dyDescent="0.3">
      <c r="A563">
        <v>51</v>
      </c>
      <c r="B563" t="s">
        <v>13</v>
      </c>
      <c r="C563">
        <v>351.55708253645599</v>
      </c>
      <c r="D563">
        <v>14</v>
      </c>
      <c r="G563">
        <v>74</v>
      </c>
      <c r="H563" t="s">
        <v>29</v>
      </c>
      <c r="I563">
        <v>96</v>
      </c>
      <c r="J563">
        <v>96</v>
      </c>
      <c r="K563">
        <v>10.1979166666666</v>
      </c>
      <c r="L563">
        <v>18.980667999294699</v>
      </c>
      <c r="M563">
        <v>22.081656153887799</v>
      </c>
      <c r="N563">
        <v>125.074554287319</v>
      </c>
      <c r="O563">
        <v>0</v>
      </c>
      <c r="P563">
        <v>0</v>
      </c>
      <c r="Q563">
        <v>227.294132838606</v>
      </c>
      <c r="R563">
        <v>214.79471885936101</v>
      </c>
    </row>
    <row r="564" spans="1:18" x14ac:dyDescent="0.3">
      <c r="A564">
        <v>52</v>
      </c>
      <c r="B564" t="s">
        <v>3</v>
      </c>
      <c r="C564">
        <v>15.4706595172697</v>
      </c>
      <c r="D564">
        <v>13</v>
      </c>
      <c r="G564">
        <v>74</v>
      </c>
      <c r="H564" t="s">
        <v>30</v>
      </c>
      <c r="I564">
        <v>97</v>
      </c>
      <c r="J564">
        <v>97</v>
      </c>
      <c r="K564">
        <v>10.3711340206185</v>
      </c>
      <c r="L564">
        <v>18.9151882205121</v>
      </c>
      <c r="M564">
        <v>22.081656153887799</v>
      </c>
      <c r="N564">
        <v>133.947865602137</v>
      </c>
      <c r="O564">
        <v>0</v>
      </c>
      <c r="P564">
        <v>0</v>
      </c>
      <c r="Q564">
        <v>228.52645192918499</v>
      </c>
      <c r="R564">
        <v>214.35078874165001</v>
      </c>
    </row>
    <row r="565" spans="1:18" x14ac:dyDescent="0.3">
      <c r="A565">
        <v>52</v>
      </c>
      <c r="B565" t="s">
        <v>4</v>
      </c>
      <c r="C565">
        <v>15.804503102883499</v>
      </c>
      <c r="D565">
        <v>13</v>
      </c>
      <c r="G565">
        <v>74</v>
      </c>
      <c r="H565" t="s">
        <v>31</v>
      </c>
      <c r="I565">
        <v>78</v>
      </c>
      <c r="J565">
        <v>78</v>
      </c>
      <c r="K565">
        <v>8.9743589743589691</v>
      </c>
      <c r="L565">
        <v>15.500214934443299</v>
      </c>
      <c r="M565">
        <v>22.081656153887799</v>
      </c>
      <c r="N565">
        <v>105.72869560798701</v>
      </c>
      <c r="O565">
        <v>0</v>
      </c>
      <c r="P565">
        <v>0</v>
      </c>
      <c r="Q565">
        <v>193.939177999999</v>
      </c>
      <c r="R565">
        <v>179.551018048</v>
      </c>
    </row>
    <row r="566" spans="1:18" x14ac:dyDescent="0.3">
      <c r="A566">
        <v>52</v>
      </c>
      <c r="B566" t="s">
        <v>5</v>
      </c>
      <c r="C566">
        <v>20.037752713409699</v>
      </c>
      <c r="D566">
        <v>13</v>
      </c>
      <c r="G566">
        <v>74</v>
      </c>
      <c r="H566" t="s">
        <v>32</v>
      </c>
      <c r="I566">
        <v>94</v>
      </c>
      <c r="J566">
        <v>94</v>
      </c>
      <c r="K566">
        <v>10.3829787234042</v>
      </c>
      <c r="L566">
        <v>17.5493435976048</v>
      </c>
      <c r="M566">
        <v>22.081656153887799</v>
      </c>
      <c r="N566">
        <v>122.10253222111</v>
      </c>
      <c r="O566">
        <v>0</v>
      </c>
      <c r="P566">
        <v>0</v>
      </c>
      <c r="Q566">
        <v>235.16675599999999</v>
      </c>
      <c r="R566">
        <v>224.91565661299899</v>
      </c>
    </row>
    <row r="567" spans="1:18" x14ac:dyDescent="0.3">
      <c r="A567">
        <v>52</v>
      </c>
      <c r="B567" t="s">
        <v>6</v>
      </c>
      <c r="C567">
        <v>64.690023166744297</v>
      </c>
      <c r="D567">
        <v>13</v>
      </c>
      <c r="G567">
        <v>74</v>
      </c>
      <c r="H567" t="s">
        <v>33</v>
      </c>
      <c r="I567">
        <v>81</v>
      </c>
      <c r="J567">
        <v>81</v>
      </c>
      <c r="K567">
        <v>9.1234567901234502</v>
      </c>
      <c r="L567">
        <v>16.084029779570301</v>
      </c>
      <c r="M567">
        <v>22.081656153887799</v>
      </c>
      <c r="N567">
        <v>109.164155830689</v>
      </c>
      <c r="O567">
        <v>0</v>
      </c>
      <c r="P567">
        <v>0</v>
      </c>
      <c r="Q567">
        <v>198.36966412750601</v>
      </c>
      <c r="R567">
        <v>184.767727256462</v>
      </c>
    </row>
    <row r="568" spans="1:18" x14ac:dyDescent="0.3">
      <c r="A568">
        <v>52</v>
      </c>
      <c r="B568" t="s">
        <v>7</v>
      </c>
      <c r="C568">
        <v>65.839133215537601</v>
      </c>
      <c r="D568">
        <v>13</v>
      </c>
      <c r="G568">
        <v>74</v>
      </c>
      <c r="H568" t="s">
        <v>34</v>
      </c>
      <c r="I568">
        <v>86</v>
      </c>
      <c r="J568">
        <v>86</v>
      </c>
      <c r="K568">
        <v>9.4418604651162799</v>
      </c>
      <c r="L568">
        <v>16.7686359644314</v>
      </c>
      <c r="M568">
        <v>22.081656153887799</v>
      </c>
      <c r="N568">
        <v>121.599332987132</v>
      </c>
      <c r="O568">
        <v>0</v>
      </c>
      <c r="P568">
        <v>0</v>
      </c>
      <c r="Q568">
        <v>213.243359107282</v>
      </c>
      <c r="R568">
        <v>203.26746920063701</v>
      </c>
    </row>
    <row r="569" spans="1:18" x14ac:dyDescent="0.3">
      <c r="A569">
        <v>52</v>
      </c>
      <c r="B569" t="s">
        <v>8</v>
      </c>
      <c r="C569">
        <v>78.097780581463496</v>
      </c>
      <c r="D569">
        <v>8.4324324324324298</v>
      </c>
      <c r="G569">
        <v>74</v>
      </c>
      <c r="H569" t="s">
        <v>35</v>
      </c>
      <c r="I569">
        <v>93</v>
      </c>
      <c r="J569">
        <v>93</v>
      </c>
      <c r="K569">
        <v>10.2365591397849</v>
      </c>
      <c r="L569">
        <v>17.3061767678198</v>
      </c>
      <c r="M569">
        <v>22.081656153887799</v>
      </c>
      <c r="N569">
        <v>122.69147662519801</v>
      </c>
      <c r="O569">
        <v>0</v>
      </c>
      <c r="P569">
        <v>0</v>
      </c>
      <c r="Q569">
        <v>223.749225708279</v>
      </c>
      <c r="R569">
        <v>214.40384180720301</v>
      </c>
    </row>
    <row r="570" spans="1:18" x14ac:dyDescent="0.3">
      <c r="A570">
        <v>52</v>
      </c>
      <c r="B570" t="s">
        <v>9</v>
      </c>
      <c r="C570">
        <v>81.131550471722406</v>
      </c>
      <c r="D570">
        <v>13.972972972972901</v>
      </c>
      <c r="G570">
        <v>74</v>
      </c>
      <c r="H570" t="s">
        <v>36</v>
      </c>
      <c r="I570">
        <v>86</v>
      </c>
      <c r="J570">
        <v>86</v>
      </c>
      <c r="K570">
        <v>9.4418604651162799</v>
      </c>
      <c r="L570">
        <v>16.708883033059099</v>
      </c>
      <c r="M570">
        <v>22.081656153887799</v>
      </c>
      <c r="N570">
        <v>123.32141833662899</v>
      </c>
      <c r="O570">
        <v>0</v>
      </c>
      <c r="P570">
        <v>0</v>
      </c>
      <c r="Q570">
        <v>215.35919672597399</v>
      </c>
      <c r="R570">
        <v>204.70427955621599</v>
      </c>
    </row>
    <row r="571" spans="1:18" x14ac:dyDescent="0.3">
      <c r="A571">
        <v>52</v>
      </c>
      <c r="B571" t="s">
        <v>10</v>
      </c>
      <c r="C571">
        <v>117.54570244998099</v>
      </c>
      <c r="D571">
        <v>14</v>
      </c>
      <c r="G571">
        <v>75</v>
      </c>
      <c r="H571" t="s">
        <v>25</v>
      </c>
      <c r="I571">
        <v>99</v>
      </c>
      <c r="J571">
        <v>95</v>
      </c>
      <c r="K571">
        <v>9.1010101010101003</v>
      </c>
      <c r="L571">
        <v>18.9335934152836</v>
      </c>
      <c r="M571">
        <v>22.263093745665302</v>
      </c>
      <c r="N571">
        <v>136.99436304957399</v>
      </c>
      <c r="O571">
        <v>0</v>
      </c>
      <c r="P571">
        <v>0</v>
      </c>
      <c r="Q571">
        <v>207.80552238475599</v>
      </c>
      <c r="R571">
        <v>194.55936123142101</v>
      </c>
    </row>
    <row r="572" spans="1:18" x14ac:dyDescent="0.3">
      <c r="A572">
        <v>52</v>
      </c>
      <c r="B572" t="s">
        <v>11</v>
      </c>
      <c r="C572">
        <v>274.33815736551497</v>
      </c>
      <c r="D572">
        <v>0</v>
      </c>
      <c r="G572">
        <v>75</v>
      </c>
      <c r="H572" t="s">
        <v>26</v>
      </c>
      <c r="I572">
        <v>95</v>
      </c>
      <c r="J572">
        <v>95</v>
      </c>
      <c r="K572">
        <v>10.084210526315699</v>
      </c>
      <c r="L572">
        <v>20.324479641855302</v>
      </c>
      <c r="M572">
        <v>22.263093745665302</v>
      </c>
      <c r="N572">
        <v>128.65183373008901</v>
      </c>
      <c r="O572">
        <v>0</v>
      </c>
      <c r="P572">
        <v>0</v>
      </c>
      <c r="Q572">
        <v>244.160013182314</v>
      </c>
      <c r="R572">
        <v>225.277728013596</v>
      </c>
    </row>
    <row r="573" spans="1:18" x14ac:dyDescent="0.3">
      <c r="A573">
        <v>52</v>
      </c>
      <c r="B573" t="s">
        <v>12</v>
      </c>
      <c r="C573">
        <v>353.61314215736002</v>
      </c>
      <c r="D573">
        <v>0</v>
      </c>
      <c r="G573">
        <v>75</v>
      </c>
      <c r="H573" t="s">
        <v>27</v>
      </c>
      <c r="I573">
        <v>103</v>
      </c>
      <c r="J573">
        <v>103</v>
      </c>
      <c r="K573">
        <v>10.407766990291201</v>
      </c>
      <c r="L573">
        <v>20.0903742692139</v>
      </c>
      <c r="M573">
        <v>22.263093745665302</v>
      </c>
      <c r="N573">
        <v>140.06766392028101</v>
      </c>
      <c r="O573">
        <v>0</v>
      </c>
      <c r="P573">
        <v>0</v>
      </c>
      <c r="Q573">
        <v>260.07150845207701</v>
      </c>
      <c r="R573">
        <v>244.98439781421499</v>
      </c>
    </row>
    <row r="574" spans="1:18" x14ac:dyDescent="0.3">
      <c r="A574">
        <v>52</v>
      </c>
      <c r="B574" t="s">
        <v>13</v>
      </c>
      <c r="C574">
        <v>352.78094419370399</v>
      </c>
      <c r="D574">
        <v>0</v>
      </c>
      <c r="G574">
        <v>75</v>
      </c>
      <c r="H574" t="s">
        <v>28</v>
      </c>
      <c r="I574">
        <v>88</v>
      </c>
      <c r="J574">
        <v>88</v>
      </c>
      <c r="K574">
        <v>9.2840909090908994</v>
      </c>
      <c r="L574">
        <v>18.281634223563099</v>
      </c>
      <c r="M574">
        <v>22.263093745665302</v>
      </c>
      <c r="N574">
        <v>116.540389680356</v>
      </c>
      <c r="O574">
        <v>0</v>
      </c>
      <c r="P574">
        <v>0</v>
      </c>
      <c r="Q574">
        <v>222.23024231825499</v>
      </c>
      <c r="R574">
        <v>207.20296649788901</v>
      </c>
    </row>
    <row r="575" spans="1:18" x14ac:dyDescent="0.3">
      <c r="A575">
        <v>53</v>
      </c>
      <c r="B575" t="s">
        <v>3</v>
      </c>
      <c r="C575">
        <v>15.010398076151599</v>
      </c>
      <c r="D575">
        <v>13</v>
      </c>
      <c r="G575">
        <v>75</v>
      </c>
      <c r="H575" t="s">
        <v>29</v>
      </c>
      <c r="I575">
        <v>94</v>
      </c>
      <c r="J575">
        <v>94</v>
      </c>
      <c r="K575">
        <v>10.3829787234042</v>
      </c>
      <c r="L575">
        <v>17.351473406333</v>
      </c>
      <c r="M575">
        <v>22.263093745665302</v>
      </c>
      <c r="N575">
        <v>123.560403636102</v>
      </c>
      <c r="O575">
        <v>0</v>
      </c>
      <c r="P575">
        <v>0</v>
      </c>
      <c r="Q575">
        <v>203.801018</v>
      </c>
      <c r="R575">
        <v>194.12658476899901</v>
      </c>
    </row>
    <row r="576" spans="1:18" x14ac:dyDescent="0.3">
      <c r="A576">
        <v>53</v>
      </c>
      <c r="B576" t="s">
        <v>4</v>
      </c>
      <c r="C576">
        <v>15.386323394425901</v>
      </c>
      <c r="D576">
        <v>13</v>
      </c>
      <c r="G576">
        <v>75</v>
      </c>
      <c r="H576" t="s">
        <v>30</v>
      </c>
      <c r="I576">
        <v>80</v>
      </c>
      <c r="J576">
        <v>80</v>
      </c>
      <c r="K576">
        <v>9.0749999999999993</v>
      </c>
      <c r="L576">
        <v>15.906768889578499</v>
      </c>
      <c r="M576">
        <v>22.263093745665302</v>
      </c>
      <c r="N576">
        <v>108.682218954972</v>
      </c>
      <c r="O576">
        <v>0</v>
      </c>
      <c r="P576">
        <v>0</v>
      </c>
      <c r="Q576">
        <v>198.84293094775401</v>
      </c>
      <c r="R576">
        <v>187.52008841870401</v>
      </c>
    </row>
    <row r="577" spans="1:18" x14ac:dyDescent="0.3">
      <c r="A577">
        <v>53</v>
      </c>
      <c r="B577" t="s">
        <v>5</v>
      </c>
      <c r="C577">
        <v>19.399695583093902</v>
      </c>
      <c r="D577">
        <v>13</v>
      </c>
      <c r="G577">
        <v>75</v>
      </c>
      <c r="H577" t="s">
        <v>31</v>
      </c>
      <c r="I577">
        <v>94</v>
      </c>
      <c r="J577">
        <v>94</v>
      </c>
      <c r="K577">
        <v>10.3829787234042</v>
      </c>
      <c r="L577">
        <v>17.608863069737499</v>
      </c>
      <c r="M577">
        <v>22.263093745665302</v>
      </c>
      <c r="N577">
        <v>121.99206151476</v>
      </c>
      <c r="O577">
        <v>0</v>
      </c>
      <c r="P577">
        <v>0</v>
      </c>
      <c r="Q577">
        <v>222.11949875919501</v>
      </c>
      <c r="R577">
        <v>211.60697562686099</v>
      </c>
    </row>
    <row r="578" spans="1:18" x14ac:dyDescent="0.3">
      <c r="A578">
        <v>53</v>
      </c>
      <c r="B578" t="s">
        <v>6</v>
      </c>
      <c r="C578">
        <v>64.376535032416797</v>
      </c>
      <c r="D578">
        <v>13</v>
      </c>
      <c r="G578">
        <v>75</v>
      </c>
      <c r="H578" t="s">
        <v>32</v>
      </c>
      <c r="I578">
        <v>86</v>
      </c>
      <c r="J578">
        <v>86</v>
      </c>
      <c r="K578">
        <v>10.1860465116279</v>
      </c>
      <c r="L578">
        <v>16.6023843290027</v>
      </c>
      <c r="M578">
        <v>22.263093745665302</v>
      </c>
      <c r="N578">
        <v>110.379031345401</v>
      </c>
      <c r="O578">
        <v>0</v>
      </c>
      <c r="P578">
        <v>0</v>
      </c>
      <c r="Q578">
        <v>201.089416</v>
      </c>
      <c r="R578">
        <v>188.804775282999</v>
      </c>
    </row>
    <row r="579" spans="1:18" x14ac:dyDescent="0.3">
      <c r="A579">
        <v>53</v>
      </c>
      <c r="B579" t="s">
        <v>7</v>
      </c>
      <c r="C579">
        <v>66.011314817767996</v>
      </c>
      <c r="D579">
        <v>13</v>
      </c>
      <c r="G579">
        <v>75</v>
      </c>
      <c r="H579" t="s">
        <v>33</v>
      </c>
      <c r="I579">
        <v>82</v>
      </c>
      <c r="J579">
        <v>82</v>
      </c>
      <c r="K579">
        <v>9.1951219512195106</v>
      </c>
      <c r="L579">
        <v>16.2255072173641</v>
      </c>
      <c r="M579">
        <v>22.263093745665302</v>
      </c>
      <c r="N579">
        <v>109.641814357285</v>
      </c>
      <c r="O579">
        <v>0</v>
      </c>
      <c r="P579">
        <v>0</v>
      </c>
      <c r="Q579">
        <v>226.914334817206</v>
      </c>
      <c r="R579">
        <v>213.80268846701199</v>
      </c>
    </row>
    <row r="580" spans="1:18" x14ac:dyDescent="0.3">
      <c r="A580">
        <v>53</v>
      </c>
      <c r="B580" t="s">
        <v>8</v>
      </c>
      <c r="C580">
        <v>78.719088316609898</v>
      </c>
      <c r="D580">
        <v>13</v>
      </c>
      <c r="G580">
        <v>75</v>
      </c>
      <c r="H580" t="s">
        <v>34</v>
      </c>
      <c r="I580">
        <v>80</v>
      </c>
      <c r="J580">
        <v>80</v>
      </c>
      <c r="K580">
        <v>9.1374999999999993</v>
      </c>
      <c r="L580">
        <v>15.958757394162999</v>
      </c>
      <c r="M580">
        <v>22.263093745665302</v>
      </c>
      <c r="N580">
        <v>107.807674949431</v>
      </c>
      <c r="O580">
        <v>0</v>
      </c>
      <c r="P580">
        <v>0</v>
      </c>
      <c r="Q580">
        <v>197.26754</v>
      </c>
      <c r="R580">
        <v>183.72885541899899</v>
      </c>
    </row>
    <row r="581" spans="1:18" x14ac:dyDescent="0.3">
      <c r="A581">
        <v>53</v>
      </c>
      <c r="B581" t="s">
        <v>9</v>
      </c>
      <c r="C581">
        <v>80.660930798839999</v>
      </c>
      <c r="D581">
        <v>13</v>
      </c>
      <c r="G581">
        <v>75</v>
      </c>
      <c r="H581" t="s">
        <v>35</v>
      </c>
      <c r="I581">
        <v>85</v>
      </c>
      <c r="J581">
        <v>85</v>
      </c>
      <c r="K581">
        <v>9.3764705882352892</v>
      </c>
      <c r="L581">
        <v>16.640492515404802</v>
      </c>
      <c r="M581">
        <v>22.263093745665302</v>
      </c>
      <c r="N581">
        <v>121.242658611341</v>
      </c>
      <c r="O581">
        <v>0</v>
      </c>
      <c r="P581">
        <v>0</v>
      </c>
      <c r="Q581">
        <v>208.74983262156499</v>
      </c>
      <c r="R581">
        <v>198.437397736897</v>
      </c>
    </row>
    <row r="582" spans="1:18" x14ac:dyDescent="0.3">
      <c r="A582">
        <v>53</v>
      </c>
      <c r="B582" t="s">
        <v>10</v>
      </c>
      <c r="C582">
        <v>118.46873799842101</v>
      </c>
      <c r="D582">
        <v>13</v>
      </c>
      <c r="G582">
        <v>75</v>
      </c>
      <c r="H582" t="s">
        <v>36</v>
      </c>
      <c r="I582">
        <v>84</v>
      </c>
      <c r="J582">
        <v>84</v>
      </c>
      <c r="K582">
        <v>9.3095238095238102</v>
      </c>
      <c r="L582">
        <v>16.579556091974901</v>
      </c>
      <c r="M582">
        <v>22.263093745665302</v>
      </c>
      <c r="N582">
        <v>121.54097971864999</v>
      </c>
      <c r="O582">
        <v>0</v>
      </c>
      <c r="P582">
        <v>0</v>
      </c>
      <c r="Q582">
        <v>223.83185250337499</v>
      </c>
      <c r="R582">
        <v>213.72135667605099</v>
      </c>
    </row>
    <row r="583" spans="1:18" x14ac:dyDescent="0.3">
      <c r="A583">
        <v>53</v>
      </c>
      <c r="B583" t="s">
        <v>11</v>
      </c>
      <c r="C583">
        <v>272.41785070919002</v>
      </c>
      <c r="D583">
        <v>12.549132947976799</v>
      </c>
      <c r="G583">
        <v>76</v>
      </c>
      <c r="H583" t="s">
        <v>25</v>
      </c>
      <c r="I583">
        <v>94</v>
      </c>
      <c r="J583">
        <v>94</v>
      </c>
      <c r="K583">
        <v>10.127659574468</v>
      </c>
      <c r="L583">
        <v>20.189940757038801</v>
      </c>
      <c r="M583">
        <v>22.390308282084099</v>
      </c>
      <c r="N583">
        <v>127.697775369005</v>
      </c>
      <c r="O583">
        <v>0</v>
      </c>
      <c r="P583">
        <v>0</v>
      </c>
      <c r="Q583">
        <v>246.17687525101601</v>
      </c>
      <c r="R583">
        <v>226.12975192453399</v>
      </c>
    </row>
    <row r="584" spans="1:18" x14ac:dyDescent="0.3">
      <c r="A584">
        <v>53</v>
      </c>
      <c r="B584" t="s">
        <v>12</v>
      </c>
      <c r="C584">
        <v>352.87620016693899</v>
      </c>
      <c r="D584">
        <v>13.716279069767401</v>
      </c>
      <c r="G584">
        <v>76</v>
      </c>
      <c r="H584" t="s">
        <v>26</v>
      </c>
      <c r="I584">
        <v>100</v>
      </c>
      <c r="J584">
        <v>100</v>
      </c>
      <c r="K584">
        <v>10.29</v>
      </c>
      <c r="L584">
        <v>19.2815001234923</v>
      </c>
      <c r="M584">
        <v>22.390308282084099</v>
      </c>
      <c r="N584">
        <v>136.35205568146699</v>
      </c>
      <c r="O584">
        <v>0</v>
      </c>
      <c r="P584">
        <v>0</v>
      </c>
      <c r="Q584">
        <v>215.78661589520701</v>
      </c>
      <c r="R584">
        <v>203.37807358648001</v>
      </c>
    </row>
    <row r="585" spans="1:18" x14ac:dyDescent="0.3">
      <c r="A585">
        <v>53</v>
      </c>
      <c r="B585" t="s">
        <v>13</v>
      </c>
      <c r="C585">
        <v>353.10152779221801</v>
      </c>
      <c r="D585">
        <v>14</v>
      </c>
      <c r="G585">
        <v>76</v>
      </c>
      <c r="H585" t="s">
        <v>27</v>
      </c>
      <c r="I585">
        <v>104</v>
      </c>
      <c r="J585">
        <v>104</v>
      </c>
      <c r="K585">
        <v>10.682692307692299</v>
      </c>
      <c r="L585">
        <v>20.0586352675451</v>
      </c>
      <c r="M585">
        <v>22.390308282084099</v>
      </c>
      <c r="N585">
        <v>140.683247099874</v>
      </c>
      <c r="O585">
        <v>0</v>
      </c>
      <c r="P585">
        <v>0</v>
      </c>
      <c r="Q585">
        <v>261.26197374747198</v>
      </c>
      <c r="R585">
        <v>246.41649995866601</v>
      </c>
    </row>
    <row r="586" spans="1:18" x14ac:dyDescent="0.3">
      <c r="A586">
        <v>54</v>
      </c>
      <c r="B586" t="s">
        <v>3</v>
      </c>
      <c r="C586">
        <v>15.227427340338201</v>
      </c>
      <c r="D586">
        <v>13</v>
      </c>
      <c r="G586">
        <v>76</v>
      </c>
      <c r="H586" t="s">
        <v>28</v>
      </c>
      <c r="I586">
        <v>89</v>
      </c>
      <c r="J586">
        <v>89</v>
      </c>
      <c r="K586">
        <v>9.3483146067415692</v>
      </c>
      <c r="L586">
        <v>18.471137746268599</v>
      </c>
      <c r="M586">
        <v>22.390308282084099</v>
      </c>
      <c r="N586">
        <v>116.874879602288</v>
      </c>
      <c r="O586">
        <v>0</v>
      </c>
      <c r="P586">
        <v>0</v>
      </c>
      <c r="Q586">
        <v>220.231597563245</v>
      </c>
      <c r="R586">
        <v>205.599619752466</v>
      </c>
    </row>
    <row r="587" spans="1:18" x14ac:dyDescent="0.3">
      <c r="A587">
        <v>54</v>
      </c>
      <c r="B587" t="s">
        <v>4</v>
      </c>
      <c r="C587">
        <v>15.5320912679991</v>
      </c>
      <c r="D587">
        <v>13</v>
      </c>
      <c r="G587">
        <v>76</v>
      </c>
      <c r="H587" t="s">
        <v>29</v>
      </c>
      <c r="I587">
        <v>93</v>
      </c>
      <c r="J587">
        <v>93</v>
      </c>
      <c r="K587">
        <v>10.3333333333333</v>
      </c>
      <c r="L587">
        <v>17.160064583191001</v>
      </c>
      <c r="M587">
        <v>22.390308282084099</v>
      </c>
      <c r="N587">
        <v>121.08188282368501</v>
      </c>
      <c r="O587">
        <v>0</v>
      </c>
      <c r="P587">
        <v>0</v>
      </c>
      <c r="Q587">
        <v>196.27851269332299</v>
      </c>
      <c r="R587">
        <v>186.51807818555301</v>
      </c>
    </row>
    <row r="588" spans="1:18" x14ac:dyDescent="0.3">
      <c r="A588">
        <v>54</v>
      </c>
      <c r="B588" t="s">
        <v>5</v>
      </c>
      <c r="C588">
        <v>19.3397677506143</v>
      </c>
      <c r="D588">
        <v>13</v>
      </c>
      <c r="G588">
        <v>76</v>
      </c>
      <c r="H588" t="s">
        <v>30</v>
      </c>
      <c r="I588">
        <v>80</v>
      </c>
      <c r="J588">
        <v>80</v>
      </c>
      <c r="K588">
        <v>9.0749999999999993</v>
      </c>
      <c r="L588">
        <v>15.8258921918602</v>
      </c>
      <c r="M588">
        <v>22.390308282084099</v>
      </c>
      <c r="N588">
        <v>108.33124299430099</v>
      </c>
      <c r="O588">
        <v>0</v>
      </c>
      <c r="P588">
        <v>0</v>
      </c>
      <c r="Q588">
        <v>202.769348705086</v>
      </c>
      <c r="R588">
        <v>191.344364034828</v>
      </c>
    </row>
    <row r="589" spans="1:18" x14ac:dyDescent="0.3">
      <c r="A589">
        <v>54</v>
      </c>
      <c r="B589" t="s">
        <v>6</v>
      </c>
      <c r="C589">
        <v>64.444541812817405</v>
      </c>
      <c r="D589">
        <v>13</v>
      </c>
      <c r="G589">
        <v>76</v>
      </c>
      <c r="H589" t="s">
        <v>31</v>
      </c>
      <c r="I589">
        <v>93</v>
      </c>
      <c r="J589">
        <v>93</v>
      </c>
      <c r="K589">
        <v>10.322580645161199</v>
      </c>
      <c r="L589">
        <v>17.288350138932302</v>
      </c>
      <c r="M589">
        <v>22.390308282084099</v>
      </c>
      <c r="N589">
        <v>120.847970239067</v>
      </c>
      <c r="O589">
        <v>0</v>
      </c>
      <c r="P589">
        <v>0</v>
      </c>
      <c r="Q589">
        <v>214.74292120331501</v>
      </c>
      <c r="R589">
        <v>204.65003496191699</v>
      </c>
    </row>
    <row r="590" spans="1:18" x14ac:dyDescent="0.3">
      <c r="A590">
        <v>54</v>
      </c>
      <c r="B590" t="s">
        <v>7</v>
      </c>
      <c r="C590">
        <v>66.062176464704194</v>
      </c>
      <c r="D590">
        <v>13</v>
      </c>
      <c r="G590">
        <v>76</v>
      </c>
      <c r="H590" t="s">
        <v>32</v>
      </c>
      <c r="I590">
        <v>93</v>
      </c>
      <c r="J590">
        <v>93</v>
      </c>
      <c r="K590">
        <v>10.3333333333333</v>
      </c>
      <c r="L590">
        <v>17.418422621936099</v>
      </c>
      <c r="M590">
        <v>22.390308282084099</v>
      </c>
      <c r="N590">
        <v>121.96874470245599</v>
      </c>
      <c r="O590">
        <v>0</v>
      </c>
      <c r="P590">
        <v>0</v>
      </c>
      <c r="Q590">
        <v>223.70965584194499</v>
      </c>
      <c r="R590">
        <v>213.80692185150599</v>
      </c>
    </row>
    <row r="591" spans="1:18" x14ac:dyDescent="0.3">
      <c r="A591">
        <v>54</v>
      </c>
      <c r="B591" t="s">
        <v>8</v>
      </c>
      <c r="C591">
        <v>78.914857474905304</v>
      </c>
      <c r="D591">
        <v>9.4848484848484809</v>
      </c>
      <c r="G591">
        <v>76</v>
      </c>
      <c r="H591" t="s">
        <v>33</v>
      </c>
      <c r="I591">
        <v>82</v>
      </c>
      <c r="J591">
        <v>82</v>
      </c>
      <c r="K591">
        <v>9.1951219512195106</v>
      </c>
      <c r="L591">
        <v>16.0548629131636</v>
      </c>
      <c r="M591">
        <v>22.390308282084099</v>
      </c>
      <c r="N591">
        <v>110.043031614299</v>
      </c>
      <c r="O591">
        <v>0</v>
      </c>
      <c r="P591">
        <v>0</v>
      </c>
      <c r="Q591">
        <v>201.79597850922499</v>
      </c>
      <c r="R591">
        <v>188.13396461326201</v>
      </c>
    </row>
    <row r="592" spans="1:18" x14ac:dyDescent="0.3">
      <c r="A592">
        <v>54</v>
      </c>
      <c r="B592" t="s">
        <v>9</v>
      </c>
      <c r="C592">
        <v>81.778871639383397</v>
      </c>
      <c r="D592">
        <v>14</v>
      </c>
      <c r="G592">
        <v>76</v>
      </c>
      <c r="H592" t="s">
        <v>34</v>
      </c>
      <c r="I592">
        <v>79</v>
      </c>
      <c r="J592">
        <v>79</v>
      </c>
      <c r="K592">
        <v>9.0506329113924</v>
      </c>
      <c r="L592">
        <v>15.7201713751426</v>
      </c>
      <c r="M592">
        <v>22.390308282084099</v>
      </c>
      <c r="N592">
        <v>107.48590451491999</v>
      </c>
      <c r="O592">
        <v>0</v>
      </c>
      <c r="P592">
        <v>0</v>
      </c>
      <c r="Q592">
        <v>186.04840466720501</v>
      </c>
      <c r="R592">
        <v>172.491103135061</v>
      </c>
    </row>
    <row r="593" spans="1:18" x14ac:dyDescent="0.3">
      <c r="A593">
        <v>54</v>
      </c>
      <c r="B593" t="s">
        <v>10</v>
      </c>
      <c r="C593">
        <v>117.26844556074199</v>
      </c>
      <c r="D593">
        <v>14</v>
      </c>
      <c r="G593">
        <v>76</v>
      </c>
      <c r="H593" t="s">
        <v>35</v>
      </c>
      <c r="I593">
        <v>85</v>
      </c>
      <c r="J593">
        <v>85</v>
      </c>
      <c r="K593">
        <v>9.3647058823529399</v>
      </c>
      <c r="L593">
        <v>16.735197580758101</v>
      </c>
      <c r="M593">
        <v>22.390308282084099</v>
      </c>
      <c r="N593">
        <v>121.779085150458</v>
      </c>
      <c r="O593">
        <v>0</v>
      </c>
      <c r="P593">
        <v>0</v>
      </c>
      <c r="Q593">
        <v>223.079659060951</v>
      </c>
      <c r="R593">
        <v>211.83119822788601</v>
      </c>
    </row>
    <row r="594" spans="1:18" x14ac:dyDescent="0.3">
      <c r="A594">
        <v>54</v>
      </c>
      <c r="B594" t="s">
        <v>11</v>
      </c>
      <c r="C594">
        <v>272.760403431079</v>
      </c>
      <c r="D594">
        <v>0</v>
      </c>
      <c r="G594">
        <v>76</v>
      </c>
      <c r="H594" t="s">
        <v>36</v>
      </c>
      <c r="I594">
        <v>86</v>
      </c>
      <c r="J594">
        <v>86</v>
      </c>
      <c r="K594">
        <v>9.4418604651162799</v>
      </c>
      <c r="L594">
        <v>16.5356742621283</v>
      </c>
      <c r="M594">
        <v>22.390308282084099</v>
      </c>
      <c r="N594">
        <v>122.224218543643</v>
      </c>
      <c r="O594">
        <v>0</v>
      </c>
      <c r="P594">
        <v>0</v>
      </c>
      <c r="Q594">
        <v>213.93817472597399</v>
      </c>
      <c r="R594">
        <v>203.36195667021599</v>
      </c>
    </row>
    <row r="595" spans="1:18" x14ac:dyDescent="0.3">
      <c r="A595">
        <v>54</v>
      </c>
      <c r="B595" t="s">
        <v>12</v>
      </c>
      <c r="C595">
        <v>354.16478920923402</v>
      </c>
      <c r="D595">
        <v>0</v>
      </c>
      <c r="G595">
        <v>77</v>
      </c>
      <c r="H595" t="s">
        <v>25</v>
      </c>
      <c r="I595">
        <v>81</v>
      </c>
      <c r="J595">
        <v>81</v>
      </c>
      <c r="K595">
        <v>8.7777777777777697</v>
      </c>
      <c r="L595">
        <v>17.835131748362301</v>
      </c>
      <c r="M595">
        <v>22.509028203194301</v>
      </c>
      <c r="N595">
        <v>101.889074807233</v>
      </c>
      <c r="O595">
        <v>0</v>
      </c>
      <c r="P595">
        <v>0</v>
      </c>
      <c r="Q595">
        <v>242.196882177699</v>
      </c>
      <c r="R595">
        <v>224.569508396098</v>
      </c>
    </row>
    <row r="596" spans="1:18" x14ac:dyDescent="0.3">
      <c r="A596">
        <v>54</v>
      </c>
      <c r="B596" t="s">
        <v>13</v>
      </c>
      <c r="C596">
        <v>350.28299996092801</v>
      </c>
      <c r="D596">
        <v>0</v>
      </c>
      <c r="G596">
        <v>77</v>
      </c>
      <c r="H596" t="s">
        <v>26</v>
      </c>
      <c r="I596">
        <v>93</v>
      </c>
      <c r="J596">
        <v>93</v>
      </c>
      <c r="K596">
        <v>10.430107526881701</v>
      </c>
      <c r="L596">
        <v>17.630198937763701</v>
      </c>
      <c r="M596">
        <v>22.509028203194301</v>
      </c>
      <c r="N596">
        <v>112.38815026792901</v>
      </c>
      <c r="O596">
        <v>0</v>
      </c>
      <c r="P596">
        <v>0</v>
      </c>
      <c r="Q596">
        <v>237.78264795120199</v>
      </c>
      <c r="R596">
        <v>226.89000623432301</v>
      </c>
    </row>
    <row r="597" spans="1:18" x14ac:dyDescent="0.3">
      <c r="A597">
        <v>55</v>
      </c>
      <c r="B597" t="s">
        <v>3</v>
      </c>
      <c r="C597">
        <v>15.393637021751699</v>
      </c>
      <c r="D597">
        <v>13</v>
      </c>
      <c r="G597">
        <v>77</v>
      </c>
      <c r="H597" t="s">
        <v>27</v>
      </c>
      <c r="I597">
        <v>96</v>
      </c>
      <c r="J597">
        <v>96</v>
      </c>
      <c r="K597">
        <v>10.53125</v>
      </c>
      <c r="L597">
        <v>17.823396538042999</v>
      </c>
      <c r="M597">
        <v>22.509028203194301</v>
      </c>
      <c r="N597">
        <v>116.60470977663201</v>
      </c>
      <c r="O597">
        <v>0</v>
      </c>
      <c r="P597">
        <v>0</v>
      </c>
      <c r="Q597">
        <v>242.41194926358401</v>
      </c>
      <c r="R597">
        <v>230.31510530049701</v>
      </c>
    </row>
    <row r="598" spans="1:18" x14ac:dyDescent="0.3">
      <c r="A598">
        <v>55</v>
      </c>
      <c r="B598" t="s">
        <v>4</v>
      </c>
      <c r="C598">
        <v>15.346227569329301</v>
      </c>
      <c r="D598">
        <v>13</v>
      </c>
      <c r="G598">
        <v>77</v>
      </c>
      <c r="H598" t="s">
        <v>28</v>
      </c>
      <c r="I598">
        <v>107</v>
      </c>
      <c r="J598">
        <v>101</v>
      </c>
      <c r="K598">
        <v>9.9532710280373795</v>
      </c>
      <c r="L598">
        <v>19.958006604365298</v>
      </c>
      <c r="M598">
        <v>22.509028203194301</v>
      </c>
      <c r="N598">
        <v>136.920009668398</v>
      </c>
      <c r="O598">
        <v>0</v>
      </c>
      <c r="P598">
        <v>0</v>
      </c>
      <c r="Q598">
        <v>272.10970855537198</v>
      </c>
      <c r="R598">
        <v>258.20319910108799</v>
      </c>
    </row>
    <row r="599" spans="1:18" x14ac:dyDescent="0.3">
      <c r="A599">
        <v>55</v>
      </c>
      <c r="B599" t="s">
        <v>5</v>
      </c>
      <c r="C599">
        <v>19.710407486719699</v>
      </c>
      <c r="D599">
        <v>13</v>
      </c>
      <c r="G599">
        <v>77</v>
      </c>
      <c r="H599" t="s">
        <v>29</v>
      </c>
      <c r="I599">
        <v>109</v>
      </c>
      <c r="J599">
        <v>103</v>
      </c>
      <c r="K599">
        <v>10.055045871559599</v>
      </c>
      <c r="L599">
        <v>20.2277495605783</v>
      </c>
      <c r="M599">
        <v>22.509028203194301</v>
      </c>
      <c r="N599">
        <v>147.35809282181199</v>
      </c>
      <c r="O599">
        <v>0</v>
      </c>
      <c r="P599">
        <v>0</v>
      </c>
      <c r="Q599">
        <v>267.37229825281503</v>
      </c>
      <c r="R599">
        <v>255.699519261494</v>
      </c>
    </row>
    <row r="600" spans="1:18" x14ac:dyDescent="0.3">
      <c r="A600">
        <v>55</v>
      </c>
      <c r="B600" t="s">
        <v>6</v>
      </c>
      <c r="C600">
        <v>65.122782663434194</v>
      </c>
      <c r="D600">
        <v>13</v>
      </c>
      <c r="G600">
        <v>77</v>
      </c>
      <c r="H600" t="s">
        <v>30</v>
      </c>
      <c r="I600">
        <v>104</v>
      </c>
      <c r="J600">
        <v>104</v>
      </c>
      <c r="K600">
        <v>12.0288461538461</v>
      </c>
      <c r="L600">
        <v>19.849019612749601</v>
      </c>
      <c r="M600">
        <v>22.509028203194301</v>
      </c>
      <c r="N600">
        <v>132.41587127187299</v>
      </c>
      <c r="O600">
        <v>0</v>
      </c>
      <c r="P600">
        <v>0</v>
      </c>
      <c r="Q600">
        <v>254.83335445012301</v>
      </c>
      <c r="R600">
        <v>241.53948675422501</v>
      </c>
    </row>
    <row r="601" spans="1:18" x14ac:dyDescent="0.3">
      <c r="A601">
        <v>55</v>
      </c>
      <c r="B601" t="s">
        <v>7</v>
      </c>
      <c r="C601">
        <v>66.206158993394197</v>
      </c>
      <c r="D601">
        <v>13</v>
      </c>
      <c r="G601">
        <v>77</v>
      </c>
      <c r="H601" t="s">
        <v>31</v>
      </c>
      <c r="I601">
        <v>103</v>
      </c>
      <c r="J601">
        <v>98</v>
      </c>
      <c r="K601">
        <v>9.3883495145630995</v>
      </c>
      <c r="L601">
        <v>20.093567220436501</v>
      </c>
      <c r="M601">
        <v>22.509028203194301</v>
      </c>
      <c r="N601">
        <v>141.47443400829101</v>
      </c>
      <c r="O601">
        <v>0</v>
      </c>
      <c r="P601">
        <v>0</v>
      </c>
      <c r="Q601">
        <v>276.44068031810201</v>
      </c>
      <c r="R601">
        <v>261.03643165368698</v>
      </c>
    </row>
    <row r="602" spans="1:18" x14ac:dyDescent="0.3">
      <c r="A602">
        <v>55</v>
      </c>
      <c r="B602" t="s">
        <v>8</v>
      </c>
      <c r="C602">
        <v>78.676413319159195</v>
      </c>
      <c r="D602">
        <v>13</v>
      </c>
      <c r="G602">
        <v>77</v>
      </c>
      <c r="H602" t="s">
        <v>32</v>
      </c>
      <c r="I602">
        <v>117</v>
      </c>
      <c r="J602">
        <v>117</v>
      </c>
      <c r="K602">
        <v>12.5641025641025</v>
      </c>
      <c r="L602">
        <v>21.640004213592199</v>
      </c>
      <c r="M602">
        <v>22.509028203194301</v>
      </c>
      <c r="N602">
        <v>146.36495472476801</v>
      </c>
      <c r="O602">
        <v>0</v>
      </c>
      <c r="P602">
        <v>0</v>
      </c>
      <c r="Q602">
        <v>294.81217640975501</v>
      </c>
      <c r="R602">
        <v>283.13300905013</v>
      </c>
    </row>
    <row r="603" spans="1:18" x14ac:dyDescent="0.3">
      <c r="A603">
        <v>55</v>
      </c>
      <c r="B603" t="s">
        <v>9</v>
      </c>
      <c r="C603">
        <v>80.887192444287393</v>
      </c>
      <c r="D603">
        <v>13</v>
      </c>
      <c r="G603">
        <v>78</v>
      </c>
      <c r="H603" t="s">
        <v>25</v>
      </c>
      <c r="I603">
        <v>88</v>
      </c>
      <c r="J603">
        <v>88</v>
      </c>
      <c r="K603">
        <v>8.8636363636363598</v>
      </c>
      <c r="L603">
        <v>18.063979727241598</v>
      </c>
      <c r="M603">
        <v>22.067447821352701</v>
      </c>
      <c r="N603">
        <v>119.189413799029</v>
      </c>
      <c r="O603">
        <v>0</v>
      </c>
      <c r="P603">
        <v>0</v>
      </c>
      <c r="Q603">
        <v>208.191425239712</v>
      </c>
      <c r="R603">
        <v>193.47753737002699</v>
      </c>
    </row>
    <row r="604" spans="1:18" x14ac:dyDescent="0.3">
      <c r="A604">
        <v>55</v>
      </c>
      <c r="B604" t="s">
        <v>10</v>
      </c>
      <c r="C604">
        <v>116.98962711638301</v>
      </c>
      <c r="D604">
        <v>13</v>
      </c>
      <c r="G604">
        <v>78</v>
      </c>
      <c r="H604" t="s">
        <v>26</v>
      </c>
      <c r="I604">
        <v>91</v>
      </c>
      <c r="J604">
        <v>91</v>
      </c>
      <c r="K604">
        <v>8.8901098901098905</v>
      </c>
      <c r="L604">
        <v>18.509024601388798</v>
      </c>
      <c r="M604">
        <v>22.067447821352701</v>
      </c>
      <c r="N604">
        <v>118.842067909394</v>
      </c>
      <c r="O604">
        <v>0</v>
      </c>
      <c r="P604">
        <v>0</v>
      </c>
      <c r="Q604">
        <v>217.15947899999901</v>
      </c>
      <c r="R604">
        <v>203.103880271999</v>
      </c>
    </row>
    <row r="605" spans="1:18" x14ac:dyDescent="0.3">
      <c r="A605">
        <v>55</v>
      </c>
      <c r="B605" t="s">
        <v>11</v>
      </c>
      <c r="C605">
        <v>273.68127476256001</v>
      </c>
      <c r="D605">
        <v>12.6220930232558</v>
      </c>
      <c r="G605">
        <v>78</v>
      </c>
      <c r="H605" t="s">
        <v>27</v>
      </c>
      <c r="I605">
        <v>87</v>
      </c>
      <c r="J605">
        <v>87</v>
      </c>
      <c r="K605">
        <v>9.5517241379310303</v>
      </c>
      <c r="L605">
        <v>16.828445298842901</v>
      </c>
      <c r="M605">
        <v>22.067447821352701</v>
      </c>
      <c r="N605">
        <v>115.308064995482</v>
      </c>
      <c r="O605">
        <v>0</v>
      </c>
      <c r="P605">
        <v>0</v>
      </c>
      <c r="Q605">
        <v>220.85158117381999</v>
      </c>
      <c r="R605">
        <v>207.82225516994899</v>
      </c>
    </row>
    <row r="606" spans="1:18" x14ac:dyDescent="0.3">
      <c r="A606">
        <v>55</v>
      </c>
      <c r="B606" t="s">
        <v>12</v>
      </c>
      <c r="C606">
        <v>353.68338047299801</v>
      </c>
      <c r="D606">
        <v>13.7116279069767</v>
      </c>
      <c r="G606">
        <v>78</v>
      </c>
      <c r="H606" t="s">
        <v>28</v>
      </c>
      <c r="I606">
        <v>87</v>
      </c>
      <c r="J606">
        <v>87</v>
      </c>
      <c r="K606">
        <v>9.5287356321838992</v>
      </c>
      <c r="L606">
        <v>16.590496169342</v>
      </c>
      <c r="M606">
        <v>22.067447821352701</v>
      </c>
      <c r="N606">
        <v>115.17673211837</v>
      </c>
      <c r="O606">
        <v>0</v>
      </c>
      <c r="P606">
        <v>0</v>
      </c>
      <c r="Q606">
        <v>206.289840275335</v>
      </c>
      <c r="R606">
        <v>195.03886342885599</v>
      </c>
    </row>
    <row r="607" spans="1:18" x14ac:dyDescent="0.3">
      <c r="A607">
        <v>55</v>
      </c>
      <c r="B607" t="s">
        <v>13</v>
      </c>
      <c r="C607">
        <v>352.98609356414499</v>
      </c>
      <c r="D607">
        <v>14</v>
      </c>
      <c r="G607">
        <v>78</v>
      </c>
      <c r="H607" t="s">
        <v>29</v>
      </c>
      <c r="I607">
        <v>95</v>
      </c>
      <c r="J607">
        <v>95</v>
      </c>
      <c r="K607">
        <v>10.052631578947301</v>
      </c>
      <c r="L607">
        <v>18.9907800539928</v>
      </c>
      <c r="M607">
        <v>22.067447821352701</v>
      </c>
      <c r="N607">
        <v>123.763810836513</v>
      </c>
      <c r="O607">
        <v>0</v>
      </c>
      <c r="P607">
        <v>0</v>
      </c>
      <c r="Q607">
        <v>231.077504523714</v>
      </c>
      <c r="R607">
        <v>218.18240281130801</v>
      </c>
    </row>
    <row r="608" spans="1:18" x14ac:dyDescent="0.3">
      <c r="A608">
        <v>56</v>
      </c>
      <c r="B608" t="s">
        <v>3</v>
      </c>
      <c r="C608">
        <v>15.2858204404559</v>
      </c>
      <c r="D608">
        <v>13</v>
      </c>
      <c r="G608">
        <v>78</v>
      </c>
      <c r="H608" t="s">
        <v>30</v>
      </c>
      <c r="I608">
        <v>82</v>
      </c>
      <c r="J608">
        <v>82</v>
      </c>
      <c r="K608">
        <v>9.1951219512195106</v>
      </c>
      <c r="L608">
        <v>16.1358399442536</v>
      </c>
      <c r="M608">
        <v>22.067447821352701</v>
      </c>
      <c r="N608">
        <v>110.965318873725</v>
      </c>
      <c r="O608">
        <v>0</v>
      </c>
      <c r="P608">
        <v>0</v>
      </c>
      <c r="Q608">
        <v>205.40520799999999</v>
      </c>
      <c r="R608">
        <v>193.32260816599899</v>
      </c>
    </row>
    <row r="609" spans="1:18" x14ac:dyDescent="0.3">
      <c r="A609">
        <v>56</v>
      </c>
      <c r="B609" t="s">
        <v>4</v>
      </c>
      <c r="C609">
        <v>15.7591054870839</v>
      </c>
      <c r="D609">
        <v>13</v>
      </c>
      <c r="G609">
        <v>78</v>
      </c>
      <c r="H609" t="s">
        <v>31</v>
      </c>
      <c r="I609">
        <v>94</v>
      </c>
      <c r="J609">
        <v>94</v>
      </c>
      <c r="K609">
        <v>10.3829787234042</v>
      </c>
      <c r="L609">
        <v>17.469555884545201</v>
      </c>
      <c r="M609">
        <v>22.067447821352701</v>
      </c>
      <c r="N609">
        <v>123.633579943105</v>
      </c>
      <c r="O609">
        <v>0</v>
      </c>
      <c r="P609">
        <v>0</v>
      </c>
      <c r="Q609">
        <v>225.52483312750601</v>
      </c>
      <c r="R609">
        <v>214.85888697746199</v>
      </c>
    </row>
    <row r="610" spans="1:18" x14ac:dyDescent="0.3">
      <c r="A610">
        <v>56</v>
      </c>
      <c r="B610" t="s">
        <v>5</v>
      </c>
      <c r="C610">
        <v>18.986332144475401</v>
      </c>
      <c r="D610">
        <v>13</v>
      </c>
      <c r="G610">
        <v>78</v>
      </c>
      <c r="H610" t="s">
        <v>32</v>
      </c>
      <c r="I610">
        <v>93</v>
      </c>
      <c r="J610">
        <v>93</v>
      </c>
      <c r="K610">
        <v>10.3333333333333</v>
      </c>
      <c r="L610">
        <v>17.048142099741899</v>
      </c>
      <c r="M610">
        <v>22.067447821352701</v>
      </c>
      <c r="N610">
        <v>121.478342574105</v>
      </c>
      <c r="O610">
        <v>0</v>
      </c>
      <c r="P610">
        <v>0</v>
      </c>
      <c r="Q610">
        <v>208.70560485759299</v>
      </c>
      <c r="R610">
        <v>198.639510810616</v>
      </c>
    </row>
    <row r="611" spans="1:18" x14ac:dyDescent="0.3">
      <c r="A611">
        <v>56</v>
      </c>
      <c r="B611" t="s">
        <v>6</v>
      </c>
      <c r="C611">
        <v>64.5600730882298</v>
      </c>
      <c r="D611">
        <v>13</v>
      </c>
      <c r="G611">
        <v>78</v>
      </c>
      <c r="H611" t="s">
        <v>33</v>
      </c>
      <c r="I611">
        <v>80</v>
      </c>
      <c r="J611">
        <v>80</v>
      </c>
      <c r="K611">
        <v>8.9375</v>
      </c>
      <c r="L611">
        <v>16.388302696677801</v>
      </c>
      <c r="M611">
        <v>22.067447821352701</v>
      </c>
      <c r="N611">
        <v>109.507030188333</v>
      </c>
      <c r="O611">
        <v>0</v>
      </c>
      <c r="P611">
        <v>0</v>
      </c>
      <c r="Q611">
        <v>218.096834315824</v>
      </c>
      <c r="R611">
        <v>204.569106227243</v>
      </c>
    </row>
    <row r="612" spans="1:18" x14ac:dyDescent="0.3">
      <c r="A612">
        <v>56</v>
      </c>
      <c r="B612" t="s">
        <v>7</v>
      </c>
      <c r="C612">
        <v>66.390417190109801</v>
      </c>
      <c r="D612">
        <v>13</v>
      </c>
      <c r="G612">
        <v>78</v>
      </c>
      <c r="H612" t="s">
        <v>34</v>
      </c>
      <c r="I612">
        <v>89</v>
      </c>
      <c r="J612">
        <v>89</v>
      </c>
      <c r="K612">
        <v>10.1348314606741</v>
      </c>
      <c r="L612">
        <v>18.4685703415124</v>
      </c>
      <c r="M612">
        <v>22.067447821352701</v>
      </c>
      <c r="N612">
        <v>125.492534147279</v>
      </c>
      <c r="O612">
        <v>0</v>
      </c>
      <c r="P612">
        <v>0</v>
      </c>
      <c r="Q612">
        <v>214.19884546739101</v>
      </c>
      <c r="R612">
        <v>198.76624703436201</v>
      </c>
    </row>
    <row r="613" spans="1:18" x14ac:dyDescent="0.3">
      <c r="A613">
        <v>56</v>
      </c>
      <c r="B613" t="s">
        <v>8</v>
      </c>
      <c r="C613">
        <v>78.708789261381796</v>
      </c>
      <c r="D613">
        <v>9.4848484848484809</v>
      </c>
      <c r="G613">
        <v>78</v>
      </c>
      <c r="H613" t="s">
        <v>35</v>
      </c>
      <c r="I613">
        <v>86</v>
      </c>
      <c r="J613">
        <v>86</v>
      </c>
      <c r="K613">
        <v>9.4418604651162799</v>
      </c>
      <c r="L613">
        <v>16.4055874916981</v>
      </c>
      <c r="M613">
        <v>22.067447821352701</v>
      </c>
      <c r="N613">
        <v>123.851756714046</v>
      </c>
      <c r="O613">
        <v>0</v>
      </c>
      <c r="P613">
        <v>0</v>
      </c>
      <c r="Q613">
        <v>201.83464486474199</v>
      </c>
      <c r="R613">
        <v>190.96761994614599</v>
      </c>
    </row>
    <row r="614" spans="1:18" x14ac:dyDescent="0.3">
      <c r="A614">
        <v>56</v>
      </c>
      <c r="B614" t="s">
        <v>9</v>
      </c>
      <c r="C614">
        <v>80.6417429317478</v>
      </c>
      <c r="D614">
        <v>14</v>
      </c>
      <c r="G614">
        <v>78</v>
      </c>
      <c r="H614" t="s">
        <v>36</v>
      </c>
      <c r="I614">
        <v>89</v>
      </c>
      <c r="J614">
        <v>89</v>
      </c>
      <c r="K614">
        <v>9.1910112359550507</v>
      </c>
      <c r="L614">
        <v>18.530534186589801</v>
      </c>
      <c r="M614">
        <v>22.067447821352701</v>
      </c>
      <c r="N614">
        <v>127.175456288544</v>
      </c>
      <c r="O614">
        <v>0</v>
      </c>
      <c r="P614">
        <v>0</v>
      </c>
      <c r="Q614">
        <v>235.40552311884699</v>
      </c>
      <c r="R614">
        <v>221.45898634934099</v>
      </c>
    </row>
    <row r="615" spans="1:18" x14ac:dyDescent="0.3">
      <c r="A615">
        <v>56</v>
      </c>
      <c r="B615" t="s">
        <v>10</v>
      </c>
      <c r="C615">
        <v>116.739438372601</v>
      </c>
      <c r="D615">
        <v>14</v>
      </c>
      <c r="G615">
        <v>79</v>
      </c>
      <c r="H615" t="s">
        <v>25</v>
      </c>
      <c r="I615">
        <v>90</v>
      </c>
      <c r="J615">
        <v>90</v>
      </c>
      <c r="K615">
        <v>8.9111111111111097</v>
      </c>
      <c r="L615">
        <v>18.1804293480611</v>
      </c>
      <c r="M615">
        <v>21.9212582027873</v>
      </c>
      <c r="N615">
        <v>122.725154693071</v>
      </c>
      <c r="O615">
        <v>0</v>
      </c>
      <c r="P615">
        <v>0</v>
      </c>
      <c r="Q615">
        <v>207.95118810685099</v>
      </c>
      <c r="R615">
        <v>193.21718321877501</v>
      </c>
    </row>
    <row r="616" spans="1:18" x14ac:dyDescent="0.3">
      <c r="A616">
        <v>56</v>
      </c>
      <c r="B616" t="s">
        <v>11</v>
      </c>
      <c r="C616">
        <v>272.19237094401399</v>
      </c>
      <c r="D616">
        <v>0</v>
      </c>
      <c r="G616">
        <v>79</v>
      </c>
      <c r="H616" t="s">
        <v>26</v>
      </c>
      <c r="I616">
        <v>91</v>
      </c>
      <c r="J616">
        <v>91</v>
      </c>
      <c r="K616">
        <v>8.8901098901098905</v>
      </c>
      <c r="L616">
        <v>18.413465235141</v>
      </c>
      <c r="M616">
        <v>21.9212582027873</v>
      </c>
      <c r="N616">
        <v>120.11350098703799</v>
      </c>
      <c r="O616">
        <v>0</v>
      </c>
      <c r="P616">
        <v>0</v>
      </c>
      <c r="Q616">
        <v>220.153482</v>
      </c>
      <c r="R616">
        <v>205.19346915099899</v>
      </c>
    </row>
    <row r="617" spans="1:18" x14ac:dyDescent="0.3">
      <c r="A617">
        <v>56</v>
      </c>
      <c r="B617" t="s">
        <v>12</v>
      </c>
      <c r="C617">
        <v>352.78433903302101</v>
      </c>
      <c r="D617">
        <v>0</v>
      </c>
      <c r="G617">
        <v>79</v>
      </c>
      <c r="H617" t="s">
        <v>27</v>
      </c>
      <c r="I617">
        <v>87</v>
      </c>
      <c r="J617">
        <v>87</v>
      </c>
      <c r="K617">
        <v>9.5632183908045896</v>
      </c>
      <c r="L617">
        <v>16.811727505421501</v>
      </c>
      <c r="M617">
        <v>21.9212582027873</v>
      </c>
      <c r="N617">
        <v>114.716659367999</v>
      </c>
      <c r="O617">
        <v>0</v>
      </c>
      <c r="P617">
        <v>0</v>
      </c>
      <c r="Q617">
        <v>216.880471441363</v>
      </c>
      <c r="R617">
        <v>204.05227957105799</v>
      </c>
    </row>
    <row r="618" spans="1:18" x14ac:dyDescent="0.3">
      <c r="A618">
        <v>56</v>
      </c>
      <c r="B618" t="s">
        <v>13</v>
      </c>
      <c r="C618">
        <v>353.35221038325199</v>
      </c>
      <c r="D618">
        <v>0</v>
      </c>
      <c r="G618">
        <v>79</v>
      </c>
      <c r="H618" t="s">
        <v>28</v>
      </c>
      <c r="I618">
        <v>89</v>
      </c>
      <c r="J618">
        <v>89</v>
      </c>
      <c r="K618">
        <v>9.3483146067415692</v>
      </c>
      <c r="L618">
        <v>18.5117782466689</v>
      </c>
      <c r="M618">
        <v>21.9212582027873</v>
      </c>
      <c r="N618">
        <v>118.700597614861</v>
      </c>
      <c r="O618">
        <v>0</v>
      </c>
      <c r="P618">
        <v>0</v>
      </c>
      <c r="Q618">
        <v>221.02710891528801</v>
      </c>
      <c r="R618">
        <v>205.84552925851301</v>
      </c>
    </row>
    <row r="619" spans="1:18" x14ac:dyDescent="0.3">
      <c r="A619">
        <v>57</v>
      </c>
      <c r="B619" t="s">
        <v>3</v>
      </c>
      <c r="C619">
        <v>15.137287921256201</v>
      </c>
      <c r="D619">
        <v>13</v>
      </c>
      <c r="G619">
        <v>79</v>
      </c>
      <c r="H619" t="s">
        <v>29</v>
      </c>
      <c r="I619">
        <v>110</v>
      </c>
      <c r="J619">
        <v>110</v>
      </c>
      <c r="K619">
        <v>11.272727272727201</v>
      </c>
      <c r="L619">
        <v>20.537056628682901</v>
      </c>
      <c r="M619">
        <v>21.9212582027873</v>
      </c>
      <c r="N619">
        <v>147.754767518699</v>
      </c>
      <c r="O619">
        <v>0</v>
      </c>
      <c r="P619">
        <v>0</v>
      </c>
      <c r="Q619">
        <v>254.56600170210999</v>
      </c>
      <c r="R619">
        <v>242.03674003790599</v>
      </c>
    </row>
    <row r="620" spans="1:18" x14ac:dyDescent="0.3">
      <c r="A620">
        <v>57</v>
      </c>
      <c r="B620" t="s">
        <v>4</v>
      </c>
      <c r="C620">
        <v>15.5401316517382</v>
      </c>
      <c r="D620">
        <v>13</v>
      </c>
      <c r="G620">
        <v>79</v>
      </c>
      <c r="H620" t="s">
        <v>30</v>
      </c>
      <c r="I620">
        <v>81</v>
      </c>
      <c r="J620">
        <v>81</v>
      </c>
      <c r="K620">
        <v>9.1604938271604901</v>
      </c>
      <c r="L620">
        <v>16.0514056617309</v>
      </c>
      <c r="M620">
        <v>21.9212582027873</v>
      </c>
      <c r="N620">
        <v>109.462709878485</v>
      </c>
      <c r="O620">
        <v>0</v>
      </c>
      <c r="P620">
        <v>0</v>
      </c>
      <c r="Q620">
        <v>196.148144713504</v>
      </c>
      <c r="R620">
        <v>185.01361656399899</v>
      </c>
    </row>
    <row r="621" spans="1:18" x14ac:dyDescent="0.3">
      <c r="A621">
        <v>57</v>
      </c>
      <c r="B621" t="s">
        <v>5</v>
      </c>
      <c r="C621">
        <v>19.870537272701402</v>
      </c>
      <c r="D621">
        <v>13</v>
      </c>
      <c r="G621">
        <v>79</v>
      </c>
      <c r="H621" t="s">
        <v>31</v>
      </c>
      <c r="I621">
        <v>94</v>
      </c>
      <c r="J621">
        <v>94</v>
      </c>
      <c r="K621">
        <v>10.3829787234042</v>
      </c>
      <c r="L621">
        <v>17.325070463200301</v>
      </c>
      <c r="M621">
        <v>21.9212582027873</v>
      </c>
      <c r="N621">
        <v>121.979533758863</v>
      </c>
      <c r="O621">
        <v>0</v>
      </c>
      <c r="P621">
        <v>0</v>
      </c>
      <c r="Q621">
        <v>215.80895327790901</v>
      </c>
      <c r="R621">
        <v>206.71576752230899</v>
      </c>
    </row>
    <row r="622" spans="1:18" x14ac:dyDescent="0.3">
      <c r="A622">
        <v>57</v>
      </c>
      <c r="B622" t="s">
        <v>6</v>
      </c>
      <c r="C622">
        <v>65.071164258954596</v>
      </c>
      <c r="D622">
        <v>13</v>
      </c>
      <c r="G622">
        <v>79</v>
      </c>
      <c r="H622" t="s">
        <v>32</v>
      </c>
      <c r="I622">
        <v>84</v>
      </c>
      <c r="J622">
        <v>84</v>
      </c>
      <c r="K622">
        <v>10.25</v>
      </c>
      <c r="L622">
        <v>16.4461556273552</v>
      </c>
      <c r="M622">
        <v>21.9212582027873</v>
      </c>
      <c r="N622">
        <v>107.68355904166</v>
      </c>
      <c r="O622">
        <v>0</v>
      </c>
      <c r="P622">
        <v>0</v>
      </c>
      <c r="Q622">
        <v>195.20509250922501</v>
      </c>
      <c r="R622">
        <v>182.528348074262</v>
      </c>
    </row>
    <row r="623" spans="1:18" x14ac:dyDescent="0.3">
      <c r="A623">
        <v>57</v>
      </c>
      <c r="B623" t="s">
        <v>7</v>
      </c>
      <c r="C623">
        <v>66.108741691979702</v>
      </c>
      <c r="D623">
        <v>13</v>
      </c>
      <c r="G623">
        <v>79</v>
      </c>
      <c r="H623" t="s">
        <v>33</v>
      </c>
      <c r="I623">
        <v>82</v>
      </c>
      <c r="J623">
        <v>82</v>
      </c>
      <c r="K623">
        <v>9.1951219512195106</v>
      </c>
      <c r="L623">
        <v>16.6285787472873</v>
      </c>
      <c r="M623">
        <v>21.9212582027873</v>
      </c>
      <c r="N623">
        <v>110.62870750638</v>
      </c>
      <c r="O623">
        <v>0</v>
      </c>
      <c r="P623">
        <v>0</v>
      </c>
      <c r="Q623">
        <v>226.164188667205</v>
      </c>
      <c r="R623">
        <v>213.26992791906099</v>
      </c>
    </row>
    <row r="624" spans="1:18" x14ac:dyDescent="0.3">
      <c r="A624">
        <v>57</v>
      </c>
      <c r="B624" t="s">
        <v>8</v>
      </c>
      <c r="C624">
        <v>77.797377299142795</v>
      </c>
      <c r="D624">
        <v>9.4848484848484809</v>
      </c>
      <c r="G624">
        <v>79</v>
      </c>
      <c r="H624" t="s">
        <v>34</v>
      </c>
      <c r="I624">
        <v>88</v>
      </c>
      <c r="J624">
        <v>88</v>
      </c>
      <c r="K624">
        <v>10.3068181818181</v>
      </c>
      <c r="L624">
        <v>18.443584202368399</v>
      </c>
      <c r="M624">
        <v>21.9212582027873</v>
      </c>
      <c r="N624">
        <v>124.089987164766</v>
      </c>
      <c r="O624">
        <v>0</v>
      </c>
      <c r="P624">
        <v>0</v>
      </c>
      <c r="Q624">
        <v>230.11419383870401</v>
      </c>
      <c r="R624">
        <v>214.50190796680101</v>
      </c>
    </row>
    <row r="625" spans="1:18" x14ac:dyDescent="0.3">
      <c r="A625">
        <v>57</v>
      </c>
      <c r="B625" t="s">
        <v>9</v>
      </c>
      <c r="C625">
        <v>81.270036110119506</v>
      </c>
      <c r="D625">
        <v>14</v>
      </c>
      <c r="G625">
        <v>79</v>
      </c>
      <c r="H625" t="s">
        <v>35</v>
      </c>
      <c r="I625">
        <v>86</v>
      </c>
      <c r="J625">
        <v>86</v>
      </c>
      <c r="K625">
        <v>9.4418604651162799</v>
      </c>
      <c r="L625">
        <v>16.652472365468199</v>
      </c>
      <c r="M625">
        <v>21.9212582027873</v>
      </c>
      <c r="N625">
        <v>123.06580171666199</v>
      </c>
      <c r="O625">
        <v>0</v>
      </c>
      <c r="P625">
        <v>0</v>
      </c>
      <c r="Q625">
        <v>201.95113486474199</v>
      </c>
      <c r="R625">
        <v>191.07250738614599</v>
      </c>
    </row>
    <row r="626" spans="1:18" x14ac:dyDescent="0.3">
      <c r="A626">
        <v>57</v>
      </c>
      <c r="B626" t="s">
        <v>10</v>
      </c>
      <c r="C626">
        <v>117.580816817751</v>
      </c>
      <c r="D626">
        <v>14</v>
      </c>
      <c r="G626">
        <v>79</v>
      </c>
      <c r="H626" t="s">
        <v>36</v>
      </c>
      <c r="I626">
        <v>88</v>
      </c>
      <c r="J626">
        <v>88</v>
      </c>
      <c r="K626">
        <v>9.2613636363636296</v>
      </c>
      <c r="L626">
        <v>18.509381757349001</v>
      </c>
      <c r="M626">
        <v>21.9212582027873</v>
      </c>
      <c r="N626">
        <v>125.882062135472</v>
      </c>
      <c r="O626">
        <v>0</v>
      </c>
      <c r="P626">
        <v>0</v>
      </c>
      <c r="Q626">
        <v>235.13822118393401</v>
      </c>
      <c r="R626">
        <v>220.97569902215901</v>
      </c>
    </row>
    <row r="627" spans="1:18" x14ac:dyDescent="0.3">
      <c r="A627">
        <v>57</v>
      </c>
      <c r="B627" t="s">
        <v>11</v>
      </c>
      <c r="C627">
        <v>273.77723412159401</v>
      </c>
      <c r="D627">
        <v>0</v>
      </c>
      <c r="G627">
        <v>80</v>
      </c>
      <c r="H627" t="s">
        <v>25</v>
      </c>
      <c r="I627">
        <v>100</v>
      </c>
      <c r="J627">
        <v>100</v>
      </c>
      <c r="K627">
        <v>10.45</v>
      </c>
      <c r="L627">
        <v>19.2885083487663</v>
      </c>
      <c r="M627">
        <v>22.248684378181299</v>
      </c>
      <c r="N627">
        <v>137.51058481299401</v>
      </c>
      <c r="O627">
        <v>0</v>
      </c>
      <c r="P627">
        <v>0</v>
      </c>
      <c r="Q627">
        <v>236.76117591344899</v>
      </c>
      <c r="R627">
        <v>222.37715932989099</v>
      </c>
    </row>
    <row r="628" spans="1:18" x14ac:dyDescent="0.3">
      <c r="A628">
        <v>57</v>
      </c>
      <c r="B628" t="s">
        <v>12</v>
      </c>
      <c r="C628">
        <v>352.40542498315699</v>
      </c>
      <c r="D628">
        <v>0</v>
      </c>
      <c r="G628">
        <v>80</v>
      </c>
      <c r="H628" t="s">
        <v>26</v>
      </c>
      <c r="I628">
        <v>95</v>
      </c>
      <c r="J628">
        <v>95</v>
      </c>
      <c r="K628">
        <v>9.9789473684210499</v>
      </c>
      <c r="L628">
        <v>20.197010612685698</v>
      </c>
      <c r="M628">
        <v>22.248684378181299</v>
      </c>
      <c r="N628">
        <v>127.74888732683399</v>
      </c>
      <c r="O628">
        <v>0</v>
      </c>
      <c r="P628">
        <v>0</v>
      </c>
      <c r="Q628">
        <v>235.65658174724601</v>
      </c>
      <c r="R628">
        <v>218.025162662697</v>
      </c>
    </row>
    <row r="629" spans="1:18" x14ac:dyDescent="0.3">
      <c r="A629">
        <v>57</v>
      </c>
      <c r="B629" t="s">
        <v>13</v>
      </c>
      <c r="C629">
        <v>354.211756323842</v>
      </c>
      <c r="D629">
        <v>0</v>
      </c>
      <c r="G629">
        <v>80</v>
      </c>
      <c r="H629" t="s">
        <v>27</v>
      </c>
      <c r="I629">
        <v>104</v>
      </c>
      <c r="J629">
        <v>104</v>
      </c>
      <c r="K629">
        <v>10.682692307692299</v>
      </c>
      <c r="L629">
        <v>20.394910177322501</v>
      </c>
      <c r="M629">
        <v>22.248684378181299</v>
      </c>
      <c r="N629">
        <v>139.60183748551799</v>
      </c>
      <c r="O629">
        <v>0</v>
      </c>
      <c r="P629">
        <v>0</v>
      </c>
      <c r="Q629">
        <v>263.39657399835397</v>
      </c>
      <c r="R629">
        <v>248.114492050324</v>
      </c>
    </row>
    <row r="630" spans="1:18" x14ac:dyDescent="0.3">
      <c r="A630">
        <v>58</v>
      </c>
      <c r="B630" t="s">
        <v>3</v>
      </c>
      <c r="C630">
        <v>15.4986159367265</v>
      </c>
      <c r="D630">
        <v>13</v>
      </c>
      <c r="G630">
        <v>80</v>
      </c>
      <c r="H630" t="s">
        <v>28</v>
      </c>
      <c r="I630">
        <v>87</v>
      </c>
      <c r="J630">
        <v>87</v>
      </c>
      <c r="K630">
        <v>9.2183908045976999</v>
      </c>
      <c r="L630">
        <v>18.0799591892794</v>
      </c>
      <c r="M630">
        <v>22.248684378181299</v>
      </c>
      <c r="N630">
        <v>115.793766948094</v>
      </c>
      <c r="O630">
        <v>0</v>
      </c>
      <c r="P630">
        <v>0</v>
      </c>
      <c r="Q630">
        <v>217.83439531825499</v>
      </c>
      <c r="R630">
        <v>202.17248735688901</v>
      </c>
    </row>
    <row r="631" spans="1:18" x14ac:dyDescent="0.3">
      <c r="A631">
        <v>58</v>
      </c>
      <c r="B631" t="s">
        <v>4</v>
      </c>
      <c r="C631">
        <v>15.437669602271299</v>
      </c>
      <c r="D631">
        <v>13</v>
      </c>
      <c r="G631">
        <v>80</v>
      </c>
      <c r="H631" t="s">
        <v>29</v>
      </c>
      <c r="I631">
        <v>109</v>
      </c>
      <c r="J631">
        <v>109</v>
      </c>
      <c r="K631">
        <v>11.2385321100917</v>
      </c>
      <c r="L631">
        <v>20.2685357900267</v>
      </c>
      <c r="M631">
        <v>22.248684378181299</v>
      </c>
      <c r="N631">
        <v>146.077466803943</v>
      </c>
      <c r="O631">
        <v>0</v>
      </c>
      <c r="P631">
        <v>0</v>
      </c>
      <c r="Q631">
        <v>242.97133359965599</v>
      </c>
      <c r="R631">
        <v>231.217607970562</v>
      </c>
    </row>
    <row r="632" spans="1:18" x14ac:dyDescent="0.3">
      <c r="A632">
        <v>58</v>
      </c>
      <c r="B632" t="s">
        <v>5</v>
      </c>
      <c r="C632">
        <v>20.135392950451202</v>
      </c>
      <c r="D632">
        <v>13</v>
      </c>
      <c r="G632">
        <v>80</v>
      </c>
      <c r="H632" t="s">
        <v>30</v>
      </c>
      <c r="I632">
        <v>80</v>
      </c>
      <c r="J632">
        <v>80</v>
      </c>
      <c r="K632">
        <v>9.0875000000000004</v>
      </c>
      <c r="L632">
        <v>15.912609921610001</v>
      </c>
      <c r="M632">
        <v>22.248684378181299</v>
      </c>
      <c r="N632">
        <v>107.62334537692</v>
      </c>
      <c r="O632">
        <v>0</v>
      </c>
      <c r="P632">
        <v>0</v>
      </c>
      <c r="Q632">
        <v>191.199846353975</v>
      </c>
      <c r="R632">
        <v>179.32875383396299</v>
      </c>
    </row>
    <row r="633" spans="1:18" x14ac:dyDescent="0.3">
      <c r="A633">
        <v>58</v>
      </c>
      <c r="B633" t="s">
        <v>6</v>
      </c>
      <c r="C633">
        <v>64.595077314780696</v>
      </c>
      <c r="D633">
        <v>13</v>
      </c>
      <c r="G633">
        <v>80</v>
      </c>
      <c r="H633" t="s">
        <v>31</v>
      </c>
      <c r="I633">
        <v>83</v>
      </c>
      <c r="J633">
        <v>83</v>
      </c>
      <c r="K633">
        <v>10.1927710843373</v>
      </c>
      <c r="L633">
        <v>16.276397035065202</v>
      </c>
      <c r="M633">
        <v>22.248684378181299</v>
      </c>
      <c r="N633">
        <v>106.644470676157</v>
      </c>
      <c r="O633">
        <v>0</v>
      </c>
      <c r="P633">
        <v>0</v>
      </c>
      <c r="Q633">
        <v>206.125897371495</v>
      </c>
      <c r="R633">
        <v>193.64405492819401</v>
      </c>
    </row>
    <row r="634" spans="1:18" x14ac:dyDescent="0.3">
      <c r="A634">
        <v>58</v>
      </c>
      <c r="B634" t="s">
        <v>7</v>
      </c>
      <c r="C634">
        <v>66.008145120473202</v>
      </c>
      <c r="D634">
        <v>13</v>
      </c>
      <c r="G634">
        <v>80</v>
      </c>
      <c r="H634" t="s">
        <v>32</v>
      </c>
      <c r="I634">
        <v>94</v>
      </c>
      <c r="J634">
        <v>94</v>
      </c>
      <c r="K634">
        <v>10.3829787234042</v>
      </c>
      <c r="L634">
        <v>17.4254449631261</v>
      </c>
      <c r="M634">
        <v>22.248684378181299</v>
      </c>
      <c r="N634">
        <v>122.87496578555201</v>
      </c>
      <c r="O634">
        <v>0</v>
      </c>
      <c r="P634">
        <v>0</v>
      </c>
      <c r="Q634">
        <v>225.14925589097399</v>
      </c>
      <c r="R634">
        <v>215.17516055395399</v>
      </c>
    </row>
    <row r="635" spans="1:18" x14ac:dyDescent="0.3">
      <c r="A635">
        <v>58</v>
      </c>
      <c r="B635" t="s">
        <v>8</v>
      </c>
      <c r="C635">
        <v>78.444852783188907</v>
      </c>
      <c r="D635">
        <v>9.4848484848484809</v>
      </c>
      <c r="G635">
        <v>80</v>
      </c>
      <c r="H635" t="s">
        <v>33</v>
      </c>
      <c r="I635">
        <v>82</v>
      </c>
      <c r="J635">
        <v>82</v>
      </c>
      <c r="K635">
        <v>9.1951219512195106</v>
      </c>
      <c r="L635">
        <v>16.149528516892602</v>
      </c>
      <c r="M635">
        <v>22.248684378181299</v>
      </c>
      <c r="N635">
        <v>110.753002295169</v>
      </c>
      <c r="O635">
        <v>0</v>
      </c>
      <c r="P635">
        <v>0</v>
      </c>
      <c r="Q635">
        <v>201.213784949749</v>
      </c>
      <c r="R635">
        <v>187.83848542352601</v>
      </c>
    </row>
    <row r="636" spans="1:18" x14ac:dyDescent="0.3">
      <c r="A636">
        <v>58</v>
      </c>
      <c r="B636" t="s">
        <v>9</v>
      </c>
      <c r="C636">
        <v>80.540820214096698</v>
      </c>
      <c r="D636">
        <v>14</v>
      </c>
      <c r="G636">
        <v>80</v>
      </c>
      <c r="H636" t="s">
        <v>34</v>
      </c>
      <c r="I636">
        <v>80</v>
      </c>
      <c r="J636">
        <v>80</v>
      </c>
      <c r="K636">
        <v>9.1374999999999993</v>
      </c>
      <c r="L636">
        <v>15.7165356225722</v>
      </c>
      <c r="M636">
        <v>22.248684378181299</v>
      </c>
      <c r="N636">
        <v>107.841224345546</v>
      </c>
      <c r="O636">
        <v>0</v>
      </c>
      <c r="P636">
        <v>0</v>
      </c>
      <c r="Q636">
        <v>184.710669</v>
      </c>
      <c r="R636">
        <v>170.73016729099899</v>
      </c>
    </row>
    <row r="637" spans="1:18" x14ac:dyDescent="0.3">
      <c r="A637">
        <v>58</v>
      </c>
      <c r="B637" t="s">
        <v>10</v>
      </c>
      <c r="C637">
        <v>117.402964379493</v>
      </c>
      <c r="D637">
        <v>14</v>
      </c>
      <c r="G637">
        <v>80</v>
      </c>
      <c r="H637" t="s">
        <v>35</v>
      </c>
      <c r="I637">
        <v>86</v>
      </c>
      <c r="J637">
        <v>86</v>
      </c>
      <c r="K637">
        <v>9.4418604651162799</v>
      </c>
      <c r="L637">
        <v>17.029276313590501</v>
      </c>
      <c r="M637">
        <v>22.248684378181299</v>
      </c>
      <c r="N637">
        <v>122.816168133779</v>
      </c>
      <c r="O637">
        <v>0</v>
      </c>
      <c r="P637">
        <v>0</v>
      </c>
      <c r="Q637">
        <v>234.714752642143</v>
      </c>
      <c r="R637">
        <v>225.03446504698101</v>
      </c>
    </row>
    <row r="638" spans="1:18" x14ac:dyDescent="0.3">
      <c r="A638">
        <v>58</v>
      </c>
      <c r="B638" t="s">
        <v>11</v>
      </c>
      <c r="C638">
        <v>273.41986931685699</v>
      </c>
      <c r="D638">
        <v>0</v>
      </c>
      <c r="G638">
        <v>80</v>
      </c>
      <c r="H638" t="s">
        <v>36</v>
      </c>
      <c r="I638">
        <v>86</v>
      </c>
      <c r="J638">
        <v>86</v>
      </c>
      <c r="K638">
        <v>9.4418604651162799</v>
      </c>
      <c r="L638">
        <v>16.679257664043799</v>
      </c>
      <c r="M638">
        <v>22.248684378181299</v>
      </c>
      <c r="N638">
        <v>123.127448969459</v>
      </c>
      <c r="O638">
        <v>0</v>
      </c>
      <c r="P638">
        <v>0</v>
      </c>
      <c r="Q638">
        <v>222.24170448279699</v>
      </c>
      <c r="R638">
        <v>212.013232796968</v>
      </c>
    </row>
    <row r="639" spans="1:18" x14ac:dyDescent="0.3">
      <c r="A639">
        <v>58</v>
      </c>
      <c r="B639" t="s">
        <v>12</v>
      </c>
      <c r="C639">
        <v>352.817959484764</v>
      </c>
      <c r="D639">
        <v>0</v>
      </c>
      <c r="G639">
        <v>81</v>
      </c>
      <c r="H639" t="s">
        <v>25</v>
      </c>
      <c r="I639">
        <v>100</v>
      </c>
      <c r="J639">
        <v>100</v>
      </c>
      <c r="K639">
        <v>10.45</v>
      </c>
      <c r="L639">
        <v>19.2714967507282</v>
      </c>
      <c r="M639">
        <v>22.4235222125272</v>
      </c>
      <c r="N639">
        <v>136.920069405513</v>
      </c>
      <c r="O639">
        <v>0</v>
      </c>
      <c r="P639">
        <v>0</v>
      </c>
      <c r="Q639">
        <v>232.89581862614699</v>
      </c>
      <c r="R639">
        <v>218.83401319829801</v>
      </c>
    </row>
    <row r="640" spans="1:18" x14ac:dyDescent="0.3">
      <c r="A640">
        <v>58</v>
      </c>
      <c r="B640" t="s">
        <v>13</v>
      </c>
      <c r="C640">
        <v>353.027766465274</v>
      </c>
      <c r="D640">
        <v>0</v>
      </c>
      <c r="G640">
        <v>81</v>
      </c>
      <c r="H640" t="s">
        <v>26</v>
      </c>
      <c r="I640">
        <v>85</v>
      </c>
      <c r="J640">
        <v>85</v>
      </c>
      <c r="K640">
        <v>10.423529411764701</v>
      </c>
      <c r="L640">
        <v>17.7190287421314</v>
      </c>
      <c r="M640">
        <v>22.4235222125272</v>
      </c>
      <c r="N640">
        <v>113.21208379410901</v>
      </c>
      <c r="O640">
        <v>0</v>
      </c>
      <c r="P640">
        <v>0</v>
      </c>
      <c r="Q640">
        <v>204.421902082489</v>
      </c>
      <c r="R640">
        <v>190.49060837528299</v>
      </c>
    </row>
    <row r="641" spans="1:18" x14ac:dyDescent="0.3">
      <c r="A641">
        <v>59</v>
      </c>
      <c r="B641" t="s">
        <v>3</v>
      </c>
      <c r="C641">
        <v>15.547302974576301</v>
      </c>
      <c r="D641">
        <v>13</v>
      </c>
      <c r="G641">
        <v>81</v>
      </c>
      <c r="H641" t="s">
        <v>27</v>
      </c>
      <c r="I641">
        <v>104</v>
      </c>
      <c r="J641">
        <v>104</v>
      </c>
      <c r="K641">
        <v>10.682692307692299</v>
      </c>
      <c r="L641">
        <v>20.291202560648198</v>
      </c>
      <c r="M641">
        <v>22.4235222125272</v>
      </c>
      <c r="N641">
        <v>141.282306843035</v>
      </c>
      <c r="O641">
        <v>0</v>
      </c>
      <c r="P641">
        <v>0</v>
      </c>
      <c r="Q641">
        <v>266.91642616117798</v>
      </c>
      <c r="R641">
        <v>252.05977456723801</v>
      </c>
    </row>
    <row r="642" spans="1:18" x14ac:dyDescent="0.3">
      <c r="A642">
        <v>59</v>
      </c>
      <c r="B642" t="s">
        <v>4</v>
      </c>
      <c r="C642">
        <v>15.635620712443799</v>
      </c>
      <c r="D642">
        <v>13</v>
      </c>
      <c r="G642">
        <v>81</v>
      </c>
      <c r="H642" t="s">
        <v>28</v>
      </c>
      <c r="I642">
        <v>89</v>
      </c>
      <c r="J642">
        <v>89</v>
      </c>
      <c r="K642">
        <v>9.1910112359550507</v>
      </c>
      <c r="L642">
        <v>18.251693792815701</v>
      </c>
      <c r="M642">
        <v>22.4235222125272</v>
      </c>
      <c r="N642">
        <v>117.94354370405399</v>
      </c>
      <c r="O642">
        <v>0</v>
      </c>
      <c r="P642">
        <v>0</v>
      </c>
      <c r="Q642">
        <v>212.84250061322501</v>
      </c>
      <c r="R642">
        <v>197.171756003685</v>
      </c>
    </row>
    <row r="643" spans="1:18" x14ac:dyDescent="0.3">
      <c r="A643">
        <v>59</v>
      </c>
      <c r="B643" t="s">
        <v>5</v>
      </c>
      <c r="C643">
        <v>20.002968646799101</v>
      </c>
      <c r="D643">
        <v>13</v>
      </c>
      <c r="G643">
        <v>81</v>
      </c>
      <c r="H643" t="s">
        <v>29</v>
      </c>
      <c r="I643">
        <v>110</v>
      </c>
      <c r="J643">
        <v>110</v>
      </c>
      <c r="K643">
        <v>11.272727272727201</v>
      </c>
      <c r="L643">
        <v>20.291617100949399</v>
      </c>
      <c r="M643">
        <v>22.4235222125272</v>
      </c>
      <c r="N643">
        <v>147.43650596002399</v>
      </c>
      <c r="O643">
        <v>0</v>
      </c>
      <c r="P643">
        <v>0</v>
      </c>
      <c r="Q643">
        <v>243.95014118873999</v>
      </c>
      <c r="R643">
        <v>232.158132138876</v>
      </c>
    </row>
    <row r="644" spans="1:18" x14ac:dyDescent="0.3">
      <c r="A644">
        <v>59</v>
      </c>
      <c r="B644" t="s">
        <v>6</v>
      </c>
      <c r="C644">
        <v>65.291013506981002</v>
      </c>
      <c r="D644">
        <v>13</v>
      </c>
      <c r="G644">
        <v>81</v>
      </c>
      <c r="H644" t="s">
        <v>30</v>
      </c>
      <c r="I644">
        <v>78</v>
      </c>
      <c r="J644">
        <v>78</v>
      </c>
      <c r="K644">
        <v>8.9358974358974308</v>
      </c>
      <c r="L644">
        <v>15.789255462402901</v>
      </c>
      <c r="M644">
        <v>22.4235222125272</v>
      </c>
      <c r="N644">
        <v>105.150241991154</v>
      </c>
      <c r="O644">
        <v>0</v>
      </c>
      <c r="P644">
        <v>0</v>
      </c>
      <c r="Q644">
        <v>189.55219795707899</v>
      </c>
      <c r="R644">
        <v>177.68593180196601</v>
      </c>
    </row>
    <row r="645" spans="1:18" x14ac:dyDescent="0.3">
      <c r="A645">
        <v>59</v>
      </c>
      <c r="B645" t="s">
        <v>7</v>
      </c>
      <c r="C645">
        <v>65.639196729335197</v>
      </c>
      <c r="D645">
        <v>13</v>
      </c>
      <c r="G645">
        <v>81</v>
      </c>
      <c r="H645" t="s">
        <v>31</v>
      </c>
      <c r="I645">
        <v>92</v>
      </c>
      <c r="J645">
        <v>92</v>
      </c>
      <c r="K645">
        <v>10.173913043478199</v>
      </c>
      <c r="L645">
        <v>17.3987971582592</v>
      </c>
      <c r="M645">
        <v>22.4235222125272</v>
      </c>
      <c r="N645">
        <v>120.630538945243</v>
      </c>
      <c r="O645">
        <v>0</v>
      </c>
      <c r="P645">
        <v>0</v>
      </c>
      <c r="Q645">
        <v>235.51780429652999</v>
      </c>
      <c r="R645">
        <v>224.993237467098</v>
      </c>
    </row>
    <row r="646" spans="1:18" x14ac:dyDescent="0.3">
      <c r="A646">
        <v>59</v>
      </c>
      <c r="B646" t="s">
        <v>8</v>
      </c>
      <c r="C646">
        <v>79.648902240939094</v>
      </c>
      <c r="D646">
        <v>8.4324324324324298</v>
      </c>
      <c r="G646">
        <v>81</v>
      </c>
      <c r="H646" t="s">
        <v>32</v>
      </c>
      <c r="I646">
        <v>93</v>
      </c>
      <c r="J646">
        <v>93</v>
      </c>
      <c r="K646">
        <v>10.3333333333333</v>
      </c>
      <c r="L646">
        <v>17.038393379575801</v>
      </c>
      <c r="M646">
        <v>22.4235222125272</v>
      </c>
      <c r="N646">
        <v>122.50692821831601</v>
      </c>
      <c r="O646">
        <v>0</v>
      </c>
      <c r="P646">
        <v>0</v>
      </c>
      <c r="Q646">
        <v>205.81453163931499</v>
      </c>
      <c r="R646">
        <v>195.47119618161699</v>
      </c>
    </row>
    <row r="647" spans="1:18" x14ac:dyDescent="0.3">
      <c r="A647">
        <v>59</v>
      </c>
      <c r="B647" t="s">
        <v>9</v>
      </c>
      <c r="C647">
        <v>81.260158289074695</v>
      </c>
      <c r="D647">
        <v>13.972972972972901</v>
      </c>
      <c r="G647">
        <v>81</v>
      </c>
      <c r="H647" t="s">
        <v>33</v>
      </c>
      <c r="I647">
        <v>82</v>
      </c>
      <c r="J647">
        <v>82</v>
      </c>
      <c r="K647">
        <v>9.1951219512195106</v>
      </c>
      <c r="L647">
        <v>16.049507073927298</v>
      </c>
      <c r="M647">
        <v>22.4235222125272</v>
      </c>
      <c r="N647">
        <v>111.51864633815499</v>
      </c>
      <c r="O647">
        <v>0</v>
      </c>
      <c r="P647">
        <v>0</v>
      </c>
      <c r="Q647">
        <v>194.40867450922499</v>
      </c>
      <c r="R647">
        <v>182.303005175262</v>
      </c>
    </row>
    <row r="648" spans="1:18" x14ac:dyDescent="0.3">
      <c r="A648">
        <v>59</v>
      </c>
      <c r="B648" t="s">
        <v>10</v>
      </c>
      <c r="C648">
        <v>117.244654477861</v>
      </c>
      <c r="D648">
        <v>14</v>
      </c>
      <c r="G648">
        <v>81</v>
      </c>
      <c r="H648" t="s">
        <v>34</v>
      </c>
      <c r="I648">
        <v>88</v>
      </c>
      <c r="J648">
        <v>88</v>
      </c>
      <c r="K648">
        <v>10.125</v>
      </c>
      <c r="L648">
        <v>18.529714117581701</v>
      </c>
      <c r="M648">
        <v>22.4235222125272</v>
      </c>
      <c r="N648">
        <v>119.352885807131</v>
      </c>
      <c r="O648">
        <v>0</v>
      </c>
      <c r="P648">
        <v>0</v>
      </c>
      <c r="Q648">
        <v>241.06104341548399</v>
      </c>
      <c r="R648">
        <v>225.06700630598999</v>
      </c>
    </row>
    <row r="649" spans="1:18" x14ac:dyDescent="0.3">
      <c r="A649">
        <v>59</v>
      </c>
      <c r="B649" t="s">
        <v>11</v>
      </c>
      <c r="C649">
        <v>274.14131274047497</v>
      </c>
      <c r="D649">
        <v>0</v>
      </c>
      <c r="G649">
        <v>81</v>
      </c>
      <c r="H649" t="s">
        <v>35</v>
      </c>
      <c r="I649">
        <v>85</v>
      </c>
      <c r="J649">
        <v>85</v>
      </c>
      <c r="K649">
        <v>9.3647058823529399</v>
      </c>
      <c r="L649">
        <v>16.754210264029499</v>
      </c>
      <c r="M649">
        <v>22.4235222125272</v>
      </c>
      <c r="N649">
        <v>122.079334843867</v>
      </c>
      <c r="O649">
        <v>0</v>
      </c>
      <c r="P649">
        <v>0</v>
      </c>
      <c r="Q649">
        <v>219.946110531947</v>
      </c>
      <c r="R649">
        <v>210.31248592020799</v>
      </c>
    </row>
    <row r="650" spans="1:18" x14ac:dyDescent="0.3">
      <c r="A650">
        <v>59</v>
      </c>
      <c r="B650" t="s">
        <v>12</v>
      </c>
      <c r="C650">
        <v>353.35661366745001</v>
      </c>
      <c r="D650">
        <v>0</v>
      </c>
      <c r="G650">
        <v>81</v>
      </c>
      <c r="H650" t="s">
        <v>36</v>
      </c>
      <c r="I650">
        <v>86</v>
      </c>
      <c r="J650">
        <v>86</v>
      </c>
      <c r="K650">
        <v>9.4418604651162799</v>
      </c>
      <c r="L650">
        <v>17.094382678572899</v>
      </c>
      <c r="M650">
        <v>22.4235222125272</v>
      </c>
      <c r="N650">
        <v>121.91938017619</v>
      </c>
      <c r="O650">
        <v>0</v>
      </c>
      <c r="P650">
        <v>0</v>
      </c>
      <c r="Q650">
        <v>230.19714992218201</v>
      </c>
      <c r="R650">
        <v>219.701280389956</v>
      </c>
    </row>
    <row r="651" spans="1:18" x14ac:dyDescent="0.3">
      <c r="A651">
        <v>59</v>
      </c>
      <c r="B651" t="s">
        <v>13</v>
      </c>
      <c r="C651">
        <v>353.87757388920397</v>
      </c>
      <c r="D651">
        <v>0</v>
      </c>
    </row>
    <row r="652" spans="1:18" x14ac:dyDescent="0.3">
      <c r="A652">
        <v>60</v>
      </c>
      <c r="B652" t="s">
        <v>3</v>
      </c>
      <c r="C652">
        <v>15.597478834823001</v>
      </c>
      <c r="D652">
        <v>13</v>
      </c>
    </row>
    <row r="653" spans="1:18" x14ac:dyDescent="0.3">
      <c r="A653">
        <v>60</v>
      </c>
      <c r="B653" t="s">
        <v>4</v>
      </c>
      <c r="C653">
        <v>15.490921159175601</v>
      </c>
      <c r="D653">
        <v>13</v>
      </c>
    </row>
    <row r="654" spans="1:18" x14ac:dyDescent="0.3">
      <c r="A654">
        <v>60</v>
      </c>
      <c r="B654" t="s">
        <v>5</v>
      </c>
      <c r="C654">
        <v>19.7016804477887</v>
      </c>
      <c r="D654">
        <v>13</v>
      </c>
    </row>
    <row r="655" spans="1:18" x14ac:dyDescent="0.3">
      <c r="A655">
        <v>60</v>
      </c>
      <c r="B655" t="s">
        <v>6</v>
      </c>
      <c r="C655">
        <v>64.0913679908668</v>
      </c>
      <c r="D655">
        <v>13</v>
      </c>
    </row>
    <row r="656" spans="1:18" x14ac:dyDescent="0.3">
      <c r="A656">
        <v>60</v>
      </c>
      <c r="B656" t="s">
        <v>7</v>
      </c>
      <c r="C656">
        <v>65.517404471117104</v>
      </c>
      <c r="D656">
        <v>13</v>
      </c>
    </row>
    <row r="657" spans="1:4" x14ac:dyDescent="0.3">
      <c r="A657">
        <v>60</v>
      </c>
      <c r="B657" t="s">
        <v>8</v>
      </c>
      <c r="C657">
        <v>78.542417926084198</v>
      </c>
      <c r="D657">
        <v>9.4848484848484809</v>
      </c>
    </row>
    <row r="658" spans="1:4" x14ac:dyDescent="0.3">
      <c r="A658">
        <v>60</v>
      </c>
      <c r="B658" t="s">
        <v>9</v>
      </c>
      <c r="C658">
        <v>80.8559644942722</v>
      </c>
      <c r="D658">
        <v>14</v>
      </c>
    </row>
    <row r="659" spans="1:4" x14ac:dyDescent="0.3">
      <c r="A659">
        <v>60</v>
      </c>
      <c r="B659" t="s">
        <v>10</v>
      </c>
      <c r="C659">
        <v>117.97360682600601</v>
      </c>
      <c r="D659">
        <v>14</v>
      </c>
    </row>
    <row r="660" spans="1:4" x14ac:dyDescent="0.3">
      <c r="A660">
        <v>60</v>
      </c>
      <c r="B660" t="s">
        <v>11</v>
      </c>
      <c r="C660">
        <v>274.671634947212</v>
      </c>
      <c r="D660">
        <v>0</v>
      </c>
    </row>
    <row r="661" spans="1:4" x14ac:dyDescent="0.3">
      <c r="A661">
        <v>60</v>
      </c>
      <c r="B661" t="s">
        <v>12</v>
      </c>
      <c r="C661">
        <v>352.44818532430298</v>
      </c>
      <c r="D661">
        <v>0</v>
      </c>
    </row>
    <row r="662" spans="1:4" x14ac:dyDescent="0.3">
      <c r="A662">
        <v>60</v>
      </c>
      <c r="B662" t="s">
        <v>13</v>
      </c>
      <c r="C662">
        <v>355.07765529192602</v>
      </c>
      <c r="D662">
        <v>0</v>
      </c>
    </row>
    <row r="663" spans="1:4" x14ac:dyDescent="0.3">
      <c r="A663">
        <v>61</v>
      </c>
      <c r="B663" t="s">
        <v>3</v>
      </c>
      <c r="C663">
        <v>15.405934961127601</v>
      </c>
      <c r="D663">
        <v>13</v>
      </c>
    </row>
    <row r="664" spans="1:4" x14ac:dyDescent="0.3">
      <c r="A664">
        <v>61</v>
      </c>
      <c r="B664" t="s">
        <v>4</v>
      </c>
      <c r="C664">
        <v>14.9177744446411</v>
      </c>
      <c r="D664">
        <v>13</v>
      </c>
    </row>
    <row r="665" spans="1:4" x14ac:dyDescent="0.3">
      <c r="A665">
        <v>61</v>
      </c>
      <c r="B665" t="s">
        <v>5</v>
      </c>
      <c r="C665">
        <v>19.586647117652799</v>
      </c>
      <c r="D665">
        <v>13</v>
      </c>
    </row>
    <row r="666" spans="1:4" x14ac:dyDescent="0.3">
      <c r="A666">
        <v>61</v>
      </c>
      <c r="B666" t="s">
        <v>6</v>
      </c>
      <c r="C666">
        <v>64.958046461091399</v>
      </c>
      <c r="D666">
        <v>13</v>
      </c>
    </row>
    <row r="667" spans="1:4" x14ac:dyDescent="0.3">
      <c r="A667">
        <v>61</v>
      </c>
      <c r="B667" t="s">
        <v>7</v>
      </c>
      <c r="C667">
        <v>65.167587695635504</v>
      </c>
      <c r="D667">
        <v>13</v>
      </c>
    </row>
    <row r="668" spans="1:4" x14ac:dyDescent="0.3">
      <c r="A668">
        <v>61</v>
      </c>
      <c r="B668" t="s">
        <v>8</v>
      </c>
      <c r="C668">
        <v>79.155793770607204</v>
      </c>
      <c r="D668">
        <v>13</v>
      </c>
    </row>
    <row r="669" spans="1:4" x14ac:dyDescent="0.3">
      <c r="A669">
        <v>61</v>
      </c>
      <c r="B669" t="s">
        <v>9</v>
      </c>
      <c r="C669">
        <v>81.291690460590502</v>
      </c>
      <c r="D669">
        <v>13</v>
      </c>
    </row>
    <row r="670" spans="1:4" x14ac:dyDescent="0.3">
      <c r="A670">
        <v>61</v>
      </c>
      <c r="B670" t="s">
        <v>10</v>
      </c>
      <c r="C670">
        <v>117.579661508828</v>
      </c>
      <c r="D670">
        <v>13</v>
      </c>
    </row>
    <row r="671" spans="1:4" x14ac:dyDescent="0.3">
      <c r="A671">
        <v>61</v>
      </c>
      <c r="B671" t="s">
        <v>11</v>
      </c>
      <c r="C671">
        <v>273.830916931665</v>
      </c>
      <c r="D671">
        <v>12.695906432748499</v>
      </c>
    </row>
    <row r="672" spans="1:4" x14ac:dyDescent="0.3">
      <c r="A672">
        <v>61</v>
      </c>
      <c r="B672" t="s">
        <v>12</v>
      </c>
      <c r="C672">
        <v>353.48932635169598</v>
      </c>
      <c r="D672">
        <v>13.716279069767401</v>
      </c>
    </row>
    <row r="673" spans="1:4" x14ac:dyDescent="0.3">
      <c r="A673">
        <v>61</v>
      </c>
      <c r="B673" t="s">
        <v>13</v>
      </c>
      <c r="C673">
        <v>354.34201614558799</v>
      </c>
      <c r="D673">
        <v>14</v>
      </c>
    </row>
    <row r="674" spans="1:4" x14ac:dyDescent="0.3">
      <c r="A674">
        <v>62</v>
      </c>
      <c r="B674" t="s">
        <v>3</v>
      </c>
      <c r="C674">
        <v>15.4845742383421</v>
      </c>
      <c r="D674">
        <v>13</v>
      </c>
    </row>
    <row r="675" spans="1:4" x14ac:dyDescent="0.3">
      <c r="A675">
        <v>62</v>
      </c>
      <c r="B675" t="s">
        <v>4</v>
      </c>
      <c r="C675">
        <v>15.755083738066</v>
      </c>
      <c r="D675">
        <v>13</v>
      </c>
    </row>
    <row r="676" spans="1:4" x14ac:dyDescent="0.3">
      <c r="A676">
        <v>62</v>
      </c>
      <c r="B676" t="s">
        <v>5</v>
      </c>
      <c r="C676">
        <v>20.028673060476301</v>
      </c>
      <c r="D676">
        <v>13</v>
      </c>
    </row>
    <row r="677" spans="1:4" x14ac:dyDescent="0.3">
      <c r="A677">
        <v>62</v>
      </c>
      <c r="B677" t="s">
        <v>6</v>
      </c>
      <c r="C677">
        <v>65.574755367483903</v>
      </c>
      <c r="D677">
        <v>13</v>
      </c>
    </row>
    <row r="678" spans="1:4" x14ac:dyDescent="0.3">
      <c r="A678">
        <v>62</v>
      </c>
      <c r="B678" t="s">
        <v>7</v>
      </c>
      <c r="C678">
        <v>65.951287309005394</v>
      </c>
      <c r="D678">
        <v>11.1428571428571</v>
      </c>
    </row>
    <row r="679" spans="1:4" x14ac:dyDescent="0.3">
      <c r="A679">
        <v>62</v>
      </c>
      <c r="B679" t="s">
        <v>8</v>
      </c>
      <c r="C679">
        <v>79.674490816065003</v>
      </c>
      <c r="D679">
        <v>11.9125</v>
      </c>
    </row>
    <row r="680" spans="1:4" x14ac:dyDescent="0.3">
      <c r="A680">
        <v>62</v>
      </c>
      <c r="B680" t="s">
        <v>9</v>
      </c>
      <c r="C680">
        <v>81.7007928644841</v>
      </c>
      <c r="D680">
        <v>14</v>
      </c>
    </row>
    <row r="681" spans="1:4" x14ac:dyDescent="0.3">
      <c r="A681">
        <v>62</v>
      </c>
      <c r="B681" t="s">
        <v>10</v>
      </c>
      <c r="C681">
        <v>116.552572294962</v>
      </c>
      <c r="D681">
        <v>14</v>
      </c>
    </row>
    <row r="682" spans="1:4" x14ac:dyDescent="0.3">
      <c r="A682">
        <v>62</v>
      </c>
      <c r="B682" t="s">
        <v>11</v>
      </c>
      <c r="C682">
        <v>274.10860209627299</v>
      </c>
      <c r="D682">
        <v>0</v>
      </c>
    </row>
    <row r="683" spans="1:4" x14ac:dyDescent="0.3">
      <c r="A683">
        <v>62</v>
      </c>
      <c r="B683" t="s">
        <v>12</v>
      </c>
      <c r="C683">
        <v>351.95038902029</v>
      </c>
      <c r="D683">
        <v>0</v>
      </c>
    </row>
    <row r="684" spans="1:4" x14ac:dyDescent="0.3">
      <c r="A684">
        <v>62</v>
      </c>
      <c r="B684" t="s">
        <v>13</v>
      </c>
      <c r="C684">
        <v>354.490535053614</v>
      </c>
      <c r="D684">
        <v>0</v>
      </c>
    </row>
    <row r="685" spans="1:4" x14ac:dyDescent="0.3">
      <c r="A685">
        <v>63</v>
      </c>
      <c r="B685" t="s">
        <v>3</v>
      </c>
      <c r="C685">
        <v>15.2768149513903</v>
      </c>
      <c r="D685">
        <v>13</v>
      </c>
    </row>
    <row r="686" spans="1:4" x14ac:dyDescent="0.3">
      <c r="A686">
        <v>63</v>
      </c>
      <c r="B686" t="s">
        <v>4</v>
      </c>
      <c r="C686">
        <v>15.207211657053801</v>
      </c>
      <c r="D686">
        <v>13</v>
      </c>
    </row>
    <row r="687" spans="1:4" x14ac:dyDescent="0.3">
      <c r="A687">
        <v>63</v>
      </c>
      <c r="B687" t="s">
        <v>5</v>
      </c>
      <c r="C687">
        <v>19.840056889124799</v>
      </c>
      <c r="D687">
        <v>13</v>
      </c>
    </row>
    <row r="688" spans="1:4" x14ac:dyDescent="0.3">
      <c r="A688">
        <v>63</v>
      </c>
      <c r="B688" t="s">
        <v>6</v>
      </c>
      <c r="C688">
        <v>65.755184519913399</v>
      </c>
      <c r="D688">
        <v>13</v>
      </c>
    </row>
    <row r="689" spans="1:4" x14ac:dyDescent="0.3">
      <c r="A689">
        <v>63</v>
      </c>
      <c r="B689" t="s">
        <v>7</v>
      </c>
      <c r="C689">
        <v>65.061036630480899</v>
      </c>
      <c r="D689">
        <v>13</v>
      </c>
    </row>
    <row r="690" spans="1:4" x14ac:dyDescent="0.3">
      <c r="A690">
        <v>63</v>
      </c>
      <c r="B690" t="s">
        <v>8</v>
      </c>
      <c r="C690">
        <v>78.610271407445197</v>
      </c>
      <c r="D690">
        <v>9.4848484848484809</v>
      </c>
    </row>
    <row r="691" spans="1:4" x14ac:dyDescent="0.3">
      <c r="A691">
        <v>63</v>
      </c>
      <c r="B691" t="s">
        <v>9</v>
      </c>
      <c r="C691">
        <v>80.305468896321301</v>
      </c>
      <c r="D691">
        <v>14</v>
      </c>
    </row>
    <row r="692" spans="1:4" x14ac:dyDescent="0.3">
      <c r="A692">
        <v>63</v>
      </c>
      <c r="B692" t="s">
        <v>10</v>
      </c>
      <c r="C692">
        <v>116.966392700011</v>
      </c>
      <c r="D692">
        <v>14</v>
      </c>
    </row>
    <row r="693" spans="1:4" x14ac:dyDescent="0.3">
      <c r="A693">
        <v>63</v>
      </c>
      <c r="B693" t="s">
        <v>11</v>
      </c>
      <c r="C693">
        <v>273.06983196051999</v>
      </c>
      <c r="D693">
        <v>0</v>
      </c>
    </row>
    <row r="694" spans="1:4" x14ac:dyDescent="0.3">
      <c r="A694">
        <v>63</v>
      </c>
      <c r="B694" t="s">
        <v>12</v>
      </c>
      <c r="C694">
        <v>351.16630074330197</v>
      </c>
      <c r="D694">
        <v>0</v>
      </c>
    </row>
    <row r="695" spans="1:4" x14ac:dyDescent="0.3">
      <c r="A695">
        <v>63</v>
      </c>
      <c r="B695" t="s">
        <v>13</v>
      </c>
      <c r="C695">
        <v>353.87553546537799</v>
      </c>
      <c r="D695">
        <v>0</v>
      </c>
    </row>
    <row r="696" spans="1:4" x14ac:dyDescent="0.3">
      <c r="A696">
        <v>64</v>
      </c>
      <c r="B696" t="s">
        <v>3</v>
      </c>
      <c r="C696">
        <v>15.432777099967399</v>
      </c>
      <c r="D696">
        <v>13</v>
      </c>
    </row>
    <row r="697" spans="1:4" x14ac:dyDescent="0.3">
      <c r="A697">
        <v>64</v>
      </c>
      <c r="B697" t="s">
        <v>4</v>
      </c>
      <c r="C697">
        <v>14.9023521953683</v>
      </c>
      <c r="D697">
        <v>13</v>
      </c>
    </row>
    <row r="698" spans="1:4" x14ac:dyDescent="0.3">
      <c r="A698">
        <v>64</v>
      </c>
      <c r="B698" t="s">
        <v>5</v>
      </c>
      <c r="C698">
        <v>20.0477461791696</v>
      </c>
      <c r="D698">
        <v>13</v>
      </c>
    </row>
    <row r="699" spans="1:4" x14ac:dyDescent="0.3">
      <c r="A699">
        <v>64</v>
      </c>
      <c r="B699" t="s">
        <v>6</v>
      </c>
      <c r="C699">
        <v>65.234612104474394</v>
      </c>
      <c r="D699">
        <v>13</v>
      </c>
    </row>
    <row r="700" spans="1:4" x14ac:dyDescent="0.3">
      <c r="A700">
        <v>64</v>
      </c>
      <c r="B700" t="s">
        <v>7</v>
      </c>
      <c r="C700">
        <v>65.696493374341202</v>
      </c>
      <c r="D700">
        <v>13</v>
      </c>
    </row>
    <row r="701" spans="1:4" x14ac:dyDescent="0.3">
      <c r="A701">
        <v>64</v>
      </c>
      <c r="B701" t="s">
        <v>8</v>
      </c>
      <c r="C701">
        <v>80.315997060076697</v>
      </c>
      <c r="D701">
        <v>13</v>
      </c>
    </row>
    <row r="702" spans="1:4" x14ac:dyDescent="0.3">
      <c r="A702">
        <v>64</v>
      </c>
      <c r="B702" t="s">
        <v>9</v>
      </c>
      <c r="C702">
        <v>80.545871088796403</v>
      </c>
      <c r="D702">
        <v>13</v>
      </c>
    </row>
    <row r="703" spans="1:4" x14ac:dyDescent="0.3">
      <c r="A703">
        <v>64</v>
      </c>
      <c r="B703" t="s">
        <v>10</v>
      </c>
      <c r="C703">
        <v>116.648541091053</v>
      </c>
      <c r="D703">
        <v>10.687022900763299</v>
      </c>
    </row>
    <row r="704" spans="1:4" x14ac:dyDescent="0.3">
      <c r="A704">
        <v>64</v>
      </c>
      <c r="B704" t="s">
        <v>11</v>
      </c>
      <c r="C704">
        <v>274.44910813376401</v>
      </c>
      <c r="D704">
        <v>13.874251497005901</v>
      </c>
    </row>
    <row r="705" spans="1:4" x14ac:dyDescent="0.3">
      <c r="A705">
        <v>64</v>
      </c>
      <c r="B705" t="s">
        <v>12</v>
      </c>
      <c r="C705">
        <v>354.02018853578898</v>
      </c>
      <c r="D705">
        <v>14</v>
      </c>
    </row>
    <row r="706" spans="1:4" x14ac:dyDescent="0.3">
      <c r="A706">
        <v>64</v>
      </c>
      <c r="B706" t="s">
        <v>13</v>
      </c>
      <c r="C706">
        <v>354.98005919986798</v>
      </c>
      <c r="D706">
        <v>0</v>
      </c>
    </row>
    <row r="707" spans="1:4" x14ac:dyDescent="0.3">
      <c r="A707">
        <v>65</v>
      </c>
      <c r="B707" t="s">
        <v>3</v>
      </c>
      <c r="C707">
        <v>15.1787348859483</v>
      </c>
      <c r="D707">
        <v>13</v>
      </c>
    </row>
    <row r="708" spans="1:4" x14ac:dyDescent="0.3">
      <c r="A708">
        <v>65</v>
      </c>
      <c r="B708" t="s">
        <v>4</v>
      </c>
      <c r="C708">
        <v>15.4835531826358</v>
      </c>
      <c r="D708">
        <v>13</v>
      </c>
    </row>
    <row r="709" spans="1:4" x14ac:dyDescent="0.3">
      <c r="A709">
        <v>65</v>
      </c>
      <c r="B709" t="s">
        <v>5</v>
      </c>
      <c r="C709">
        <v>19.675257359633001</v>
      </c>
      <c r="D709">
        <v>13</v>
      </c>
    </row>
    <row r="710" spans="1:4" x14ac:dyDescent="0.3">
      <c r="A710">
        <v>65</v>
      </c>
      <c r="B710" t="s">
        <v>6</v>
      </c>
      <c r="C710">
        <v>64.593022400165097</v>
      </c>
      <c r="D710">
        <v>13</v>
      </c>
    </row>
    <row r="711" spans="1:4" x14ac:dyDescent="0.3">
      <c r="A711">
        <v>65</v>
      </c>
      <c r="B711" t="s">
        <v>7</v>
      </c>
      <c r="C711">
        <v>65.873622048156804</v>
      </c>
      <c r="D711">
        <v>13</v>
      </c>
    </row>
    <row r="712" spans="1:4" x14ac:dyDescent="0.3">
      <c r="A712">
        <v>65</v>
      </c>
      <c r="B712" t="s">
        <v>8</v>
      </c>
      <c r="C712">
        <v>79.344364171784093</v>
      </c>
      <c r="D712">
        <v>13</v>
      </c>
    </row>
    <row r="713" spans="1:4" x14ac:dyDescent="0.3">
      <c r="A713">
        <v>65</v>
      </c>
      <c r="B713" t="s">
        <v>9</v>
      </c>
      <c r="C713">
        <v>81.308463636493599</v>
      </c>
      <c r="D713">
        <v>13</v>
      </c>
    </row>
    <row r="714" spans="1:4" x14ac:dyDescent="0.3">
      <c r="A714">
        <v>65</v>
      </c>
      <c r="B714" t="s">
        <v>10</v>
      </c>
      <c r="C714">
        <v>117.487080565635</v>
      </c>
      <c r="D714">
        <v>9.8652482269503494</v>
      </c>
    </row>
    <row r="715" spans="1:4" x14ac:dyDescent="0.3">
      <c r="A715">
        <v>65</v>
      </c>
      <c r="B715" t="s">
        <v>11</v>
      </c>
      <c r="C715">
        <v>273.61361800959799</v>
      </c>
      <c r="D715">
        <v>13.694610778443099</v>
      </c>
    </row>
    <row r="716" spans="1:4" x14ac:dyDescent="0.3">
      <c r="A716">
        <v>65</v>
      </c>
      <c r="B716" t="s">
        <v>12</v>
      </c>
      <c r="C716">
        <v>354.02575367228502</v>
      </c>
      <c r="D716">
        <v>14</v>
      </c>
    </row>
    <row r="717" spans="1:4" x14ac:dyDescent="0.3">
      <c r="A717">
        <v>65</v>
      </c>
      <c r="B717" t="s">
        <v>13</v>
      </c>
      <c r="C717">
        <v>351.68075291706998</v>
      </c>
      <c r="D717">
        <v>0</v>
      </c>
    </row>
    <row r="718" spans="1:4" x14ac:dyDescent="0.3">
      <c r="A718">
        <v>66</v>
      </c>
      <c r="B718" t="s">
        <v>3</v>
      </c>
      <c r="C718">
        <v>15.4891685055909</v>
      </c>
      <c r="D718">
        <v>13</v>
      </c>
    </row>
    <row r="719" spans="1:4" x14ac:dyDescent="0.3">
      <c r="A719">
        <v>66</v>
      </c>
      <c r="B719" t="s">
        <v>4</v>
      </c>
      <c r="C719">
        <v>15.5158203536123</v>
      </c>
      <c r="D719">
        <v>13</v>
      </c>
    </row>
    <row r="720" spans="1:4" x14ac:dyDescent="0.3">
      <c r="A720">
        <v>66</v>
      </c>
      <c r="B720" t="s">
        <v>5</v>
      </c>
      <c r="C720">
        <v>19.8792582760885</v>
      </c>
      <c r="D720">
        <v>13</v>
      </c>
    </row>
    <row r="721" spans="1:4" x14ac:dyDescent="0.3">
      <c r="A721">
        <v>66</v>
      </c>
      <c r="B721" t="s">
        <v>6</v>
      </c>
      <c r="C721">
        <v>64.494593544786397</v>
      </c>
      <c r="D721">
        <v>13</v>
      </c>
    </row>
    <row r="722" spans="1:4" x14ac:dyDescent="0.3">
      <c r="A722">
        <v>66</v>
      </c>
      <c r="B722" t="s">
        <v>7</v>
      </c>
      <c r="C722">
        <v>65.584787948967204</v>
      </c>
      <c r="D722">
        <v>13</v>
      </c>
    </row>
    <row r="723" spans="1:4" x14ac:dyDescent="0.3">
      <c r="A723">
        <v>66</v>
      </c>
      <c r="B723" t="s">
        <v>8</v>
      </c>
      <c r="C723">
        <v>79.067015706982303</v>
      </c>
      <c r="D723">
        <v>13</v>
      </c>
    </row>
    <row r="724" spans="1:4" x14ac:dyDescent="0.3">
      <c r="A724">
        <v>66</v>
      </c>
      <c r="B724" t="s">
        <v>9</v>
      </c>
      <c r="C724">
        <v>80.812671336353802</v>
      </c>
      <c r="D724">
        <v>13</v>
      </c>
    </row>
    <row r="725" spans="1:4" x14ac:dyDescent="0.3">
      <c r="A725">
        <v>66</v>
      </c>
      <c r="B725" t="s">
        <v>10</v>
      </c>
      <c r="C725">
        <v>116.65427214168299</v>
      </c>
      <c r="D725">
        <v>11.747899159663801</v>
      </c>
    </row>
    <row r="726" spans="1:4" x14ac:dyDescent="0.3">
      <c r="A726">
        <v>66</v>
      </c>
      <c r="B726" t="s">
        <v>11</v>
      </c>
      <c r="C726">
        <v>274.85042643056897</v>
      </c>
      <c r="D726">
        <v>13.850299401197599</v>
      </c>
    </row>
    <row r="727" spans="1:4" x14ac:dyDescent="0.3">
      <c r="A727">
        <v>66</v>
      </c>
      <c r="B727" t="s">
        <v>12</v>
      </c>
      <c r="C727">
        <v>352.830341324995</v>
      </c>
      <c r="D727">
        <v>14</v>
      </c>
    </row>
    <row r="728" spans="1:4" x14ac:dyDescent="0.3">
      <c r="A728">
        <v>66</v>
      </c>
      <c r="B728" t="s">
        <v>13</v>
      </c>
      <c r="C728">
        <v>352.47563327849701</v>
      </c>
      <c r="D728">
        <v>0</v>
      </c>
    </row>
    <row r="729" spans="1:4" x14ac:dyDescent="0.3">
      <c r="A729">
        <v>67</v>
      </c>
      <c r="B729" t="s">
        <v>3</v>
      </c>
      <c r="C729">
        <v>15.120482368670601</v>
      </c>
      <c r="D729">
        <v>13</v>
      </c>
    </row>
    <row r="730" spans="1:4" x14ac:dyDescent="0.3">
      <c r="A730">
        <v>67</v>
      </c>
      <c r="B730" t="s">
        <v>4</v>
      </c>
      <c r="C730">
        <v>15.175652190491901</v>
      </c>
      <c r="D730">
        <v>13</v>
      </c>
    </row>
    <row r="731" spans="1:4" x14ac:dyDescent="0.3">
      <c r="A731">
        <v>67</v>
      </c>
      <c r="B731" t="s">
        <v>5</v>
      </c>
      <c r="C731">
        <v>19.8031325903324</v>
      </c>
      <c r="D731">
        <v>13</v>
      </c>
    </row>
    <row r="732" spans="1:4" x14ac:dyDescent="0.3">
      <c r="A732">
        <v>67</v>
      </c>
      <c r="B732" t="s">
        <v>6</v>
      </c>
      <c r="C732">
        <v>64.370047215601105</v>
      </c>
      <c r="D732">
        <v>13</v>
      </c>
    </row>
    <row r="733" spans="1:4" x14ac:dyDescent="0.3">
      <c r="A733">
        <v>67</v>
      </c>
      <c r="B733" t="s">
        <v>7</v>
      </c>
      <c r="C733">
        <v>65.078993274310307</v>
      </c>
      <c r="D733">
        <v>13</v>
      </c>
    </row>
    <row r="734" spans="1:4" x14ac:dyDescent="0.3">
      <c r="A734">
        <v>67</v>
      </c>
      <c r="B734" t="s">
        <v>8</v>
      </c>
      <c r="C734">
        <v>79.192514720119306</v>
      </c>
      <c r="D734">
        <v>13</v>
      </c>
    </row>
    <row r="735" spans="1:4" x14ac:dyDescent="0.3">
      <c r="A735">
        <v>67</v>
      </c>
      <c r="B735" t="s">
        <v>9</v>
      </c>
      <c r="C735">
        <v>80.689402306682297</v>
      </c>
      <c r="D735">
        <v>13</v>
      </c>
    </row>
    <row r="736" spans="1:4" x14ac:dyDescent="0.3">
      <c r="A736">
        <v>67</v>
      </c>
      <c r="B736" t="s">
        <v>10</v>
      </c>
      <c r="C736">
        <v>117.154709767233</v>
      </c>
      <c r="D736">
        <v>10.921875</v>
      </c>
    </row>
    <row r="737" spans="1:4" x14ac:dyDescent="0.3">
      <c r="A737">
        <v>67</v>
      </c>
      <c r="B737" t="s">
        <v>11</v>
      </c>
      <c r="C737">
        <v>273.05612792558099</v>
      </c>
      <c r="D737">
        <v>13.760479041916099</v>
      </c>
    </row>
    <row r="738" spans="1:4" x14ac:dyDescent="0.3">
      <c r="A738">
        <v>67</v>
      </c>
      <c r="B738" t="s">
        <v>12</v>
      </c>
      <c r="C738">
        <v>352.69408856754802</v>
      </c>
      <c r="D738">
        <v>14</v>
      </c>
    </row>
    <row r="739" spans="1:4" x14ac:dyDescent="0.3">
      <c r="A739">
        <v>67</v>
      </c>
      <c r="B739" t="s">
        <v>13</v>
      </c>
      <c r="C739">
        <v>353.74028118926901</v>
      </c>
      <c r="D739">
        <v>0</v>
      </c>
    </row>
    <row r="740" spans="1:4" x14ac:dyDescent="0.3">
      <c r="A740">
        <v>68</v>
      </c>
      <c r="B740" t="s">
        <v>3</v>
      </c>
      <c r="C740">
        <v>15.5103122708479</v>
      </c>
      <c r="D740">
        <v>13</v>
      </c>
    </row>
    <row r="741" spans="1:4" x14ac:dyDescent="0.3">
      <c r="A741">
        <v>68</v>
      </c>
      <c r="B741" t="s">
        <v>4</v>
      </c>
      <c r="C741">
        <v>15.6394211895536</v>
      </c>
      <c r="D741">
        <v>13</v>
      </c>
    </row>
    <row r="742" spans="1:4" x14ac:dyDescent="0.3">
      <c r="A742">
        <v>68</v>
      </c>
      <c r="B742" t="s">
        <v>5</v>
      </c>
      <c r="C742">
        <v>19.675560646807099</v>
      </c>
      <c r="D742">
        <v>13</v>
      </c>
    </row>
    <row r="743" spans="1:4" x14ac:dyDescent="0.3">
      <c r="A743">
        <v>68</v>
      </c>
      <c r="B743" t="s">
        <v>6</v>
      </c>
      <c r="C743">
        <v>64.215141434775006</v>
      </c>
      <c r="D743">
        <v>13</v>
      </c>
    </row>
    <row r="744" spans="1:4" x14ac:dyDescent="0.3">
      <c r="A744">
        <v>68</v>
      </c>
      <c r="B744" t="s">
        <v>7</v>
      </c>
      <c r="C744">
        <v>66.296726181332801</v>
      </c>
      <c r="D744">
        <v>13</v>
      </c>
    </row>
    <row r="745" spans="1:4" x14ac:dyDescent="0.3">
      <c r="A745">
        <v>68</v>
      </c>
      <c r="B745" t="s">
        <v>8</v>
      </c>
      <c r="C745">
        <v>79.545825490326393</v>
      </c>
      <c r="D745">
        <v>13</v>
      </c>
    </row>
    <row r="746" spans="1:4" x14ac:dyDescent="0.3">
      <c r="A746">
        <v>68</v>
      </c>
      <c r="B746" t="s">
        <v>9</v>
      </c>
      <c r="C746">
        <v>81.188889437515698</v>
      </c>
      <c r="D746">
        <v>13</v>
      </c>
    </row>
    <row r="747" spans="1:4" x14ac:dyDescent="0.3">
      <c r="A747">
        <v>68</v>
      </c>
      <c r="B747" t="s">
        <v>10</v>
      </c>
      <c r="C747">
        <v>116.99043915097199</v>
      </c>
      <c r="D747">
        <v>11.948717948717899</v>
      </c>
    </row>
    <row r="748" spans="1:4" x14ac:dyDescent="0.3">
      <c r="A748">
        <v>68</v>
      </c>
      <c r="B748" t="s">
        <v>11</v>
      </c>
      <c r="C748">
        <v>274.24168653197802</v>
      </c>
      <c r="D748">
        <v>13.778443113772401</v>
      </c>
    </row>
    <row r="749" spans="1:4" x14ac:dyDescent="0.3">
      <c r="A749">
        <v>68</v>
      </c>
      <c r="B749" t="s">
        <v>12</v>
      </c>
      <c r="C749">
        <v>354.07665722437099</v>
      </c>
      <c r="D749">
        <v>14</v>
      </c>
    </row>
    <row r="750" spans="1:4" x14ac:dyDescent="0.3">
      <c r="A750">
        <v>68</v>
      </c>
      <c r="B750" t="s">
        <v>13</v>
      </c>
      <c r="C750">
        <v>354.67356964840798</v>
      </c>
      <c r="D750">
        <v>0</v>
      </c>
    </row>
    <row r="751" spans="1:4" x14ac:dyDescent="0.3">
      <c r="A751">
        <v>69</v>
      </c>
      <c r="B751" t="s">
        <v>3</v>
      </c>
      <c r="C751">
        <v>15.510363727063901</v>
      </c>
      <c r="D751">
        <v>13</v>
      </c>
    </row>
    <row r="752" spans="1:4" x14ac:dyDescent="0.3">
      <c r="A752">
        <v>69</v>
      </c>
      <c r="B752" t="s">
        <v>4</v>
      </c>
      <c r="C752">
        <v>15.434595330183599</v>
      </c>
      <c r="D752">
        <v>13</v>
      </c>
    </row>
    <row r="753" spans="1:4" x14ac:dyDescent="0.3">
      <c r="A753">
        <v>69</v>
      </c>
      <c r="B753" t="s">
        <v>5</v>
      </c>
      <c r="C753">
        <v>19.4675962227853</v>
      </c>
      <c r="D753">
        <v>13</v>
      </c>
    </row>
    <row r="754" spans="1:4" x14ac:dyDescent="0.3">
      <c r="A754">
        <v>69</v>
      </c>
      <c r="B754" t="s">
        <v>6</v>
      </c>
      <c r="C754">
        <v>64.980437426250205</v>
      </c>
      <c r="D754">
        <v>13</v>
      </c>
    </row>
    <row r="755" spans="1:4" x14ac:dyDescent="0.3">
      <c r="A755">
        <v>69</v>
      </c>
      <c r="B755" t="s">
        <v>7</v>
      </c>
      <c r="C755">
        <v>65.543822269071498</v>
      </c>
      <c r="D755">
        <v>13</v>
      </c>
    </row>
    <row r="756" spans="1:4" x14ac:dyDescent="0.3">
      <c r="A756">
        <v>69</v>
      </c>
      <c r="B756" t="s">
        <v>8</v>
      </c>
      <c r="C756">
        <v>79.037052315727806</v>
      </c>
      <c r="D756">
        <v>13</v>
      </c>
    </row>
    <row r="757" spans="1:4" x14ac:dyDescent="0.3">
      <c r="A757">
        <v>69</v>
      </c>
      <c r="B757" t="s">
        <v>9</v>
      </c>
      <c r="C757">
        <v>80.2899578218545</v>
      </c>
      <c r="D757">
        <v>13</v>
      </c>
    </row>
    <row r="758" spans="1:4" x14ac:dyDescent="0.3">
      <c r="A758">
        <v>69</v>
      </c>
      <c r="B758" t="s">
        <v>10</v>
      </c>
      <c r="C758">
        <v>116.736413411491</v>
      </c>
      <c r="D758">
        <v>9.8652482269503494</v>
      </c>
    </row>
    <row r="759" spans="1:4" x14ac:dyDescent="0.3">
      <c r="A759">
        <v>69</v>
      </c>
      <c r="B759" t="s">
        <v>11</v>
      </c>
      <c r="C759">
        <v>273.74254365028298</v>
      </c>
      <c r="D759">
        <v>13.694610778443099</v>
      </c>
    </row>
    <row r="760" spans="1:4" x14ac:dyDescent="0.3">
      <c r="A760">
        <v>69</v>
      </c>
      <c r="B760" t="s">
        <v>12</v>
      </c>
      <c r="C760">
        <v>353.42218990816298</v>
      </c>
      <c r="D760">
        <v>14</v>
      </c>
    </row>
    <row r="761" spans="1:4" x14ac:dyDescent="0.3">
      <c r="A761">
        <v>69</v>
      </c>
      <c r="B761" t="s">
        <v>13</v>
      </c>
      <c r="C761">
        <v>351.26373898087002</v>
      </c>
      <c r="D761">
        <v>0</v>
      </c>
    </row>
    <row r="762" spans="1:4" x14ac:dyDescent="0.3">
      <c r="A762">
        <v>70</v>
      </c>
      <c r="B762" t="s">
        <v>3</v>
      </c>
      <c r="C762">
        <v>15.307121446676099</v>
      </c>
      <c r="D762">
        <v>13</v>
      </c>
    </row>
    <row r="763" spans="1:4" x14ac:dyDescent="0.3">
      <c r="A763">
        <v>70</v>
      </c>
      <c r="B763" t="s">
        <v>4</v>
      </c>
      <c r="C763">
        <v>15.719689624032799</v>
      </c>
      <c r="D763">
        <v>13</v>
      </c>
    </row>
    <row r="764" spans="1:4" x14ac:dyDescent="0.3">
      <c r="A764">
        <v>70</v>
      </c>
      <c r="B764" t="s">
        <v>5</v>
      </c>
      <c r="C764">
        <v>19.655007546979601</v>
      </c>
      <c r="D764">
        <v>13</v>
      </c>
    </row>
    <row r="765" spans="1:4" x14ac:dyDescent="0.3">
      <c r="A765">
        <v>70</v>
      </c>
      <c r="B765" t="s">
        <v>6</v>
      </c>
      <c r="C765">
        <v>64.619600735374704</v>
      </c>
      <c r="D765">
        <v>13</v>
      </c>
    </row>
    <row r="766" spans="1:4" x14ac:dyDescent="0.3">
      <c r="A766">
        <v>70</v>
      </c>
      <c r="B766" t="s">
        <v>7</v>
      </c>
      <c r="C766">
        <v>66.139742778997999</v>
      </c>
      <c r="D766">
        <v>13</v>
      </c>
    </row>
    <row r="767" spans="1:4" x14ac:dyDescent="0.3">
      <c r="A767">
        <v>70</v>
      </c>
      <c r="B767" t="s">
        <v>8</v>
      </c>
      <c r="C767">
        <v>79.894976431871001</v>
      </c>
      <c r="D767">
        <v>13</v>
      </c>
    </row>
    <row r="768" spans="1:4" x14ac:dyDescent="0.3">
      <c r="A768">
        <v>70</v>
      </c>
      <c r="B768" t="s">
        <v>9</v>
      </c>
      <c r="C768">
        <v>81.303444078351802</v>
      </c>
      <c r="D768">
        <v>13</v>
      </c>
    </row>
    <row r="769" spans="1:4" x14ac:dyDescent="0.3">
      <c r="A769">
        <v>70</v>
      </c>
      <c r="B769" t="s">
        <v>10</v>
      </c>
      <c r="C769">
        <v>117.61088875111101</v>
      </c>
      <c r="D769">
        <v>10.5522388059701</v>
      </c>
    </row>
    <row r="770" spans="1:4" x14ac:dyDescent="0.3">
      <c r="A770">
        <v>70</v>
      </c>
      <c r="B770" t="s">
        <v>11</v>
      </c>
      <c r="C770">
        <v>273.20657973111099</v>
      </c>
      <c r="D770">
        <v>13.7005988023952</v>
      </c>
    </row>
    <row r="771" spans="1:4" x14ac:dyDescent="0.3">
      <c r="A771">
        <v>70</v>
      </c>
      <c r="B771" t="s">
        <v>12</v>
      </c>
      <c r="C771">
        <v>353.91802425068101</v>
      </c>
      <c r="D771">
        <v>14</v>
      </c>
    </row>
    <row r="772" spans="1:4" x14ac:dyDescent="0.3">
      <c r="A772">
        <v>70</v>
      </c>
      <c r="B772" t="s">
        <v>13</v>
      </c>
      <c r="C772">
        <v>353.61173624146602</v>
      </c>
      <c r="D772">
        <v>0</v>
      </c>
    </row>
    <row r="773" spans="1:4" x14ac:dyDescent="0.3">
      <c r="A773">
        <v>71</v>
      </c>
      <c r="B773" t="s">
        <v>3</v>
      </c>
      <c r="C773">
        <v>15.3687122446938</v>
      </c>
      <c r="D773">
        <v>13</v>
      </c>
    </row>
    <row r="774" spans="1:4" x14ac:dyDescent="0.3">
      <c r="A774">
        <v>71</v>
      </c>
      <c r="B774" t="s">
        <v>4</v>
      </c>
      <c r="C774">
        <v>15.195851399937499</v>
      </c>
      <c r="D774">
        <v>13</v>
      </c>
    </row>
    <row r="775" spans="1:4" x14ac:dyDescent="0.3">
      <c r="A775">
        <v>71</v>
      </c>
      <c r="B775" t="s">
        <v>5</v>
      </c>
      <c r="C775">
        <v>20.3263944606284</v>
      </c>
      <c r="D775">
        <v>13</v>
      </c>
    </row>
    <row r="776" spans="1:4" x14ac:dyDescent="0.3">
      <c r="A776">
        <v>71</v>
      </c>
      <c r="B776" t="s">
        <v>6</v>
      </c>
      <c r="C776">
        <v>64.5468583458008</v>
      </c>
      <c r="D776">
        <v>13</v>
      </c>
    </row>
    <row r="777" spans="1:4" x14ac:dyDescent="0.3">
      <c r="A777">
        <v>71</v>
      </c>
      <c r="B777" t="s">
        <v>7</v>
      </c>
      <c r="C777">
        <v>65.956034685986396</v>
      </c>
      <c r="D777">
        <v>13</v>
      </c>
    </row>
    <row r="778" spans="1:4" x14ac:dyDescent="0.3">
      <c r="A778">
        <v>71</v>
      </c>
      <c r="B778" t="s">
        <v>8</v>
      </c>
      <c r="C778">
        <v>78.818600389273399</v>
      </c>
      <c r="D778">
        <v>13</v>
      </c>
    </row>
    <row r="779" spans="1:4" x14ac:dyDescent="0.3">
      <c r="A779">
        <v>71</v>
      </c>
      <c r="B779" t="s">
        <v>9</v>
      </c>
      <c r="C779">
        <v>80.815573750762397</v>
      </c>
      <c r="D779">
        <v>13</v>
      </c>
    </row>
    <row r="780" spans="1:4" x14ac:dyDescent="0.3">
      <c r="A780">
        <v>71</v>
      </c>
      <c r="B780" t="s">
        <v>10</v>
      </c>
      <c r="C780">
        <v>116.65382833130801</v>
      </c>
      <c r="D780">
        <v>13</v>
      </c>
    </row>
    <row r="781" spans="1:4" x14ac:dyDescent="0.3">
      <c r="A781">
        <v>71</v>
      </c>
      <c r="B781" t="s">
        <v>11</v>
      </c>
      <c r="C781">
        <v>274.62003888713099</v>
      </c>
      <c r="D781">
        <v>12.1</v>
      </c>
    </row>
    <row r="782" spans="1:4" x14ac:dyDescent="0.3">
      <c r="A782">
        <v>71</v>
      </c>
      <c r="B782" t="s">
        <v>12</v>
      </c>
      <c r="C782">
        <v>354.66429035335898</v>
      </c>
      <c r="D782">
        <v>13.669767441860399</v>
      </c>
    </row>
    <row r="783" spans="1:4" x14ac:dyDescent="0.3">
      <c r="A783">
        <v>71</v>
      </c>
      <c r="B783" t="s">
        <v>13</v>
      </c>
      <c r="C783">
        <v>353.55875019436797</v>
      </c>
      <c r="D783">
        <v>14</v>
      </c>
    </row>
    <row r="784" spans="1:4" x14ac:dyDescent="0.3">
      <c r="A784">
        <v>72</v>
      </c>
      <c r="B784" t="s">
        <v>3</v>
      </c>
      <c r="C784">
        <v>15.360654420260699</v>
      </c>
      <c r="D784">
        <v>13</v>
      </c>
    </row>
    <row r="785" spans="1:4" x14ac:dyDescent="0.3">
      <c r="A785">
        <v>72</v>
      </c>
      <c r="B785" t="s">
        <v>4</v>
      </c>
      <c r="C785">
        <v>15.2086874951548</v>
      </c>
      <c r="D785">
        <v>13</v>
      </c>
    </row>
    <row r="786" spans="1:4" x14ac:dyDescent="0.3">
      <c r="A786">
        <v>72</v>
      </c>
      <c r="B786" t="s">
        <v>5</v>
      </c>
      <c r="C786">
        <v>19.435629943080801</v>
      </c>
      <c r="D786">
        <v>13</v>
      </c>
    </row>
    <row r="787" spans="1:4" x14ac:dyDescent="0.3">
      <c r="A787">
        <v>72</v>
      </c>
      <c r="B787" t="s">
        <v>6</v>
      </c>
      <c r="C787">
        <v>64.284009220363203</v>
      </c>
      <c r="D787">
        <v>13</v>
      </c>
    </row>
    <row r="788" spans="1:4" x14ac:dyDescent="0.3">
      <c r="A788">
        <v>72</v>
      </c>
      <c r="B788" t="s">
        <v>7</v>
      </c>
      <c r="C788">
        <v>65.274808673349398</v>
      </c>
      <c r="D788">
        <v>13</v>
      </c>
    </row>
    <row r="789" spans="1:4" x14ac:dyDescent="0.3">
      <c r="A789">
        <v>72</v>
      </c>
      <c r="B789" t="s">
        <v>8</v>
      </c>
      <c r="C789">
        <v>78.372206041458099</v>
      </c>
      <c r="D789">
        <v>13</v>
      </c>
    </row>
    <row r="790" spans="1:4" x14ac:dyDescent="0.3">
      <c r="A790">
        <v>72</v>
      </c>
      <c r="B790" t="s">
        <v>9</v>
      </c>
      <c r="C790">
        <v>80.884525709140604</v>
      </c>
      <c r="D790">
        <v>13</v>
      </c>
    </row>
    <row r="791" spans="1:4" x14ac:dyDescent="0.3">
      <c r="A791">
        <v>72</v>
      </c>
      <c r="B791" t="s">
        <v>10</v>
      </c>
      <c r="C791">
        <v>117.38080993901001</v>
      </c>
      <c r="D791">
        <v>11.747899159663801</v>
      </c>
    </row>
    <row r="792" spans="1:4" x14ac:dyDescent="0.3">
      <c r="A792">
        <v>72</v>
      </c>
      <c r="B792" t="s">
        <v>11</v>
      </c>
      <c r="C792">
        <v>274.84939677017002</v>
      </c>
      <c r="D792">
        <v>13.850299401197599</v>
      </c>
    </row>
    <row r="793" spans="1:4" x14ac:dyDescent="0.3">
      <c r="A793">
        <v>72</v>
      </c>
      <c r="B793" t="s">
        <v>12</v>
      </c>
      <c r="C793">
        <v>352.37867731557202</v>
      </c>
      <c r="D793">
        <v>14</v>
      </c>
    </row>
    <row r="794" spans="1:4" x14ac:dyDescent="0.3">
      <c r="A794">
        <v>72</v>
      </c>
      <c r="B794" t="s">
        <v>13</v>
      </c>
      <c r="C794">
        <v>351.72829675131197</v>
      </c>
      <c r="D794">
        <v>0</v>
      </c>
    </row>
    <row r="795" spans="1:4" x14ac:dyDescent="0.3">
      <c r="A795">
        <v>73</v>
      </c>
      <c r="B795" t="s">
        <v>3</v>
      </c>
      <c r="C795">
        <v>15.139890759654699</v>
      </c>
      <c r="D795">
        <v>13</v>
      </c>
    </row>
    <row r="796" spans="1:4" x14ac:dyDescent="0.3">
      <c r="A796">
        <v>73</v>
      </c>
      <c r="B796" t="s">
        <v>4</v>
      </c>
      <c r="C796">
        <v>15.616046701583</v>
      </c>
      <c r="D796">
        <v>13</v>
      </c>
    </row>
    <row r="797" spans="1:4" x14ac:dyDescent="0.3">
      <c r="A797">
        <v>73</v>
      </c>
      <c r="B797" t="s">
        <v>5</v>
      </c>
      <c r="C797">
        <v>19.663319719210801</v>
      </c>
      <c r="D797">
        <v>13</v>
      </c>
    </row>
    <row r="798" spans="1:4" x14ac:dyDescent="0.3">
      <c r="A798">
        <v>73</v>
      </c>
      <c r="B798" t="s">
        <v>6</v>
      </c>
      <c r="C798">
        <v>64.629379947820098</v>
      </c>
      <c r="D798">
        <v>13</v>
      </c>
    </row>
    <row r="799" spans="1:4" x14ac:dyDescent="0.3">
      <c r="A799">
        <v>73</v>
      </c>
      <c r="B799" t="s">
        <v>7</v>
      </c>
      <c r="C799">
        <v>65.488137969483205</v>
      </c>
      <c r="D799">
        <v>13</v>
      </c>
    </row>
    <row r="800" spans="1:4" x14ac:dyDescent="0.3">
      <c r="A800">
        <v>73</v>
      </c>
      <c r="B800" t="s">
        <v>8</v>
      </c>
      <c r="C800">
        <v>79.269519055313793</v>
      </c>
      <c r="D800">
        <v>13</v>
      </c>
    </row>
    <row r="801" spans="1:4" x14ac:dyDescent="0.3">
      <c r="A801">
        <v>73</v>
      </c>
      <c r="B801" t="s">
        <v>9</v>
      </c>
      <c r="C801">
        <v>80.437478340850106</v>
      </c>
      <c r="D801">
        <v>13</v>
      </c>
    </row>
    <row r="802" spans="1:4" x14ac:dyDescent="0.3">
      <c r="A802">
        <v>73</v>
      </c>
      <c r="B802" t="s">
        <v>10</v>
      </c>
      <c r="C802">
        <v>117.56175627314001</v>
      </c>
      <c r="D802">
        <v>13</v>
      </c>
    </row>
    <row r="803" spans="1:4" x14ac:dyDescent="0.3">
      <c r="A803">
        <v>73</v>
      </c>
      <c r="B803" t="s">
        <v>11</v>
      </c>
      <c r="C803">
        <v>275.61781097033003</v>
      </c>
      <c r="D803">
        <v>12.1675977653631</v>
      </c>
    </row>
    <row r="804" spans="1:4" x14ac:dyDescent="0.3">
      <c r="A804">
        <v>73</v>
      </c>
      <c r="B804" t="s">
        <v>12</v>
      </c>
      <c r="C804">
        <v>355.19019622620198</v>
      </c>
      <c r="D804">
        <v>13.660465116278999</v>
      </c>
    </row>
    <row r="805" spans="1:4" x14ac:dyDescent="0.3">
      <c r="A805">
        <v>73</v>
      </c>
      <c r="B805" t="s">
        <v>13</v>
      </c>
      <c r="C805">
        <v>355.66853387068602</v>
      </c>
      <c r="D805">
        <v>14</v>
      </c>
    </row>
    <row r="806" spans="1:4" x14ac:dyDescent="0.3">
      <c r="A806">
        <v>74</v>
      </c>
      <c r="B806" t="s">
        <v>3</v>
      </c>
      <c r="C806">
        <v>15.178129318979</v>
      </c>
      <c r="D806">
        <v>13</v>
      </c>
    </row>
    <row r="807" spans="1:4" x14ac:dyDescent="0.3">
      <c r="A807">
        <v>74</v>
      </c>
      <c r="B807" t="s">
        <v>4</v>
      </c>
      <c r="C807">
        <v>15.3350166959834</v>
      </c>
      <c r="D807">
        <v>13</v>
      </c>
    </row>
    <row r="808" spans="1:4" x14ac:dyDescent="0.3">
      <c r="A808">
        <v>74</v>
      </c>
      <c r="B808" t="s">
        <v>5</v>
      </c>
      <c r="C808">
        <v>19.4817713922072</v>
      </c>
      <c r="D808">
        <v>13</v>
      </c>
    </row>
    <row r="809" spans="1:4" x14ac:dyDescent="0.3">
      <c r="A809">
        <v>74</v>
      </c>
      <c r="B809" t="s">
        <v>6</v>
      </c>
      <c r="C809">
        <v>64.795686230268601</v>
      </c>
      <c r="D809">
        <v>13</v>
      </c>
    </row>
    <row r="810" spans="1:4" x14ac:dyDescent="0.3">
      <c r="A810">
        <v>74</v>
      </c>
      <c r="B810" t="s">
        <v>7</v>
      </c>
      <c r="C810">
        <v>65.793054725231698</v>
      </c>
      <c r="D810">
        <v>13</v>
      </c>
    </row>
    <row r="811" spans="1:4" x14ac:dyDescent="0.3">
      <c r="A811">
        <v>74</v>
      </c>
      <c r="B811" t="s">
        <v>8</v>
      </c>
      <c r="C811">
        <v>79.754656234624406</v>
      </c>
      <c r="D811">
        <v>13</v>
      </c>
    </row>
    <row r="812" spans="1:4" x14ac:dyDescent="0.3">
      <c r="A812">
        <v>74</v>
      </c>
      <c r="B812" t="s">
        <v>9</v>
      </c>
      <c r="C812">
        <v>80.988134572262496</v>
      </c>
      <c r="D812">
        <v>13</v>
      </c>
    </row>
    <row r="813" spans="1:4" x14ac:dyDescent="0.3">
      <c r="A813">
        <v>74</v>
      </c>
      <c r="B813" t="s">
        <v>10</v>
      </c>
      <c r="C813">
        <v>117.539535471012</v>
      </c>
      <c r="D813">
        <v>13</v>
      </c>
    </row>
    <row r="814" spans="1:4" x14ac:dyDescent="0.3">
      <c r="A814">
        <v>74</v>
      </c>
      <c r="B814" t="s">
        <v>11</v>
      </c>
      <c r="C814">
        <v>274.411448511473</v>
      </c>
      <c r="D814">
        <v>12.630057803468199</v>
      </c>
    </row>
    <row r="815" spans="1:4" x14ac:dyDescent="0.3">
      <c r="A815">
        <v>74</v>
      </c>
      <c r="B815" t="s">
        <v>12</v>
      </c>
      <c r="C815">
        <v>353.92944029716398</v>
      </c>
      <c r="D815">
        <v>13.632558139534799</v>
      </c>
    </row>
    <row r="816" spans="1:4" x14ac:dyDescent="0.3">
      <c r="A816">
        <v>74</v>
      </c>
      <c r="B816" t="s">
        <v>13</v>
      </c>
      <c r="C816">
        <v>351.40000666440699</v>
      </c>
      <c r="D816">
        <v>14</v>
      </c>
    </row>
    <row r="817" spans="1:4" x14ac:dyDescent="0.3">
      <c r="A817">
        <v>75</v>
      </c>
      <c r="B817" t="s">
        <v>3</v>
      </c>
      <c r="C817">
        <v>15.2421155621607</v>
      </c>
      <c r="D817">
        <v>13</v>
      </c>
    </row>
    <row r="818" spans="1:4" x14ac:dyDescent="0.3">
      <c r="A818">
        <v>75</v>
      </c>
      <c r="B818" t="s">
        <v>4</v>
      </c>
      <c r="C818">
        <v>15.5246389784815</v>
      </c>
      <c r="D818">
        <v>13</v>
      </c>
    </row>
    <row r="819" spans="1:4" x14ac:dyDescent="0.3">
      <c r="A819">
        <v>75</v>
      </c>
      <c r="B819" t="s">
        <v>5</v>
      </c>
      <c r="C819">
        <v>19.6670173031941</v>
      </c>
      <c r="D819">
        <v>13</v>
      </c>
    </row>
    <row r="820" spans="1:4" x14ac:dyDescent="0.3">
      <c r="A820">
        <v>75</v>
      </c>
      <c r="B820" t="s">
        <v>6</v>
      </c>
      <c r="C820">
        <v>65.167733508493995</v>
      </c>
      <c r="D820">
        <v>13</v>
      </c>
    </row>
    <row r="821" spans="1:4" x14ac:dyDescent="0.3">
      <c r="A821">
        <v>75</v>
      </c>
      <c r="B821" t="s">
        <v>7</v>
      </c>
      <c r="C821">
        <v>65.637064007431803</v>
      </c>
      <c r="D821">
        <v>13</v>
      </c>
    </row>
    <row r="822" spans="1:4" x14ac:dyDescent="0.3">
      <c r="A822">
        <v>75</v>
      </c>
      <c r="B822" t="s">
        <v>8</v>
      </c>
      <c r="C822">
        <v>78.425655157290294</v>
      </c>
      <c r="D822">
        <v>13</v>
      </c>
    </row>
    <row r="823" spans="1:4" x14ac:dyDescent="0.3">
      <c r="A823">
        <v>75</v>
      </c>
      <c r="B823" t="s">
        <v>9</v>
      </c>
      <c r="C823">
        <v>80.537110484487499</v>
      </c>
      <c r="D823">
        <v>13</v>
      </c>
    </row>
    <row r="824" spans="1:4" x14ac:dyDescent="0.3">
      <c r="A824">
        <v>75</v>
      </c>
      <c r="B824" t="s">
        <v>10</v>
      </c>
      <c r="C824">
        <v>117.038234518804</v>
      </c>
      <c r="D824">
        <v>13</v>
      </c>
    </row>
    <row r="825" spans="1:4" x14ac:dyDescent="0.3">
      <c r="A825">
        <v>75</v>
      </c>
      <c r="B825" t="s">
        <v>11</v>
      </c>
      <c r="C825">
        <v>275.633416647432</v>
      </c>
      <c r="D825">
        <v>13.071856287425099</v>
      </c>
    </row>
    <row r="826" spans="1:4" x14ac:dyDescent="0.3">
      <c r="A826">
        <v>75</v>
      </c>
      <c r="B826" t="s">
        <v>12</v>
      </c>
      <c r="C826">
        <v>351.42617973796303</v>
      </c>
      <c r="D826">
        <v>13.706976744186001</v>
      </c>
    </row>
    <row r="827" spans="1:4" x14ac:dyDescent="0.3">
      <c r="A827">
        <v>75</v>
      </c>
      <c r="B827" t="s">
        <v>13</v>
      </c>
      <c r="C827">
        <v>354.09605817205602</v>
      </c>
      <c r="D827">
        <v>14</v>
      </c>
    </row>
    <row r="828" spans="1:4" x14ac:dyDescent="0.3">
      <c r="A828">
        <v>76</v>
      </c>
      <c r="B828" t="s">
        <v>3</v>
      </c>
      <c r="C828">
        <v>15.5359409904766</v>
      </c>
      <c r="D828">
        <v>13</v>
      </c>
    </row>
    <row r="829" spans="1:4" x14ac:dyDescent="0.3">
      <c r="A829">
        <v>76</v>
      </c>
      <c r="B829" t="s">
        <v>4</v>
      </c>
      <c r="C829">
        <v>15.4944769988077</v>
      </c>
      <c r="D829">
        <v>13</v>
      </c>
    </row>
    <row r="830" spans="1:4" x14ac:dyDescent="0.3">
      <c r="A830">
        <v>76</v>
      </c>
      <c r="B830" t="s">
        <v>5</v>
      </c>
      <c r="C830">
        <v>19.7457007794759</v>
      </c>
      <c r="D830">
        <v>13</v>
      </c>
    </row>
    <row r="831" spans="1:4" x14ac:dyDescent="0.3">
      <c r="A831">
        <v>76</v>
      </c>
      <c r="B831" t="s">
        <v>6</v>
      </c>
      <c r="C831">
        <v>64.970019113647595</v>
      </c>
      <c r="D831">
        <v>13</v>
      </c>
    </row>
    <row r="832" spans="1:4" x14ac:dyDescent="0.3">
      <c r="A832">
        <v>76</v>
      </c>
      <c r="B832" t="s">
        <v>7</v>
      </c>
      <c r="C832">
        <v>65.959678697916303</v>
      </c>
      <c r="D832">
        <v>13</v>
      </c>
    </row>
    <row r="833" spans="1:4" x14ac:dyDescent="0.3">
      <c r="A833">
        <v>76</v>
      </c>
      <c r="B833" t="s">
        <v>8</v>
      </c>
      <c r="C833">
        <v>78.303468406561805</v>
      </c>
      <c r="D833">
        <v>13</v>
      </c>
    </row>
    <row r="834" spans="1:4" x14ac:dyDescent="0.3">
      <c r="A834">
        <v>76</v>
      </c>
      <c r="B834" t="s">
        <v>9</v>
      </c>
      <c r="C834">
        <v>80.867105168814106</v>
      </c>
      <c r="D834">
        <v>13</v>
      </c>
    </row>
    <row r="835" spans="1:4" x14ac:dyDescent="0.3">
      <c r="A835">
        <v>76</v>
      </c>
      <c r="B835" t="s">
        <v>10</v>
      </c>
      <c r="C835">
        <v>117.090934985891</v>
      </c>
      <c r="D835">
        <v>13</v>
      </c>
    </row>
    <row r="836" spans="1:4" x14ac:dyDescent="0.3">
      <c r="A836">
        <v>76</v>
      </c>
      <c r="B836" t="s">
        <v>11</v>
      </c>
      <c r="C836">
        <v>273.259675560299</v>
      </c>
      <c r="D836">
        <v>12.1675977653631</v>
      </c>
    </row>
    <row r="837" spans="1:4" x14ac:dyDescent="0.3">
      <c r="A837">
        <v>76</v>
      </c>
      <c r="B837" t="s">
        <v>12</v>
      </c>
      <c r="C837">
        <v>354.633389395265</v>
      </c>
      <c r="D837">
        <v>13.641860465116199</v>
      </c>
    </row>
    <row r="838" spans="1:4" x14ac:dyDescent="0.3">
      <c r="A838">
        <v>76</v>
      </c>
      <c r="B838" t="s">
        <v>13</v>
      </c>
      <c r="C838">
        <v>351.95112813195601</v>
      </c>
      <c r="D838">
        <v>14</v>
      </c>
    </row>
    <row r="839" spans="1:4" x14ac:dyDescent="0.3">
      <c r="A839">
        <v>77</v>
      </c>
      <c r="B839" t="s">
        <v>3</v>
      </c>
      <c r="C839">
        <v>15.5729475197124</v>
      </c>
      <c r="D839">
        <v>13</v>
      </c>
    </row>
    <row r="840" spans="1:4" x14ac:dyDescent="0.3">
      <c r="A840">
        <v>77</v>
      </c>
      <c r="B840" t="s">
        <v>4</v>
      </c>
      <c r="C840">
        <v>15.274312732224301</v>
      </c>
      <c r="D840">
        <v>13</v>
      </c>
    </row>
    <row r="841" spans="1:4" x14ac:dyDescent="0.3">
      <c r="A841">
        <v>77</v>
      </c>
      <c r="B841" t="s">
        <v>5</v>
      </c>
      <c r="C841">
        <v>19.846539063177801</v>
      </c>
      <c r="D841">
        <v>13</v>
      </c>
    </row>
    <row r="842" spans="1:4" x14ac:dyDescent="0.3">
      <c r="A842">
        <v>77</v>
      </c>
      <c r="B842" t="s">
        <v>6</v>
      </c>
      <c r="C842">
        <v>64.749071368064307</v>
      </c>
      <c r="D842">
        <v>13</v>
      </c>
    </row>
    <row r="843" spans="1:4" x14ac:dyDescent="0.3">
      <c r="A843">
        <v>77</v>
      </c>
      <c r="B843" t="s">
        <v>7</v>
      </c>
      <c r="C843">
        <v>65.982654087317201</v>
      </c>
      <c r="D843">
        <v>13</v>
      </c>
    </row>
    <row r="844" spans="1:4" x14ac:dyDescent="0.3">
      <c r="A844">
        <v>77</v>
      </c>
      <c r="B844" t="s">
        <v>8</v>
      </c>
      <c r="C844">
        <v>78.288708180296297</v>
      </c>
      <c r="D844">
        <v>13</v>
      </c>
    </row>
    <row r="845" spans="1:4" x14ac:dyDescent="0.3">
      <c r="A845">
        <v>77</v>
      </c>
      <c r="B845" t="s">
        <v>9</v>
      </c>
      <c r="C845">
        <v>80.714654850661802</v>
      </c>
      <c r="D845">
        <v>13</v>
      </c>
    </row>
    <row r="846" spans="1:4" x14ac:dyDescent="0.3">
      <c r="A846">
        <v>77</v>
      </c>
      <c r="B846" t="s">
        <v>10</v>
      </c>
      <c r="C846">
        <v>116.180246461408</v>
      </c>
      <c r="D846">
        <v>11.9658119658119</v>
      </c>
    </row>
    <row r="847" spans="1:4" x14ac:dyDescent="0.3">
      <c r="A847">
        <v>77</v>
      </c>
      <c r="B847" t="s">
        <v>11</v>
      </c>
      <c r="C847">
        <v>275.00366111869499</v>
      </c>
      <c r="D847">
        <v>13.778443113772401</v>
      </c>
    </row>
    <row r="848" spans="1:4" x14ac:dyDescent="0.3">
      <c r="A848">
        <v>77</v>
      </c>
      <c r="B848" t="s">
        <v>12</v>
      </c>
      <c r="C848">
        <v>352.97722289209003</v>
      </c>
      <c r="D848">
        <v>14</v>
      </c>
    </row>
    <row r="849" spans="1:4" x14ac:dyDescent="0.3">
      <c r="A849">
        <v>77</v>
      </c>
      <c r="B849" t="s">
        <v>13</v>
      </c>
      <c r="C849">
        <v>354.797714057115</v>
      </c>
      <c r="D849">
        <v>0</v>
      </c>
    </row>
    <row r="850" spans="1:4" x14ac:dyDescent="0.3">
      <c r="A850">
        <v>78</v>
      </c>
      <c r="B850" t="s">
        <v>3</v>
      </c>
      <c r="C850">
        <v>15.262004284015701</v>
      </c>
      <c r="D850">
        <v>13</v>
      </c>
    </row>
    <row r="851" spans="1:4" x14ac:dyDescent="0.3">
      <c r="A851">
        <v>78</v>
      </c>
      <c r="B851" t="s">
        <v>4</v>
      </c>
      <c r="C851">
        <v>14.921187804797199</v>
      </c>
      <c r="D851">
        <v>13</v>
      </c>
    </row>
    <row r="852" spans="1:4" x14ac:dyDescent="0.3">
      <c r="A852">
        <v>78</v>
      </c>
      <c r="B852" t="s">
        <v>5</v>
      </c>
      <c r="C852">
        <v>19.507434237442698</v>
      </c>
      <c r="D852">
        <v>13</v>
      </c>
    </row>
    <row r="853" spans="1:4" x14ac:dyDescent="0.3">
      <c r="A853">
        <v>78</v>
      </c>
      <c r="B853" t="s">
        <v>6</v>
      </c>
      <c r="C853">
        <v>64.890791045020904</v>
      </c>
      <c r="D853">
        <v>13</v>
      </c>
    </row>
    <row r="854" spans="1:4" x14ac:dyDescent="0.3">
      <c r="A854">
        <v>78</v>
      </c>
      <c r="B854" t="s">
        <v>7</v>
      </c>
      <c r="C854">
        <v>65.347826759195996</v>
      </c>
      <c r="D854">
        <v>13</v>
      </c>
    </row>
    <row r="855" spans="1:4" x14ac:dyDescent="0.3">
      <c r="A855">
        <v>78</v>
      </c>
      <c r="B855" t="s">
        <v>8</v>
      </c>
      <c r="C855">
        <v>78.637716322434201</v>
      </c>
      <c r="D855">
        <v>13</v>
      </c>
    </row>
    <row r="856" spans="1:4" x14ac:dyDescent="0.3">
      <c r="A856">
        <v>78</v>
      </c>
      <c r="B856" t="s">
        <v>9</v>
      </c>
      <c r="C856">
        <v>79.934979238686694</v>
      </c>
      <c r="D856">
        <v>13</v>
      </c>
    </row>
    <row r="857" spans="1:4" x14ac:dyDescent="0.3">
      <c r="A857">
        <v>78</v>
      </c>
      <c r="B857" t="s">
        <v>10</v>
      </c>
      <c r="C857">
        <v>117.223050931275</v>
      </c>
      <c r="D857">
        <v>13</v>
      </c>
    </row>
    <row r="858" spans="1:4" x14ac:dyDescent="0.3">
      <c r="A858">
        <v>78</v>
      </c>
      <c r="B858" t="s">
        <v>11</v>
      </c>
      <c r="C858">
        <v>276.05400724913898</v>
      </c>
      <c r="D858">
        <v>13.005988023952</v>
      </c>
    </row>
    <row r="859" spans="1:4" x14ac:dyDescent="0.3">
      <c r="A859">
        <v>78</v>
      </c>
      <c r="B859" t="s">
        <v>12</v>
      </c>
      <c r="C859">
        <v>354.54031293371298</v>
      </c>
      <c r="D859">
        <v>13.7302325581395</v>
      </c>
    </row>
    <row r="860" spans="1:4" x14ac:dyDescent="0.3">
      <c r="A860">
        <v>78</v>
      </c>
      <c r="B860" t="s">
        <v>13</v>
      </c>
      <c r="C860">
        <v>353.26385559548697</v>
      </c>
      <c r="D860">
        <v>14</v>
      </c>
    </row>
    <row r="861" spans="1:4" x14ac:dyDescent="0.3">
      <c r="A861">
        <v>79</v>
      </c>
      <c r="B861" t="s">
        <v>3</v>
      </c>
      <c r="C861">
        <v>15.3740222257735</v>
      </c>
      <c r="D861">
        <v>13</v>
      </c>
    </row>
    <row r="862" spans="1:4" x14ac:dyDescent="0.3">
      <c r="A862">
        <v>79</v>
      </c>
      <c r="B862" t="s">
        <v>4</v>
      </c>
      <c r="C862">
        <v>15.179227840105399</v>
      </c>
      <c r="D862">
        <v>13</v>
      </c>
    </row>
    <row r="863" spans="1:4" x14ac:dyDescent="0.3">
      <c r="A863">
        <v>79</v>
      </c>
      <c r="B863" t="s">
        <v>5</v>
      </c>
      <c r="C863">
        <v>19.5772178046048</v>
      </c>
      <c r="D863">
        <v>13</v>
      </c>
    </row>
    <row r="864" spans="1:4" x14ac:dyDescent="0.3">
      <c r="A864">
        <v>79</v>
      </c>
      <c r="B864" t="s">
        <v>6</v>
      </c>
      <c r="C864">
        <v>65.235786443176707</v>
      </c>
      <c r="D864">
        <v>13</v>
      </c>
    </row>
    <row r="865" spans="1:4" x14ac:dyDescent="0.3">
      <c r="A865">
        <v>79</v>
      </c>
      <c r="B865" t="s">
        <v>7</v>
      </c>
      <c r="C865">
        <v>66.026234625551893</v>
      </c>
      <c r="D865">
        <v>13</v>
      </c>
    </row>
    <row r="866" spans="1:4" x14ac:dyDescent="0.3">
      <c r="A866">
        <v>79</v>
      </c>
      <c r="B866" t="s">
        <v>8</v>
      </c>
      <c r="C866">
        <v>79.242288495529493</v>
      </c>
      <c r="D866">
        <v>13</v>
      </c>
    </row>
    <row r="867" spans="1:4" x14ac:dyDescent="0.3">
      <c r="A867">
        <v>79</v>
      </c>
      <c r="B867" t="s">
        <v>9</v>
      </c>
      <c r="C867">
        <v>81.520374213390696</v>
      </c>
      <c r="D867">
        <v>13</v>
      </c>
    </row>
    <row r="868" spans="1:4" x14ac:dyDescent="0.3">
      <c r="A868">
        <v>79</v>
      </c>
      <c r="B868" t="s">
        <v>10</v>
      </c>
      <c r="C868">
        <v>116.767361600977</v>
      </c>
      <c r="D868">
        <v>13</v>
      </c>
    </row>
    <row r="869" spans="1:4" x14ac:dyDescent="0.3">
      <c r="A869">
        <v>79</v>
      </c>
      <c r="B869" t="s">
        <v>11</v>
      </c>
      <c r="C869">
        <v>273.91322362038898</v>
      </c>
      <c r="D869">
        <v>13.041916167664599</v>
      </c>
    </row>
    <row r="870" spans="1:4" x14ac:dyDescent="0.3">
      <c r="A870">
        <v>79</v>
      </c>
      <c r="B870" t="s">
        <v>12</v>
      </c>
      <c r="C870">
        <v>352.91376282357498</v>
      </c>
      <c r="D870">
        <v>13.7302325581395</v>
      </c>
    </row>
    <row r="871" spans="1:4" x14ac:dyDescent="0.3">
      <c r="A871">
        <v>79</v>
      </c>
      <c r="B871" t="s">
        <v>13</v>
      </c>
      <c r="C871">
        <v>353.24229552086501</v>
      </c>
      <c r="D871">
        <v>14</v>
      </c>
    </row>
    <row r="872" spans="1:4" x14ac:dyDescent="0.3">
      <c r="A872">
        <v>80</v>
      </c>
      <c r="B872" t="s">
        <v>3</v>
      </c>
      <c r="C872">
        <v>15.339090482496401</v>
      </c>
      <c r="D872">
        <v>13</v>
      </c>
    </row>
    <row r="873" spans="1:4" x14ac:dyDescent="0.3">
      <c r="A873">
        <v>80</v>
      </c>
      <c r="B873" t="s">
        <v>4</v>
      </c>
      <c r="C873">
        <v>15.274358247154501</v>
      </c>
      <c r="D873">
        <v>13</v>
      </c>
    </row>
    <row r="874" spans="1:4" x14ac:dyDescent="0.3">
      <c r="A874">
        <v>80</v>
      </c>
      <c r="B874" t="s">
        <v>5</v>
      </c>
      <c r="C874">
        <v>19.232194709321899</v>
      </c>
      <c r="D874">
        <v>13</v>
      </c>
    </row>
    <row r="875" spans="1:4" x14ac:dyDescent="0.3">
      <c r="A875">
        <v>80</v>
      </c>
      <c r="B875" t="s">
        <v>6</v>
      </c>
      <c r="C875">
        <v>64.488280428485396</v>
      </c>
      <c r="D875">
        <v>13</v>
      </c>
    </row>
    <row r="876" spans="1:4" x14ac:dyDescent="0.3">
      <c r="A876">
        <v>80</v>
      </c>
      <c r="B876" t="s">
        <v>7</v>
      </c>
      <c r="C876">
        <v>65.257000801815195</v>
      </c>
      <c r="D876">
        <v>13</v>
      </c>
    </row>
    <row r="877" spans="1:4" x14ac:dyDescent="0.3">
      <c r="A877">
        <v>80</v>
      </c>
      <c r="B877" t="s">
        <v>8</v>
      </c>
      <c r="C877">
        <v>78.412689011325597</v>
      </c>
      <c r="D877">
        <v>13</v>
      </c>
    </row>
    <row r="878" spans="1:4" x14ac:dyDescent="0.3">
      <c r="A878">
        <v>80</v>
      </c>
      <c r="B878" t="s">
        <v>9</v>
      </c>
      <c r="C878">
        <v>80.570983663079403</v>
      </c>
      <c r="D878">
        <v>13</v>
      </c>
    </row>
    <row r="879" spans="1:4" x14ac:dyDescent="0.3">
      <c r="A879">
        <v>80</v>
      </c>
      <c r="B879" t="s">
        <v>10</v>
      </c>
      <c r="C879">
        <v>117.46982593822</v>
      </c>
      <c r="D879">
        <v>13</v>
      </c>
    </row>
    <row r="880" spans="1:4" x14ac:dyDescent="0.3">
      <c r="A880">
        <v>80</v>
      </c>
      <c r="B880" t="s">
        <v>11</v>
      </c>
      <c r="C880">
        <v>274.54547284056002</v>
      </c>
      <c r="D880">
        <v>12.2067039106145</v>
      </c>
    </row>
    <row r="881" spans="1:4" x14ac:dyDescent="0.3">
      <c r="A881">
        <v>80</v>
      </c>
      <c r="B881" t="s">
        <v>12</v>
      </c>
      <c r="C881">
        <v>353.28692352578798</v>
      </c>
      <c r="D881">
        <v>13.632558139534799</v>
      </c>
    </row>
    <row r="882" spans="1:4" x14ac:dyDescent="0.3">
      <c r="A882">
        <v>80</v>
      </c>
      <c r="B882" t="s">
        <v>13</v>
      </c>
      <c r="C882">
        <v>353.605926851373</v>
      </c>
      <c r="D882">
        <v>14</v>
      </c>
    </row>
    <row r="883" spans="1:4" x14ac:dyDescent="0.3">
      <c r="A883">
        <v>81</v>
      </c>
      <c r="B883" t="s">
        <v>3</v>
      </c>
      <c r="C883">
        <v>15.598837220115399</v>
      </c>
      <c r="D883">
        <v>13</v>
      </c>
    </row>
    <row r="884" spans="1:4" x14ac:dyDescent="0.3">
      <c r="A884">
        <v>81</v>
      </c>
      <c r="B884" t="s">
        <v>4</v>
      </c>
      <c r="C884">
        <v>15.0606102539512</v>
      </c>
      <c r="D884">
        <v>13</v>
      </c>
    </row>
    <row r="885" spans="1:4" x14ac:dyDescent="0.3">
      <c r="A885">
        <v>81</v>
      </c>
      <c r="B885" t="s">
        <v>5</v>
      </c>
      <c r="C885">
        <v>19.599230713363902</v>
      </c>
      <c r="D885">
        <v>13</v>
      </c>
    </row>
    <row r="886" spans="1:4" x14ac:dyDescent="0.3">
      <c r="A886">
        <v>81</v>
      </c>
      <c r="B886" t="s">
        <v>6</v>
      </c>
      <c r="C886">
        <v>64.331638165524097</v>
      </c>
      <c r="D886">
        <v>13</v>
      </c>
    </row>
    <row r="887" spans="1:4" x14ac:dyDescent="0.3">
      <c r="A887">
        <v>81</v>
      </c>
      <c r="B887" t="s">
        <v>7</v>
      </c>
      <c r="C887">
        <v>66.574084522834198</v>
      </c>
      <c r="D887">
        <v>13</v>
      </c>
    </row>
    <row r="888" spans="1:4" x14ac:dyDescent="0.3">
      <c r="A888">
        <v>81</v>
      </c>
      <c r="B888" t="s">
        <v>8</v>
      </c>
      <c r="C888">
        <v>79.100649780861502</v>
      </c>
      <c r="D888">
        <v>13</v>
      </c>
    </row>
    <row r="889" spans="1:4" x14ac:dyDescent="0.3">
      <c r="A889">
        <v>81</v>
      </c>
      <c r="B889" t="s">
        <v>9</v>
      </c>
      <c r="C889">
        <v>81.983448337173996</v>
      </c>
      <c r="D889">
        <v>13</v>
      </c>
    </row>
    <row r="890" spans="1:4" x14ac:dyDescent="0.3">
      <c r="A890">
        <v>81</v>
      </c>
      <c r="B890" t="s">
        <v>10</v>
      </c>
      <c r="C890">
        <v>117.816773503791</v>
      </c>
      <c r="D890">
        <v>13</v>
      </c>
    </row>
    <row r="891" spans="1:4" x14ac:dyDescent="0.3">
      <c r="A891">
        <v>81</v>
      </c>
      <c r="B891" t="s">
        <v>11</v>
      </c>
      <c r="C891">
        <v>272.39175220737098</v>
      </c>
      <c r="D891">
        <v>11.853260869565201</v>
      </c>
    </row>
    <row r="892" spans="1:4" x14ac:dyDescent="0.3">
      <c r="A892">
        <v>81</v>
      </c>
      <c r="B892" t="s">
        <v>12</v>
      </c>
      <c r="C892">
        <v>354.55553539618302</v>
      </c>
      <c r="D892">
        <v>13.6</v>
      </c>
    </row>
    <row r="893" spans="1:4" x14ac:dyDescent="0.3">
      <c r="A893">
        <v>81</v>
      </c>
      <c r="B893" t="s">
        <v>13</v>
      </c>
      <c r="C893">
        <v>354.00286913556198</v>
      </c>
      <c r="D893">
        <v>14</v>
      </c>
    </row>
  </sheetData>
  <mergeCells count="3">
    <mergeCell ref="A1:E1"/>
    <mergeCell ref="G1:R1"/>
    <mergeCell ref="T1:X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workbookViewId="0">
      <pane ySplit="1" topLeftCell="A2" activePane="bottomLeft" state="frozen"/>
      <selection pane="bottomLeft" activeCell="I85" sqref="I85"/>
    </sheetView>
  </sheetViews>
  <sheetFormatPr defaultRowHeight="14.4" x14ac:dyDescent="0.3"/>
  <cols>
    <col min="1" max="1" width="12.5546875" bestFit="1" customWidth="1"/>
    <col min="2" max="2" width="14.33203125" bestFit="1" customWidth="1"/>
    <col min="3" max="3" width="16.77734375" bestFit="1" customWidth="1"/>
    <col min="4" max="4" width="20.33203125" bestFit="1" customWidth="1"/>
    <col min="5" max="5" width="10.109375" customWidth="1"/>
    <col min="6" max="6" width="14.77734375" bestFit="1" customWidth="1"/>
    <col min="7" max="7" width="13.77734375" bestFit="1" customWidth="1"/>
    <col min="8" max="8" width="17" bestFit="1" customWidth="1"/>
    <col min="10" max="10" width="16.77734375" bestFit="1" customWidth="1"/>
    <col min="12" max="12" width="16.77734375" style="3" bestFit="1" customWidth="1"/>
  </cols>
  <sheetData>
    <row r="1" spans="1:12" x14ac:dyDescent="0.3">
      <c r="A1" s="17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s="21" t="s">
        <v>89</v>
      </c>
      <c r="J1" s="21" t="s">
        <v>90</v>
      </c>
      <c r="K1" s="21" t="s">
        <v>91</v>
      </c>
    </row>
    <row r="2" spans="1:12" x14ac:dyDescent="0.3">
      <c r="A2" s="18">
        <v>1</v>
      </c>
      <c r="B2" s="16">
        <v>1210.9135032095519</v>
      </c>
      <c r="C2" s="16">
        <v>3572</v>
      </c>
      <c r="D2" s="16">
        <v>18.181520147890424</v>
      </c>
      <c r="E2" s="16">
        <v>11.2121620667551</v>
      </c>
      <c r="F2" s="16">
        <v>477.62077353876771</v>
      </c>
      <c r="G2" s="16">
        <v>6536.5635909999601</v>
      </c>
      <c r="H2" s="16">
        <v>5815.3285088349894</v>
      </c>
      <c r="I2" s="5">
        <f>F2/B2</f>
        <v>0.39443013251799053</v>
      </c>
      <c r="J2" s="5">
        <f>G2/B2</f>
        <v>5.3980433562551413</v>
      </c>
      <c r="K2" s="5">
        <f>H2/B2</f>
        <v>4.8024309691991522</v>
      </c>
    </row>
    <row r="3" spans="1:12" x14ac:dyDescent="0.3">
      <c r="A3" s="18">
        <v>2</v>
      </c>
      <c r="B3" s="16">
        <v>1211.1505598577119</v>
      </c>
      <c r="C3" s="16">
        <v>3572</v>
      </c>
      <c r="D3" s="16">
        <v>18.181520147890424</v>
      </c>
      <c r="E3" s="16">
        <v>11.010459635070102</v>
      </c>
      <c r="F3" s="16">
        <v>481.87849253455397</v>
      </c>
      <c r="G3" s="16">
        <v>6584.6147639999608</v>
      </c>
      <c r="H3" s="16">
        <v>5850.6458077099905</v>
      </c>
      <c r="I3" s="5">
        <f t="shared" ref="I3:I66" si="0">F3/B3</f>
        <v>0.3978683645996629</v>
      </c>
      <c r="J3" s="5">
        <f t="shared" ref="J3:J66" si="1">G3/B3</f>
        <v>5.4366607936618001</v>
      </c>
      <c r="K3" s="5">
        <f t="shared" ref="K3:K66" si="2">H3/B3</f>
        <v>4.8306511193763848</v>
      </c>
    </row>
    <row r="4" spans="1:12" x14ac:dyDescent="0.3">
      <c r="A4" s="18">
        <v>3</v>
      </c>
      <c r="B4" s="16">
        <v>1212.161413031233</v>
      </c>
      <c r="C4" s="16">
        <v>3570</v>
      </c>
      <c r="D4" s="16">
        <v>18.181520147890424</v>
      </c>
      <c r="E4" s="16">
        <v>11.223716787326198</v>
      </c>
      <c r="F4" s="16">
        <v>479.68631763881069</v>
      </c>
      <c r="G4" s="16">
        <v>6564.5615879999605</v>
      </c>
      <c r="H4" s="16">
        <v>5839.0379148169905</v>
      </c>
      <c r="I4" s="5">
        <f t="shared" si="0"/>
        <v>0.39572808743289944</v>
      </c>
      <c r="J4" s="5">
        <f t="shared" si="1"/>
        <v>5.4155836982007735</v>
      </c>
      <c r="K4" s="5">
        <f t="shared" si="2"/>
        <v>4.8170465187597422</v>
      </c>
    </row>
    <row r="5" spans="1:12" x14ac:dyDescent="0.3">
      <c r="A5" s="18">
        <v>4</v>
      </c>
      <c r="B5" s="16">
        <v>1183.210256472551</v>
      </c>
      <c r="C5" s="16">
        <v>3744</v>
      </c>
      <c r="D5" s="16">
        <v>81.420967707444035</v>
      </c>
      <c r="E5" s="16">
        <v>5.8326613246757502</v>
      </c>
      <c r="F5" s="16">
        <v>629.73503960784296</v>
      </c>
      <c r="G5" s="16">
        <v>8294.4139759999798</v>
      </c>
      <c r="H5" s="16">
        <v>7157.7739336919694</v>
      </c>
      <c r="I5" s="5">
        <f t="shared" si="0"/>
        <v>0.53222581207607378</v>
      </c>
      <c r="J5" s="5">
        <f t="shared" si="1"/>
        <v>7.0100930334459113</v>
      </c>
      <c r="K5" s="5">
        <f t="shared" si="2"/>
        <v>6.0494522377038074</v>
      </c>
    </row>
    <row r="6" spans="1:12" x14ac:dyDescent="0.3">
      <c r="A6" s="18">
        <v>5</v>
      </c>
      <c r="B6" s="16">
        <v>1185.162414429615</v>
      </c>
      <c r="C6" s="16">
        <v>3751</v>
      </c>
      <c r="D6" s="16">
        <v>81.590325932806678</v>
      </c>
      <c r="E6" s="16">
        <v>5.7532156040272699</v>
      </c>
      <c r="F6" s="16">
        <v>630.75428901605596</v>
      </c>
      <c r="G6" s="16">
        <v>8358.5183129999805</v>
      </c>
      <c r="H6" s="16">
        <v>7207.9892814949699</v>
      </c>
      <c r="I6" s="23">
        <f t="shared" si="0"/>
        <v>0.53220915659869295</v>
      </c>
      <c r="J6" s="23">
        <f t="shared" si="1"/>
        <v>7.0526353276421601</v>
      </c>
      <c r="K6" s="23">
        <f t="shared" si="2"/>
        <v>6.0818578059311568</v>
      </c>
      <c r="L6" s="3" t="s">
        <v>92</v>
      </c>
    </row>
    <row r="7" spans="1:12" x14ac:dyDescent="0.3">
      <c r="A7" s="18">
        <v>6</v>
      </c>
      <c r="B7" s="16">
        <v>1184.7941088495261</v>
      </c>
      <c r="C7" s="16">
        <v>3735</v>
      </c>
      <c r="D7" s="16">
        <v>81.145144562707102</v>
      </c>
      <c r="E7" s="16">
        <v>5.77948345780257</v>
      </c>
      <c r="F7" s="16">
        <v>629.53991430065901</v>
      </c>
      <c r="G7" s="16">
        <v>8309.8074819999802</v>
      </c>
      <c r="H7" s="16">
        <v>7171.4909524789609</v>
      </c>
      <c r="I7" s="5">
        <f t="shared" si="0"/>
        <v>0.53134963247915112</v>
      </c>
      <c r="J7" s="5">
        <f t="shared" si="1"/>
        <v>7.013714382888919</v>
      </c>
      <c r="K7" s="5">
        <f t="shared" si="2"/>
        <v>6.0529427846689021</v>
      </c>
    </row>
    <row r="8" spans="1:12" x14ac:dyDescent="0.3">
      <c r="A8" s="18">
        <v>7</v>
      </c>
      <c r="B8" s="16">
        <v>1184.7577461576889</v>
      </c>
      <c r="C8" s="16">
        <v>3746</v>
      </c>
      <c r="D8" s="16">
        <v>81.545048103345451</v>
      </c>
      <c r="E8" s="16">
        <v>5.7793060788179904</v>
      </c>
      <c r="F8" s="16">
        <v>629.49016553669094</v>
      </c>
      <c r="G8" s="16">
        <v>8320.4098119999799</v>
      </c>
      <c r="H8" s="16">
        <v>7183.6924690669603</v>
      </c>
      <c r="I8" s="5">
        <f t="shared" si="0"/>
        <v>0.53132395004649924</v>
      </c>
      <c r="J8" s="5">
        <f t="shared" si="1"/>
        <v>7.0228785918337016</v>
      </c>
      <c r="K8" s="5">
        <f t="shared" si="2"/>
        <v>6.0634273060163855</v>
      </c>
    </row>
    <row r="9" spans="1:12" x14ac:dyDescent="0.3">
      <c r="A9" s="18">
        <v>8</v>
      </c>
      <c r="B9" s="16">
        <v>1185.4411241228229</v>
      </c>
      <c r="C9" s="16">
        <v>3737</v>
      </c>
      <c r="D9" s="16">
        <v>81.212872291023245</v>
      </c>
      <c r="E9" s="16">
        <v>5.7545685637030299</v>
      </c>
      <c r="F9" s="16">
        <v>629.48026602370703</v>
      </c>
      <c r="G9" s="16">
        <v>8303.1782589999711</v>
      </c>
      <c r="H9" s="16">
        <v>7160.9595775279704</v>
      </c>
      <c r="I9" s="5">
        <f t="shared" si="0"/>
        <v>0.53100930380620648</v>
      </c>
      <c r="J9" s="5">
        <f t="shared" si="1"/>
        <v>7.0042940893787344</v>
      </c>
      <c r="K9" s="5">
        <f t="shared" si="2"/>
        <v>6.0407551516544382</v>
      </c>
    </row>
    <row r="10" spans="1:12" x14ac:dyDescent="0.3">
      <c r="A10" s="18">
        <v>9</v>
      </c>
      <c r="B10" s="16">
        <v>1186.1992947478691</v>
      </c>
      <c r="C10" s="16">
        <v>3736</v>
      </c>
      <c r="D10" s="16">
        <v>81.216168443324705</v>
      </c>
      <c r="E10" s="16">
        <v>5.7863380231603401</v>
      </c>
      <c r="F10" s="16">
        <v>629.68561782768802</v>
      </c>
      <c r="G10" s="16">
        <v>8298.1929009999803</v>
      </c>
      <c r="H10" s="16">
        <v>7163.3590378309709</v>
      </c>
      <c r="I10" s="5">
        <f t="shared" si="0"/>
        <v>0.53084302158646113</v>
      </c>
      <c r="J10" s="5">
        <f t="shared" si="1"/>
        <v>6.9956144281503647</v>
      </c>
      <c r="K10" s="5">
        <f t="shared" si="2"/>
        <v>6.0389169590204217</v>
      </c>
    </row>
    <row r="11" spans="1:12" x14ac:dyDescent="0.3">
      <c r="A11" s="18">
        <v>10</v>
      </c>
      <c r="B11" s="16">
        <v>1215.9299454296429</v>
      </c>
      <c r="C11" s="16">
        <v>3572</v>
      </c>
      <c r="D11" s="16">
        <v>18.181520147890424</v>
      </c>
      <c r="E11" s="16">
        <v>11.155320600271899</v>
      </c>
      <c r="F11" s="16">
        <v>480.51950081977111</v>
      </c>
      <c r="G11" s="16">
        <v>6565.2538359999598</v>
      </c>
      <c r="H11" s="16">
        <v>5838.3660423179899</v>
      </c>
      <c r="I11" s="5">
        <f t="shared" si="0"/>
        <v>0.39518683015079614</v>
      </c>
      <c r="J11" s="5">
        <f t="shared" si="1"/>
        <v>5.3993684921380565</v>
      </c>
      <c r="K11" s="5">
        <f t="shared" si="2"/>
        <v>4.8015644850781527</v>
      </c>
    </row>
    <row r="12" spans="1:12" x14ac:dyDescent="0.3">
      <c r="A12" s="18">
        <v>11</v>
      </c>
      <c r="B12" s="16">
        <v>1215.7369472491239</v>
      </c>
      <c r="C12" s="16">
        <v>3573</v>
      </c>
      <c r="D12" s="16">
        <v>18.181520147890424</v>
      </c>
      <c r="E12" s="16">
        <v>11.256823585639999</v>
      </c>
      <c r="F12" s="16">
        <v>479.77746157617571</v>
      </c>
      <c r="G12" s="16">
        <v>6557.8061039999602</v>
      </c>
      <c r="H12" s="16">
        <v>5835.8680910769899</v>
      </c>
      <c r="I12" s="5">
        <f t="shared" si="0"/>
        <v>0.39463920436224242</v>
      </c>
      <c r="J12" s="5">
        <f t="shared" si="1"/>
        <v>5.394099536777639</v>
      </c>
      <c r="K12" s="5">
        <f t="shared" si="2"/>
        <v>4.800272052504404</v>
      </c>
    </row>
    <row r="13" spans="1:12" x14ac:dyDescent="0.3">
      <c r="A13" s="18">
        <v>12</v>
      </c>
      <c r="B13" s="16">
        <v>1215.2854652249418</v>
      </c>
      <c r="C13" s="16">
        <v>3573</v>
      </c>
      <c r="D13" s="16">
        <v>18.181520147890424</v>
      </c>
      <c r="E13" s="16">
        <v>11.252643196527201</v>
      </c>
      <c r="F13" s="16">
        <v>479.43385689533403</v>
      </c>
      <c r="G13" s="16">
        <v>6560.35737099996</v>
      </c>
      <c r="H13" s="16">
        <v>5834.1531596449904</v>
      </c>
      <c r="I13" s="5">
        <f t="shared" si="0"/>
        <v>0.39450307817726904</v>
      </c>
      <c r="J13" s="5">
        <f t="shared" si="1"/>
        <v>5.3982027751691071</v>
      </c>
      <c r="K13" s="5">
        <f t="shared" si="2"/>
        <v>4.8006442326413614</v>
      </c>
    </row>
    <row r="14" spans="1:12" x14ac:dyDescent="0.3">
      <c r="A14" s="18">
        <v>13</v>
      </c>
      <c r="B14" s="16">
        <v>1213.40592342278</v>
      </c>
      <c r="C14" s="16">
        <v>3573</v>
      </c>
      <c r="D14" s="16">
        <v>18.181520147890424</v>
      </c>
      <c r="E14" s="16">
        <v>11.235240031692401</v>
      </c>
      <c r="F14" s="16">
        <v>478.6566939146357</v>
      </c>
      <c r="G14" s="16">
        <v>6548.8194069999608</v>
      </c>
      <c r="H14" s="16">
        <v>5828.6077476659902</v>
      </c>
      <c r="I14" s="5">
        <f t="shared" si="0"/>
        <v>0.39447367502907771</v>
      </c>
      <c r="J14" s="5">
        <f t="shared" si="1"/>
        <v>5.3970557425062067</v>
      </c>
      <c r="K14" s="5">
        <f t="shared" si="2"/>
        <v>4.8035102146399877</v>
      </c>
    </row>
    <row r="15" spans="1:12" x14ac:dyDescent="0.3">
      <c r="A15" s="18">
        <v>14</v>
      </c>
      <c r="B15" s="16">
        <v>1187.048753401057</v>
      </c>
      <c r="C15" s="16">
        <v>3744</v>
      </c>
      <c r="D15" s="16">
        <v>81.415962902176105</v>
      </c>
      <c r="E15" s="16">
        <v>5.7937599489934497</v>
      </c>
      <c r="F15" s="16">
        <v>630.42995867947195</v>
      </c>
      <c r="G15" s="16">
        <v>8317.5661729999701</v>
      </c>
      <c r="H15" s="16">
        <v>7178.3781606029606</v>
      </c>
      <c r="I15" s="5">
        <f t="shared" si="0"/>
        <v>0.53109019901095378</v>
      </c>
      <c r="J15" s="5">
        <f t="shared" si="1"/>
        <v>7.006928863847425</v>
      </c>
      <c r="K15" s="5">
        <f t="shared" si="2"/>
        <v>6.04724796688925</v>
      </c>
    </row>
    <row r="16" spans="1:12" x14ac:dyDescent="0.3">
      <c r="A16" s="18">
        <v>15</v>
      </c>
      <c r="B16" s="16">
        <v>1183.3684193027061</v>
      </c>
      <c r="C16" s="16">
        <v>3734</v>
      </c>
      <c r="D16" s="16">
        <v>80.419447979556622</v>
      </c>
      <c r="E16" s="16">
        <v>5.7725288746473504</v>
      </c>
      <c r="F16" s="16">
        <v>630.82589952856699</v>
      </c>
      <c r="G16" s="16">
        <v>8324.0652869999703</v>
      </c>
      <c r="H16" s="16">
        <v>7184.34426325799</v>
      </c>
      <c r="I16" s="5">
        <f t="shared" si="0"/>
        <v>0.53307650368114268</v>
      </c>
      <c r="J16" s="5">
        <f t="shared" si="1"/>
        <v>7.034212804077435</v>
      </c>
      <c r="K16" s="5">
        <f t="shared" si="2"/>
        <v>6.0710968334707873</v>
      </c>
    </row>
    <row r="17" spans="1:11" x14ac:dyDescent="0.3">
      <c r="A17" s="18">
        <v>16</v>
      </c>
      <c r="B17" s="16">
        <v>1187.3896692006879</v>
      </c>
      <c r="C17" s="16">
        <v>3745</v>
      </c>
      <c r="D17" s="16">
        <v>80.759413153350522</v>
      </c>
      <c r="E17" s="16">
        <v>5.8205375941210296</v>
      </c>
      <c r="F17" s="16">
        <v>631.35909985582498</v>
      </c>
      <c r="G17" s="16">
        <v>8327.4471599999706</v>
      </c>
      <c r="H17" s="16">
        <v>7191.9228495899806</v>
      </c>
      <c r="I17" s="5">
        <f t="shared" si="0"/>
        <v>0.53172022313520328</v>
      </c>
      <c r="J17" s="5">
        <f t="shared" si="1"/>
        <v>7.0132386831407567</v>
      </c>
      <c r="K17" s="5">
        <f t="shared" si="2"/>
        <v>6.0569188330831185</v>
      </c>
    </row>
    <row r="18" spans="1:11" x14ac:dyDescent="0.3">
      <c r="A18" s="18">
        <v>17</v>
      </c>
      <c r="B18" s="16">
        <v>1211.629670727976</v>
      </c>
      <c r="C18" s="16">
        <v>3587</v>
      </c>
      <c r="D18" s="16">
        <v>12.255819471088509</v>
      </c>
      <c r="E18" s="16">
        <v>10.013468353123701</v>
      </c>
      <c r="F18" s="16">
        <v>514.30964167788261</v>
      </c>
      <c r="G18" s="16">
        <v>6974.9150859999791</v>
      </c>
      <c r="H18" s="16">
        <v>6126.452403248989</v>
      </c>
      <c r="I18" s="5">
        <f t="shared" si="0"/>
        <v>0.42447758923638207</v>
      </c>
      <c r="J18" s="5">
        <f t="shared" si="1"/>
        <v>5.7566393878496589</v>
      </c>
      <c r="K18" s="5">
        <f t="shared" si="2"/>
        <v>5.0563737016840058</v>
      </c>
    </row>
    <row r="19" spans="1:11" x14ac:dyDescent="0.3">
      <c r="A19" s="18">
        <v>18</v>
      </c>
      <c r="B19" s="16">
        <v>1210.647263690696</v>
      </c>
      <c r="C19" s="16">
        <v>3587</v>
      </c>
      <c r="D19" s="16">
        <v>12.255819471088509</v>
      </c>
      <c r="E19" s="16">
        <v>10.005349286699898</v>
      </c>
      <c r="F19" s="16">
        <v>514.51985219307903</v>
      </c>
      <c r="G19" s="16">
        <v>6974.9913179999694</v>
      </c>
      <c r="H19" s="16">
        <v>6126.2760049539884</v>
      </c>
      <c r="I19" s="5">
        <f t="shared" si="0"/>
        <v>0.42499567596968679</v>
      </c>
      <c r="J19" s="5">
        <f t="shared" si="1"/>
        <v>5.7613737107342811</v>
      </c>
      <c r="K19" s="5">
        <f t="shared" si="2"/>
        <v>5.0603311044356918</v>
      </c>
    </row>
    <row r="20" spans="1:11" x14ac:dyDescent="0.3">
      <c r="A20" s="18">
        <v>19</v>
      </c>
      <c r="B20" s="16">
        <v>1209.2012816216641</v>
      </c>
      <c r="C20" s="16">
        <v>3587</v>
      </c>
      <c r="D20" s="16">
        <v>12.255819471088509</v>
      </c>
      <c r="E20" s="16">
        <v>10.076677346847202</v>
      </c>
      <c r="F20" s="16">
        <v>513.60006163184357</v>
      </c>
      <c r="G20" s="16">
        <v>6962.4306629999692</v>
      </c>
      <c r="H20" s="16">
        <v>6116.5782390759887</v>
      </c>
      <c r="I20" s="5">
        <f t="shared" si="0"/>
        <v>0.42474323294055127</v>
      </c>
      <c r="J20" s="5">
        <f t="shared" si="1"/>
        <v>5.7578756893663137</v>
      </c>
      <c r="K20" s="5">
        <f t="shared" si="2"/>
        <v>5.0583623521081815</v>
      </c>
    </row>
    <row r="21" spans="1:11" x14ac:dyDescent="0.3">
      <c r="A21" s="18">
        <v>20</v>
      </c>
      <c r="B21" s="16">
        <v>1215.1109837677241</v>
      </c>
      <c r="C21" s="16">
        <v>3587</v>
      </c>
      <c r="D21" s="16">
        <v>12.255819471088509</v>
      </c>
      <c r="E21" s="16">
        <v>10.042239535270399</v>
      </c>
      <c r="F21" s="16">
        <v>514.4395261009654</v>
      </c>
      <c r="G21" s="16">
        <v>6973.5980489999693</v>
      </c>
      <c r="H21" s="16">
        <v>6129.0423568819879</v>
      </c>
      <c r="I21" s="5">
        <f t="shared" si="0"/>
        <v>0.42336834492749814</v>
      </c>
      <c r="J21" s="5">
        <f t="shared" si="1"/>
        <v>5.7390626388519381</v>
      </c>
      <c r="K21" s="5">
        <f t="shared" si="2"/>
        <v>5.0440185618909625</v>
      </c>
    </row>
    <row r="22" spans="1:11" x14ac:dyDescent="0.3">
      <c r="A22" s="18">
        <v>21</v>
      </c>
      <c r="B22" s="16">
        <v>1211.4174857979799</v>
      </c>
      <c r="C22" s="16">
        <v>3572</v>
      </c>
      <c r="D22" s="16">
        <v>18.181520147890424</v>
      </c>
      <c r="E22" s="16">
        <v>11.216828572203498</v>
      </c>
      <c r="F22" s="16">
        <v>478.40974203922519</v>
      </c>
      <c r="G22" s="16">
        <v>6557.0867949999601</v>
      </c>
      <c r="H22" s="16">
        <v>5831.90133233899</v>
      </c>
      <c r="I22" s="5">
        <f t="shared" si="0"/>
        <v>0.39491731599374191</v>
      </c>
      <c r="J22" s="5">
        <f t="shared" si="1"/>
        <v>5.4127391026395024</v>
      </c>
      <c r="K22" s="5">
        <f t="shared" si="2"/>
        <v>4.8141135493825438</v>
      </c>
    </row>
    <row r="23" spans="1:11" x14ac:dyDescent="0.3">
      <c r="A23" s="18">
        <v>22</v>
      </c>
      <c r="B23" s="16">
        <v>1209.7049447199681</v>
      </c>
      <c r="C23" s="16">
        <v>3587</v>
      </c>
      <c r="D23" s="16">
        <v>12.255819471088509</v>
      </c>
      <c r="E23" s="16">
        <v>9.9975615266113316</v>
      </c>
      <c r="F23" s="16">
        <v>513.8373740791925</v>
      </c>
      <c r="G23" s="16">
        <v>6977.3394079999789</v>
      </c>
      <c r="H23" s="16">
        <v>6127.7778851879893</v>
      </c>
      <c r="I23" s="5">
        <f t="shared" si="0"/>
        <v>0.42476256406320595</v>
      </c>
      <c r="J23" s="5">
        <f t="shared" si="1"/>
        <v>5.7678026682904466</v>
      </c>
      <c r="K23" s="5">
        <f t="shared" si="2"/>
        <v>5.0655144561771586</v>
      </c>
    </row>
    <row r="24" spans="1:11" x14ac:dyDescent="0.3">
      <c r="A24" s="18">
        <v>23</v>
      </c>
      <c r="B24" s="16">
        <v>1211.3544855083921</v>
      </c>
      <c r="C24" s="16">
        <v>3587</v>
      </c>
      <c r="D24" s="16">
        <v>12.255819471088509</v>
      </c>
      <c r="E24" s="16">
        <v>9.9291351271179895</v>
      </c>
      <c r="F24" s="16">
        <v>514.58032431528295</v>
      </c>
      <c r="G24" s="16">
        <v>6998.2504289999688</v>
      </c>
      <c r="H24" s="16">
        <v>6148.1274597229885</v>
      </c>
      <c r="I24" s="5">
        <f t="shared" si="0"/>
        <v>0.42479747297036613</v>
      </c>
      <c r="J24" s="5">
        <f t="shared" si="1"/>
        <v>5.7772109755823298</v>
      </c>
      <c r="K24" s="5">
        <f t="shared" si="2"/>
        <v>5.0754156056496438</v>
      </c>
    </row>
    <row r="25" spans="1:11" x14ac:dyDescent="0.3">
      <c r="A25" s="18">
        <v>24</v>
      </c>
      <c r="B25" s="16">
        <v>1216.005430232485</v>
      </c>
      <c r="C25" s="16">
        <v>3572</v>
      </c>
      <c r="D25" s="16">
        <v>18.181520147890424</v>
      </c>
      <c r="E25" s="16">
        <v>11.2593095391896</v>
      </c>
      <c r="F25" s="16">
        <v>479.20957304381966</v>
      </c>
      <c r="G25" s="16">
        <v>6549.07964299996</v>
      </c>
      <c r="H25" s="16">
        <v>5827.0271114709903</v>
      </c>
      <c r="I25" s="5">
        <f t="shared" si="0"/>
        <v>0.39408506009072741</v>
      </c>
      <c r="J25" s="5">
        <f t="shared" si="1"/>
        <v>5.3857322345574214</v>
      </c>
      <c r="K25" s="5">
        <f t="shared" si="2"/>
        <v>4.791941685948669</v>
      </c>
    </row>
    <row r="26" spans="1:11" x14ac:dyDescent="0.3">
      <c r="A26" s="18">
        <v>25</v>
      </c>
      <c r="B26" s="16">
        <v>1213.4683031399431</v>
      </c>
      <c r="C26" s="16">
        <v>3587</v>
      </c>
      <c r="D26" s="16">
        <v>12.255819471088509</v>
      </c>
      <c r="E26" s="16">
        <v>10.028663662313601</v>
      </c>
      <c r="F26" s="16">
        <v>514.47214523369405</v>
      </c>
      <c r="G26" s="16">
        <v>6973.8589999999786</v>
      </c>
      <c r="H26" s="16">
        <v>6129.087159067989</v>
      </c>
      <c r="I26" s="5">
        <f t="shared" si="0"/>
        <v>0.4239683425619421</v>
      </c>
      <c r="J26" s="5">
        <f t="shared" si="1"/>
        <v>5.7470466941366158</v>
      </c>
      <c r="K26" s="5">
        <f t="shared" si="2"/>
        <v>5.0508836062783855</v>
      </c>
    </row>
    <row r="27" spans="1:11" x14ac:dyDescent="0.3">
      <c r="A27" s="18">
        <v>26</v>
      </c>
      <c r="B27" s="16">
        <v>1212.8515250177841</v>
      </c>
      <c r="C27" s="16">
        <v>3587</v>
      </c>
      <c r="D27" s="16">
        <v>12.255819471088509</v>
      </c>
      <c r="E27" s="16">
        <v>9.8605815042096499</v>
      </c>
      <c r="F27" s="16">
        <v>515.39657781868675</v>
      </c>
      <c r="G27" s="16">
        <v>7004.2772269999787</v>
      </c>
      <c r="H27" s="16">
        <v>6151.30808914299</v>
      </c>
      <c r="I27" s="5">
        <f t="shared" si="0"/>
        <v>0.42494614319022228</v>
      </c>
      <c r="J27" s="5">
        <f t="shared" si="1"/>
        <v>5.7750491981261058</v>
      </c>
      <c r="K27" s="5">
        <f t="shared" si="2"/>
        <v>5.0717733887936474</v>
      </c>
    </row>
    <row r="28" spans="1:11" x14ac:dyDescent="0.3">
      <c r="A28" s="18">
        <v>27</v>
      </c>
      <c r="B28" s="16">
        <v>1213.1648077725081</v>
      </c>
      <c r="C28" s="16">
        <v>3587</v>
      </c>
      <c r="D28" s="16">
        <v>12.255819471088509</v>
      </c>
      <c r="E28" s="16">
        <v>9.9439738342009019</v>
      </c>
      <c r="F28" s="16">
        <v>515.84316575576952</v>
      </c>
      <c r="G28" s="16">
        <v>6985.1238449999801</v>
      </c>
      <c r="H28" s="16">
        <v>6135.8742480959891</v>
      </c>
      <c r="I28" s="5">
        <f t="shared" si="0"/>
        <v>0.42520452493417538</v>
      </c>
      <c r="J28" s="5">
        <f t="shared" si="1"/>
        <v>5.757769925609173</v>
      </c>
      <c r="K28" s="5">
        <f t="shared" si="2"/>
        <v>5.0577417089456027</v>
      </c>
    </row>
    <row r="29" spans="1:11" x14ac:dyDescent="0.3">
      <c r="A29" s="18">
        <v>28</v>
      </c>
      <c r="B29" s="16">
        <v>1185.4749555837971</v>
      </c>
      <c r="C29" s="16">
        <v>3738</v>
      </c>
      <c r="D29" s="16">
        <v>81.148108385493998</v>
      </c>
      <c r="E29" s="16">
        <v>6.2723542623481396</v>
      </c>
      <c r="F29" s="16">
        <v>622.72896249458995</v>
      </c>
      <c r="G29" s="16">
        <v>8137.4900079999807</v>
      </c>
      <c r="H29" s="16">
        <v>6979.9020781189693</v>
      </c>
      <c r="I29" s="5">
        <f t="shared" si="0"/>
        <v>0.52529912973819159</v>
      </c>
      <c r="J29" s="5">
        <f t="shared" si="1"/>
        <v>6.8643289085703252</v>
      </c>
      <c r="K29" s="5">
        <f t="shared" si="2"/>
        <v>5.88785283505349</v>
      </c>
    </row>
    <row r="30" spans="1:11" x14ac:dyDescent="0.3">
      <c r="A30" s="18">
        <v>29</v>
      </c>
      <c r="B30" s="16">
        <v>1186.2885540915061</v>
      </c>
      <c r="C30" s="16">
        <v>3727</v>
      </c>
      <c r="D30" s="16">
        <v>80.776241023391648</v>
      </c>
      <c r="E30" s="16">
        <v>6.2109348381754197</v>
      </c>
      <c r="F30" s="16">
        <v>623.89485220230904</v>
      </c>
      <c r="G30" s="16">
        <v>8167.6249279999793</v>
      </c>
      <c r="H30" s="16">
        <v>6998.3956711049705</v>
      </c>
      <c r="I30" s="5">
        <f t="shared" si="0"/>
        <v>0.52592166555978082</v>
      </c>
      <c r="J30" s="5">
        <f t="shared" si="1"/>
        <v>6.8850237995046504</v>
      </c>
      <c r="K30" s="5">
        <f t="shared" si="2"/>
        <v>5.8994041938342257</v>
      </c>
    </row>
    <row r="31" spans="1:11" x14ac:dyDescent="0.3">
      <c r="A31" s="18">
        <v>30</v>
      </c>
      <c r="B31" s="16">
        <v>1187.3427061299039</v>
      </c>
      <c r="C31" s="16">
        <v>3720</v>
      </c>
      <c r="D31" s="16">
        <v>80.610877948112957</v>
      </c>
      <c r="E31" s="16">
        <v>6.2822365403698699</v>
      </c>
      <c r="F31" s="16">
        <v>621.30605744005106</v>
      </c>
      <c r="G31" s="16">
        <v>8130.7752119999695</v>
      </c>
      <c r="H31" s="16">
        <v>6973.8456007849709</v>
      </c>
      <c r="I31" s="5">
        <f t="shared" si="0"/>
        <v>0.52327441288216892</v>
      </c>
      <c r="J31" s="5">
        <f t="shared" si="1"/>
        <v>6.8478756554642137</v>
      </c>
      <c r="K31" s="5">
        <f t="shared" si="2"/>
        <v>5.8734900755957327</v>
      </c>
    </row>
    <row r="32" spans="1:11" x14ac:dyDescent="0.3">
      <c r="A32" s="18">
        <v>31</v>
      </c>
      <c r="B32" s="16">
        <v>1188.239029987812</v>
      </c>
      <c r="C32" s="16">
        <v>3725</v>
      </c>
      <c r="D32" s="16">
        <v>80.784452167893377</v>
      </c>
      <c r="E32" s="16">
        <v>6.2869789946445103</v>
      </c>
      <c r="F32" s="16">
        <v>621.64985224331099</v>
      </c>
      <c r="G32" s="16">
        <v>8136.7979269999705</v>
      </c>
      <c r="H32" s="16">
        <v>6980.3173382729701</v>
      </c>
      <c r="I32" s="5">
        <f t="shared" si="0"/>
        <v>0.52316902286039813</v>
      </c>
      <c r="J32" s="5">
        <f t="shared" si="1"/>
        <v>6.8477787058412236</v>
      </c>
      <c r="K32" s="5">
        <f t="shared" si="2"/>
        <v>5.8745060228703041</v>
      </c>
    </row>
    <row r="33" spans="1:11" x14ac:dyDescent="0.3">
      <c r="A33" s="18">
        <v>32</v>
      </c>
      <c r="B33" s="16">
        <v>1190.646431854118</v>
      </c>
      <c r="C33" s="16">
        <v>3734</v>
      </c>
      <c r="D33" s="16">
        <v>81.067040468054145</v>
      </c>
      <c r="E33" s="16">
        <v>6.3332257013516999</v>
      </c>
      <c r="F33" s="16">
        <v>623.13282927765101</v>
      </c>
      <c r="G33" s="16">
        <v>8096.5244349999703</v>
      </c>
      <c r="H33" s="16">
        <v>6946.2862968959689</v>
      </c>
      <c r="I33" s="5">
        <f t="shared" si="0"/>
        <v>0.52335673513696745</v>
      </c>
      <c r="J33" s="5">
        <f t="shared" si="1"/>
        <v>6.8001080911919143</v>
      </c>
      <c r="K33" s="5">
        <f t="shared" si="2"/>
        <v>5.8340462046981987</v>
      </c>
    </row>
    <row r="34" spans="1:11" x14ac:dyDescent="0.3">
      <c r="A34" s="18">
        <v>33</v>
      </c>
      <c r="B34" s="16">
        <v>1184.3096042411821</v>
      </c>
      <c r="C34" s="16">
        <v>3724</v>
      </c>
      <c r="D34" s="16">
        <v>80.730834582120522</v>
      </c>
      <c r="E34" s="16">
        <v>6.2661883822284796</v>
      </c>
      <c r="F34" s="16">
        <v>620.13260953113797</v>
      </c>
      <c r="G34" s="16">
        <v>8119.1623989999707</v>
      </c>
      <c r="H34" s="16">
        <v>6963.4754766089809</v>
      </c>
      <c r="I34" s="5">
        <f t="shared" si="0"/>
        <v>0.52362372753742292</v>
      </c>
      <c r="J34" s="5">
        <f t="shared" si="1"/>
        <v>6.8556080014247023</v>
      </c>
      <c r="K34" s="5">
        <f t="shared" si="2"/>
        <v>5.8797762440427563</v>
      </c>
    </row>
    <row r="35" spans="1:11" x14ac:dyDescent="0.3">
      <c r="A35" s="18">
        <v>34</v>
      </c>
      <c r="B35" s="16">
        <v>1186.850841037535</v>
      </c>
      <c r="C35" s="16">
        <v>3728</v>
      </c>
      <c r="D35" s="16">
        <v>80.898884088596219</v>
      </c>
      <c r="E35" s="16">
        <v>6.3130363884975296</v>
      </c>
      <c r="F35" s="16">
        <v>623.39399394295901</v>
      </c>
      <c r="G35" s="16">
        <v>8150.3074499999693</v>
      </c>
      <c r="H35" s="16">
        <v>6993.2795183519693</v>
      </c>
      <c r="I35" s="5">
        <f t="shared" si="0"/>
        <v>0.5252504968509718</v>
      </c>
      <c r="J35" s="5">
        <f t="shared" si="1"/>
        <v>6.8671708088229853</v>
      </c>
      <c r="K35" s="5">
        <f t="shared" si="2"/>
        <v>5.8922985741312726</v>
      </c>
    </row>
    <row r="36" spans="1:11" x14ac:dyDescent="0.3">
      <c r="A36" s="18">
        <v>35</v>
      </c>
      <c r="B36" s="16">
        <v>1186.4675388770729</v>
      </c>
      <c r="C36" s="16">
        <v>3719</v>
      </c>
      <c r="D36" s="16">
        <v>80.595961037836162</v>
      </c>
      <c r="E36" s="16">
        <v>6.2488382633774497</v>
      </c>
      <c r="F36" s="16">
        <v>619.95372746353598</v>
      </c>
      <c r="G36" s="16">
        <v>8147.3698859999595</v>
      </c>
      <c r="H36" s="16">
        <v>6985.6360349369797</v>
      </c>
      <c r="I36" s="5">
        <f t="shared" si="0"/>
        <v>0.52252059761389558</v>
      </c>
      <c r="J36" s="5">
        <f t="shared" si="1"/>
        <v>6.8669134376074057</v>
      </c>
      <c r="K36" s="5">
        <f t="shared" si="2"/>
        <v>5.8877599310879631</v>
      </c>
    </row>
    <row r="37" spans="1:11" x14ac:dyDescent="0.3">
      <c r="A37" s="18">
        <v>36</v>
      </c>
      <c r="B37" s="16">
        <v>1212.412878077899</v>
      </c>
      <c r="C37" s="16">
        <v>3573</v>
      </c>
      <c r="D37" s="16">
        <v>18.181520147890424</v>
      </c>
      <c r="E37" s="16">
        <v>13.777419069066998</v>
      </c>
      <c r="F37" s="16">
        <v>467.53081427052803</v>
      </c>
      <c r="G37" s="16">
        <v>6291.4388429999599</v>
      </c>
      <c r="H37" s="16">
        <v>5567.7027060509899</v>
      </c>
      <c r="I37" s="5">
        <f t="shared" si="0"/>
        <v>0.38562013215475643</v>
      </c>
      <c r="J37" s="5">
        <f t="shared" si="1"/>
        <v>5.1891884000556843</v>
      </c>
      <c r="K37" s="5">
        <f t="shared" si="2"/>
        <v>4.5922497250918006</v>
      </c>
    </row>
    <row r="38" spans="1:11" x14ac:dyDescent="0.3">
      <c r="A38" s="18">
        <v>37</v>
      </c>
      <c r="B38" s="16">
        <v>1219.6311315515741</v>
      </c>
      <c r="C38" s="16">
        <v>3573</v>
      </c>
      <c r="D38" s="16">
        <v>18.181520147890424</v>
      </c>
      <c r="E38" s="16">
        <v>13.859444676722402</v>
      </c>
      <c r="F38" s="16">
        <v>466.50974460526982</v>
      </c>
      <c r="G38" s="16">
        <v>6282.6859599999598</v>
      </c>
      <c r="H38" s="16">
        <v>5561.5676846499891</v>
      </c>
      <c r="I38" s="5">
        <f t="shared" si="0"/>
        <v>0.38250068609825633</v>
      </c>
      <c r="J38" s="5">
        <f t="shared" si="1"/>
        <v>5.1513000918624767</v>
      </c>
      <c r="K38" s="5">
        <f t="shared" si="2"/>
        <v>4.5600407703391008</v>
      </c>
    </row>
    <row r="39" spans="1:11" x14ac:dyDescent="0.3">
      <c r="A39" s="18">
        <v>38</v>
      </c>
      <c r="B39" s="16">
        <v>1216.2977510709802</v>
      </c>
      <c r="C39" s="16">
        <v>3573</v>
      </c>
      <c r="D39" s="16">
        <v>18.181520147890424</v>
      </c>
      <c r="E39" s="16">
        <v>13.821565353079304</v>
      </c>
      <c r="F39" s="16">
        <v>467.19680379896528</v>
      </c>
      <c r="G39" s="16">
        <v>6270.5173439999598</v>
      </c>
      <c r="H39" s="16">
        <v>5552.2024588199902</v>
      </c>
      <c r="I39" s="5">
        <f t="shared" si="0"/>
        <v>0.38411384333119664</v>
      </c>
      <c r="J39" s="5">
        <f t="shared" si="1"/>
        <v>5.1554130873617208</v>
      </c>
      <c r="K39" s="5">
        <f t="shared" si="2"/>
        <v>4.5648382182168294</v>
      </c>
    </row>
    <row r="40" spans="1:11" x14ac:dyDescent="0.3">
      <c r="A40" s="18">
        <v>39</v>
      </c>
      <c r="B40" s="16">
        <v>1215.7113400337</v>
      </c>
      <c r="C40" s="16">
        <v>3573</v>
      </c>
      <c r="D40" s="16">
        <v>18.181520147890424</v>
      </c>
      <c r="E40" s="16">
        <v>14.136178372484903</v>
      </c>
      <c r="F40" s="16">
        <v>465.75394960357698</v>
      </c>
      <c r="G40" s="16">
        <v>6240.1113059999607</v>
      </c>
      <c r="H40" s="16">
        <v>5528.3794944599704</v>
      </c>
      <c r="I40" s="5">
        <f t="shared" si="0"/>
        <v>0.38311228518331175</v>
      </c>
      <c r="J40" s="5">
        <f t="shared" si="1"/>
        <v>5.1328889519340848</v>
      </c>
      <c r="K40" s="5">
        <f t="shared" si="2"/>
        <v>4.5474442101582451</v>
      </c>
    </row>
    <row r="41" spans="1:11" x14ac:dyDescent="0.3">
      <c r="A41" s="18">
        <v>40</v>
      </c>
      <c r="B41" s="16">
        <v>1191.639398296074</v>
      </c>
      <c r="C41" s="16">
        <v>3726</v>
      </c>
      <c r="D41" s="16">
        <v>80.880713999958346</v>
      </c>
      <c r="E41" s="16">
        <v>6.3724031994442498</v>
      </c>
      <c r="F41" s="16">
        <v>620.97753743470503</v>
      </c>
      <c r="G41" s="16">
        <v>8081.5378389999696</v>
      </c>
      <c r="H41" s="16">
        <v>6934.5181284909686</v>
      </c>
      <c r="I41" s="5">
        <f t="shared" si="0"/>
        <v>0.52111195578347047</v>
      </c>
      <c r="J41" s="5">
        <f t="shared" si="1"/>
        <v>6.7818652610477352</v>
      </c>
      <c r="K41" s="5">
        <f t="shared" si="2"/>
        <v>5.8193092125072745</v>
      </c>
    </row>
    <row r="42" spans="1:11" x14ac:dyDescent="0.3">
      <c r="A42" s="18">
        <v>41</v>
      </c>
      <c r="B42" s="16">
        <v>1213.3785254648189</v>
      </c>
      <c r="C42" s="16">
        <v>3573</v>
      </c>
      <c r="D42" s="16">
        <v>18.181520147890424</v>
      </c>
      <c r="E42" s="16">
        <v>13.946879603043898</v>
      </c>
      <c r="F42" s="16">
        <v>466.11403540371191</v>
      </c>
      <c r="G42" s="16">
        <v>6268.6876519999605</v>
      </c>
      <c r="H42" s="16">
        <v>5552.2644703159804</v>
      </c>
      <c r="I42" s="5">
        <f t="shared" si="0"/>
        <v>0.38414561130060693</v>
      </c>
      <c r="J42" s="5">
        <f t="shared" si="1"/>
        <v>5.1663083864110435</v>
      </c>
      <c r="K42" s="5">
        <f t="shared" si="2"/>
        <v>4.5758717117471885</v>
      </c>
    </row>
    <row r="43" spans="1:11" x14ac:dyDescent="0.3">
      <c r="A43" s="18">
        <v>42</v>
      </c>
      <c r="B43" s="16">
        <v>1214.5423556972789</v>
      </c>
      <c r="C43" s="16">
        <v>3573</v>
      </c>
      <c r="D43" s="16">
        <v>18.181520147890424</v>
      </c>
      <c r="E43" s="16">
        <v>13.960256962037702</v>
      </c>
      <c r="F43" s="16">
        <v>466.8007641792309</v>
      </c>
      <c r="G43" s="16">
        <v>6270.6505279999601</v>
      </c>
      <c r="H43" s="16">
        <v>5549.9102749639806</v>
      </c>
      <c r="I43" s="5">
        <f t="shared" si="0"/>
        <v>0.38434292718530733</v>
      </c>
      <c r="J43" s="5">
        <f t="shared" si="1"/>
        <v>5.1629739371254182</v>
      </c>
      <c r="K43" s="5">
        <f t="shared" si="2"/>
        <v>4.5695485619994951</v>
      </c>
    </row>
    <row r="44" spans="1:11" x14ac:dyDescent="0.3">
      <c r="A44" s="18">
        <v>43</v>
      </c>
      <c r="B44" s="16">
        <v>1211.9691907770871</v>
      </c>
      <c r="C44" s="16">
        <v>3573</v>
      </c>
      <c r="D44" s="16">
        <v>18.181520147890424</v>
      </c>
      <c r="E44" s="16">
        <v>13.9306803537596</v>
      </c>
      <c r="F44" s="16">
        <v>467.43487841894358</v>
      </c>
      <c r="G44" s="16">
        <v>6265.2610249999598</v>
      </c>
      <c r="H44" s="16">
        <v>5548.2328161289806</v>
      </c>
      <c r="I44" s="5">
        <f t="shared" si="0"/>
        <v>0.38568214602817996</v>
      </c>
      <c r="J44" s="5">
        <f t="shared" si="1"/>
        <v>5.1694886905357853</v>
      </c>
      <c r="K44" s="5">
        <f t="shared" si="2"/>
        <v>4.5778662183413923</v>
      </c>
    </row>
    <row r="45" spans="1:11" x14ac:dyDescent="0.3">
      <c r="A45" s="18">
        <v>44</v>
      </c>
      <c r="B45" s="16">
        <v>1210.6908044798529</v>
      </c>
      <c r="C45" s="16">
        <v>3573</v>
      </c>
      <c r="D45" s="16">
        <v>18.181520147890424</v>
      </c>
      <c r="E45" s="16">
        <v>13.915986258389099</v>
      </c>
      <c r="F45" s="16">
        <v>466.33681035048522</v>
      </c>
      <c r="G45" s="16">
        <v>6267.9038549999595</v>
      </c>
      <c r="H45" s="16">
        <v>5547.9596676829806</v>
      </c>
      <c r="I45" s="5">
        <f t="shared" si="0"/>
        <v>0.38518241703408057</v>
      </c>
      <c r="J45" s="5">
        <f t="shared" si="1"/>
        <v>5.1771301407487185</v>
      </c>
      <c r="K45" s="5">
        <f t="shared" si="2"/>
        <v>4.5824744411654645</v>
      </c>
    </row>
    <row r="46" spans="1:11" x14ac:dyDescent="0.3">
      <c r="A46" s="18">
        <v>45</v>
      </c>
      <c r="B46" s="16">
        <v>1213.098698535536</v>
      </c>
      <c r="C46" s="16">
        <v>3587</v>
      </c>
      <c r="D46" s="16">
        <v>12.255819471088509</v>
      </c>
      <c r="E46" s="16">
        <v>10.928817103923704</v>
      </c>
      <c r="F46" s="16">
        <v>508.66416308319145</v>
      </c>
      <c r="G46" s="16">
        <v>6878.8293429999794</v>
      </c>
      <c r="H46" s="16">
        <v>5944.4020512899897</v>
      </c>
      <c r="I46" s="5">
        <f t="shared" si="0"/>
        <v>0.41930979210286479</v>
      </c>
      <c r="J46" s="5">
        <f t="shared" si="1"/>
        <v>5.6704613988162436</v>
      </c>
      <c r="K46" s="5">
        <f t="shared" si="2"/>
        <v>4.9001800582806059</v>
      </c>
    </row>
    <row r="47" spans="1:11" x14ac:dyDescent="0.3">
      <c r="A47" s="18">
        <v>46</v>
      </c>
      <c r="B47" s="16">
        <v>1210.4859852335189</v>
      </c>
      <c r="C47" s="16">
        <v>3587</v>
      </c>
      <c r="D47" s="16">
        <v>12.255819471088509</v>
      </c>
      <c r="E47" s="16">
        <v>10.905279146247898</v>
      </c>
      <c r="F47" s="16">
        <v>509.84361870420486</v>
      </c>
      <c r="G47" s="16">
        <v>6874.9230389999784</v>
      </c>
      <c r="H47" s="16">
        <v>5946.5625853419897</v>
      </c>
      <c r="I47" s="5">
        <f t="shared" si="0"/>
        <v>0.42118919584669889</v>
      </c>
      <c r="J47" s="5">
        <f t="shared" si="1"/>
        <v>5.6794734700490679</v>
      </c>
      <c r="K47" s="5">
        <f t="shared" si="2"/>
        <v>4.9125414568057293</v>
      </c>
    </row>
    <row r="48" spans="1:11" x14ac:dyDescent="0.3">
      <c r="A48" s="18">
        <v>47</v>
      </c>
      <c r="B48" s="16">
        <v>1214.0035519318169</v>
      </c>
      <c r="C48" s="16">
        <v>3587</v>
      </c>
      <c r="D48" s="16">
        <v>12.255819471088509</v>
      </c>
      <c r="E48" s="16">
        <v>10.9369689363227</v>
      </c>
      <c r="F48" s="16">
        <v>509.409759975268</v>
      </c>
      <c r="G48" s="16">
        <v>6878.6675869999781</v>
      </c>
      <c r="H48" s="16">
        <v>5946.7310668729888</v>
      </c>
      <c r="I48" s="5">
        <f t="shared" si="0"/>
        <v>0.4196114246656491</v>
      </c>
      <c r="J48" s="5">
        <f t="shared" si="1"/>
        <v>5.6661016980173633</v>
      </c>
      <c r="K48" s="5">
        <f t="shared" si="2"/>
        <v>4.8984461844531575</v>
      </c>
    </row>
    <row r="49" spans="1:11" x14ac:dyDescent="0.3">
      <c r="A49" s="18">
        <v>48</v>
      </c>
      <c r="B49" s="16">
        <v>1209.877012009124</v>
      </c>
      <c r="C49" s="16">
        <v>3587</v>
      </c>
      <c r="D49" s="16">
        <v>12.255819471088509</v>
      </c>
      <c r="E49" s="16">
        <v>10.899792900983099</v>
      </c>
      <c r="F49" s="16">
        <v>508.44712122068449</v>
      </c>
      <c r="G49" s="16">
        <v>6873.9354049999783</v>
      </c>
      <c r="H49" s="16">
        <v>5942.0560923039902</v>
      </c>
      <c r="I49" s="5">
        <f t="shared" si="0"/>
        <v>0.42024694756069153</v>
      </c>
      <c r="J49" s="5">
        <f t="shared" si="1"/>
        <v>5.6815158373702044</v>
      </c>
      <c r="K49" s="5">
        <f t="shared" si="2"/>
        <v>4.9112893569542253</v>
      </c>
    </row>
    <row r="50" spans="1:11" x14ac:dyDescent="0.3">
      <c r="A50" s="18">
        <v>49</v>
      </c>
      <c r="B50" s="16">
        <v>1208.492997752908</v>
      </c>
      <c r="C50" s="16">
        <v>3573</v>
      </c>
      <c r="D50" s="16">
        <v>18.181520147890424</v>
      </c>
      <c r="E50" s="16">
        <v>14.052244159917503</v>
      </c>
      <c r="F50" s="16">
        <v>465.7619975501633</v>
      </c>
      <c r="G50" s="16">
        <v>6248.9903049999602</v>
      </c>
      <c r="H50" s="16">
        <v>5535.8133196279896</v>
      </c>
      <c r="I50" s="5">
        <f t="shared" si="0"/>
        <v>0.38540727866541957</v>
      </c>
      <c r="J50" s="5">
        <f t="shared" si="1"/>
        <v>5.1708949217078102</v>
      </c>
      <c r="K50" s="5">
        <f t="shared" si="2"/>
        <v>4.5807574639831374</v>
      </c>
    </row>
    <row r="51" spans="1:11" x14ac:dyDescent="0.3">
      <c r="A51" s="18">
        <v>50</v>
      </c>
      <c r="B51" s="16">
        <v>1214.008799023273</v>
      </c>
      <c r="C51" s="16">
        <v>3587</v>
      </c>
      <c r="D51" s="16">
        <v>12.255819471088509</v>
      </c>
      <c r="E51" s="16">
        <v>10.937016207416901</v>
      </c>
      <c r="F51" s="16">
        <v>509.22596448696339</v>
      </c>
      <c r="G51" s="16">
        <v>6881.756707999979</v>
      </c>
      <c r="H51" s="16">
        <v>5949.9764211479896</v>
      </c>
      <c r="I51" s="5">
        <f t="shared" si="0"/>
        <v>0.41945821553901386</v>
      </c>
      <c r="J51" s="5">
        <f t="shared" si="1"/>
        <v>5.6686217707290716</v>
      </c>
      <c r="K51" s="5">
        <f t="shared" si="2"/>
        <v>4.9010982671089574</v>
      </c>
    </row>
    <row r="52" spans="1:11" x14ac:dyDescent="0.3">
      <c r="A52" s="18">
        <v>51</v>
      </c>
      <c r="B52" s="16">
        <v>1211.9553939790981</v>
      </c>
      <c r="C52" s="16">
        <v>3587</v>
      </c>
      <c r="D52" s="16">
        <v>12.255819471088509</v>
      </c>
      <c r="E52" s="16">
        <v>10.918517062874701</v>
      </c>
      <c r="F52" s="16">
        <v>508.90527002586555</v>
      </c>
      <c r="G52" s="16">
        <v>6879.7652399999788</v>
      </c>
      <c r="H52" s="16">
        <v>5945.5044056519901</v>
      </c>
      <c r="I52" s="5">
        <f t="shared" si="0"/>
        <v>0.41990429066454765</v>
      </c>
      <c r="J52" s="5">
        <f t="shared" si="1"/>
        <v>5.676582879351936</v>
      </c>
      <c r="K52" s="5">
        <f t="shared" si="2"/>
        <v>4.9057122359360772</v>
      </c>
    </row>
    <row r="53" spans="1:11" x14ac:dyDescent="0.3">
      <c r="A53" s="18">
        <v>52</v>
      </c>
      <c r="B53" s="16">
        <v>1186.092598454429</v>
      </c>
      <c r="C53" s="16">
        <v>3734</v>
      </c>
      <c r="D53" s="16">
        <v>81.053107546314052</v>
      </c>
      <c r="E53" s="16">
        <v>6.6634415643507303</v>
      </c>
      <c r="F53" s="16">
        <v>615.30830708973599</v>
      </c>
      <c r="G53" s="16">
        <v>7946.6956959999807</v>
      </c>
      <c r="H53" s="16">
        <v>6760.8873456209794</v>
      </c>
      <c r="I53" s="5">
        <f t="shared" si="0"/>
        <v>0.5187691988732841</v>
      </c>
      <c r="J53" s="5">
        <f t="shared" si="1"/>
        <v>6.6998948533657021</v>
      </c>
      <c r="K53" s="5">
        <f t="shared" si="2"/>
        <v>5.7001345041954918</v>
      </c>
    </row>
    <row r="54" spans="1:11" x14ac:dyDescent="0.3">
      <c r="A54" s="18">
        <v>53</v>
      </c>
      <c r="B54" s="16">
        <v>1186.5678592933559</v>
      </c>
      <c r="C54" s="16">
        <v>3724</v>
      </c>
      <c r="D54" s="16">
        <v>80.699345135483171</v>
      </c>
      <c r="E54" s="16">
        <v>6.7418628368940796</v>
      </c>
      <c r="F54" s="16">
        <v>613.96365030910306</v>
      </c>
      <c r="G54" s="16">
        <v>7913.1916019999808</v>
      </c>
      <c r="H54" s="16">
        <v>6735.6918011609905</v>
      </c>
      <c r="I54" s="5">
        <f t="shared" si="0"/>
        <v>0.51742818204661356</v>
      </c>
      <c r="J54" s="5">
        <f t="shared" si="1"/>
        <v>6.6689751791461571</v>
      </c>
      <c r="K54" s="5">
        <f t="shared" si="2"/>
        <v>5.6766174377690781</v>
      </c>
    </row>
    <row r="55" spans="1:11" x14ac:dyDescent="0.3">
      <c r="A55" s="18">
        <v>54</v>
      </c>
      <c r="B55" s="16">
        <v>1211.53194573721</v>
      </c>
      <c r="C55" s="16">
        <v>3587</v>
      </c>
      <c r="D55" s="16">
        <v>12.255819471088509</v>
      </c>
      <c r="E55" s="16">
        <v>10.914702213848701</v>
      </c>
      <c r="F55" s="16">
        <v>509.25660193760024</v>
      </c>
      <c r="G55" s="16">
        <v>6875.7112769999694</v>
      </c>
      <c r="H55" s="16">
        <v>5947.4414416469899</v>
      </c>
      <c r="I55" s="5">
        <f t="shared" si="0"/>
        <v>0.42034104319694238</v>
      </c>
      <c r="J55" s="5">
        <f t="shared" si="1"/>
        <v>5.675220782408787</v>
      </c>
      <c r="K55" s="5">
        <f t="shared" si="2"/>
        <v>4.9090256865063573</v>
      </c>
    </row>
    <row r="56" spans="1:11" x14ac:dyDescent="0.3">
      <c r="A56" s="18">
        <v>55</v>
      </c>
      <c r="B56" s="16">
        <v>1209.8957868068669</v>
      </c>
      <c r="C56" s="16">
        <v>3587</v>
      </c>
      <c r="D56" s="16">
        <v>12.255819471088509</v>
      </c>
      <c r="E56" s="16">
        <v>10.899962043305097</v>
      </c>
      <c r="F56" s="16">
        <v>509.2362618284115</v>
      </c>
      <c r="G56" s="16">
        <v>6872.1880789999786</v>
      </c>
      <c r="H56" s="16">
        <v>5940.4121943329883</v>
      </c>
      <c r="I56" s="5">
        <f t="shared" si="0"/>
        <v>0.42089266479088899</v>
      </c>
      <c r="J56" s="5">
        <f t="shared" si="1"/>
        <v>5.6799834778637601</v>
      </c>
      <c r="K56" s="5">
        <f t="shared" si="2"/>
        <v>4.9098544346623498</v>
      </c>
    </row>
    <row r="57" spans="1:11" x14ac:dyDescent="0.3">
      <c r="A57" s="18">
        <v>56</v>
      </c>
      <c r="B57" s="16">
        <v>1186.337661254033</v>
      </c>
      <c r="C57" s="16">
        <v>3725</v>
      </c>
      <c r="D57" s="16">
        <v>80.765085697238533</v>
      </c>
      <c r="E57" s="16">
        <v>6.70247266245216</v>
      </c>
      <c r="F57" s="16">
        <v>613.82577494651002</v>
      </c>
      <c r="G57" s="16">
        <v>7924.2905929999697</v>
      </c>
      <c r="H57" s="16">
        <v>6741.1856178659791</v>
      </c>
      <c r="I57" s="5">
        <f t="shared" si="0"/>
        <v>0.51741236495658227</v>
      </c>
      <c r="J57" s="5">
        <f t="shared" si="1"/>
        <v>6.67962490933947</v>
      </c>
      <c r="K57" s="5">
        <f t="shared" si="2"/>
        <v>5.6823498385275277</v>
      </c>
    </row>
    <row r="58" spans="1:11" x14ac:dyDescent="0.3">
      <c r="A58" s="18">
        <v>57</v>
      </c>
      <c r="B58" s="16">
        <v>1189.9259630512679</v>
      </c>
      <c r="C58" s="16">
        <v>3733</v>
      </c>
      <c r="D58" s="16">
        <v>80.960243300870303</v>
      </c>
      <c r="E58" s="16">
        <v>6.72274555396198</v>
      </c>
      <c r="F58" s="16">
        <v>612.51422501835805</v>
      </c>
      <c r="G58" s="16">
        <v>7927.4760939999605</v>
      </c>
      <c r="H58" s="16">
        <v>6744.6862896849698</v>
      </c>
      <c r="I58" s="5">
        <f t="shared" si="0"/>
        <v>0.51474986178780258</v>
      </c>
      <c r="J58" s="5">
        <f t="shared" si="1"/>
        <v>6.6621591091868675</v>
      </c>
      <c r="K58" s="5">
        <f t="shared" si="2"/>
        <v>5.6681562543520831</v>
      </c>
    </row>
    <row r="59" spans="1:11" x14ac:dyDescent="0.3">
      <c r="A59" s="18">
        <v>58</v>
      </c>
      <c r="B59" s="16">
        <v>1186.166748799981</v>
      </c>
      <c r="C59" s="16">
        <v>3726</v>
      </c>
      <c r="D59" s="16">
        <v>80.71831527510804</v>
      </c>
      <c r="E59" s="16">
        <v>6.6638581393257397</v>
      </c>
      <c r="F59" s="16">
        <v>612.26529437384795</v>
      </c>
      <c r="G59" s="16">
        <v>7941.337712999989</v>
      </c>
      <c r="H59" s="16">
        <v>6754.0986528219901</v>
      </c>
      <c r="I59" s="5">
        <f t="shared" si="0"/>
        <v>0.51617135195642894</v>
      </c>
      <c r="J59" s="5">
        <f t="shared" si="1"/>
        <v>6.6949589684874136</v>
      </c>
      <c r="K59" s="5">
        <f t="shared" si="2"/>
        <v>5.6940549544614738</v>
      </c>
    </row>
    <row r="60" spans="1:11" x14ac:dyDescent="0.3">
      <c r="A60" s="18">
        <v>59</v>
      </c>
      <c r="B60" s="16">
        <v>1212.0534636839409</v>
      </c>
      <c r="C60" s="16">
        <v>3587</v>
      </c>
      <c r="D60" s="16">
        <v>12.255819471088509</v>
      </c>
      <c r="E60" s="16">
        <v>10.919400573729204</v>
      </c>
      <c r="F60" s="16">
        <v>509.45635494775848</v>
      </c>
      <c r="G60" s="16">
        <v>6874.5745659999793</v>
      </c>
      <c r="H60" s="16">
        <v>5941.4167872019898</v>
      </c>
      <c r="I60" s="5">
        <f t="shared" si="0"/>
        <v>0.42032498582967298</v>
      </c>
      <c r="J60" s="5">
        <f t="shared" si="1"/>
        <v>5.6718410301021311</v>
      </c>
      <c r="K60" s="5">
        <f t="shared" si="2"/>
        <v>4.9019428310889213</v>
      </c>
    </row>
    <row r="61" spans="1:11" x14ac:dyDescent="0.3">
      <c r="A61" s="18">
        <v>60</v>
      </c>
      <c r="B61" s="16">
        <v>1191.3301006020579</v>
      </c>
      <c r="C61" s="16">
        <v>3743</v>
      </c>
      <c r="D61" s="16">
        <v>81.222025830474976</v>
      </c>
      <c r="E61" s="16">
        <v>6.7306785344749098</v>
      </c>
      <c r="F61" s="16">
        <v>616.33238511788295</v>
      </c>
      <c r="G61" s="16">
        <v>7972.0596959999702</v>
      </c>
      <c r="H61" s="16">
        <v>6783.6870703149889</v>
      </c>
      <c r="I61" s="5">
        <f t="shared" si="0"/>
        <v>0.51734811771012035</v>
      </c>
      <c r="J61" s="5">
        <f t="shared" si="1"/>
        <v>6.6917302702006447</v>
      </c>
      <c r="K61" s="5">
        <f t="shared" si="2"/>
        <v>5.6942127684734425</v>
      </c>
    </row>
    <row r="62" spans="1:11" x14ac:dyDescent="0.3">
      <c r="A62" s="18">
        <v>61</v>
      </c>
      <c r="B62" s="16">
        <v>1213.4233004349721</v>
      </c>
      <c r="C62" s="16">
        <v>3573</v>
      </c>
      <c r="D62" s="16">
        <v>18.181520147890424</v>
      </c>
      <c r="E62" s="16">
        <v>15.7587441614931</v>
      </c>
      <c r="F62" s="16">
        <v>460.46040661794308</v>
      </c>
      <c r="G62" s="16">
        <v>6146.1611779999694</v>
      </c>
      <c r="H62" s="16">
        <v>5390.9396318959798</v>
      </c>
      <c r="I62" s="5">
        <f t="shared" si="0"/>
        <v>0.37947219775068047</v>
      </c>
      <c r="J62" s="5">
        <f t="shared" si="1"/>
        <v>5.0651418806584427</v>
      </c>
      <c r="K62" s="5">
        <f t="shared" si="2"/>
        <v>4.4427526898185539</v>
      </c>
    </row>
    <row r="63" spans="1:11" x14ac:dyDescent="0.3">
      <c r="A63" s="18">
        <v>62</v>
      </c>
      <c r="B63" s="16">
        <v>1213.688821016925</v>
      </c>
      <c r="C63" s="16">
        <v>3573</v>
      </c>
      <c r="D63" s="16">
        <v>18.181520147890424</v>
      </c>
      <c r="E63" s="16">
        <v>15.7621924807393</v>
      </c>
      <c r="F63" s="16">
        <v>461.47939116315996</v>
      </c>
      <c r="G63" s="16">
        <v>6128.4811339999596</v>
      </c>
      <c r="H63" s="16">
        <v>5374.0510696339807</v>
      </c>
      <c r="I63" s="5">
        <f t="shared" si="0"/>
        <v>0.38022875647523541</v>
      </c>
      <c r="J63" s="5">
        <f t="shared" si="1"/>
        <v>5.0494665748548551</v>
      </c>
      <c r="K63" s="5">
        <f t="shared" si="2"/>
        <v>4.4278656741117324</v>
      </c>
    </row>
    <row r="64" spans="1:11" x14ac:dyDescent="0.3">
      <c r="A64" s="18">
        <v>63</v>
      </c>
      <c r="B64" s="16">
        <v>1186.232317253618</v>
      </c>
      <c r="C64" s="16">
        <v>3731</v>
      </c>
      <c r="D64" s="16">
        <v>80.901386615452367</v>
      </c>
      <c r="E64" s="16">
        <v>6.6642265014248201</v>
      </c>
      <c r="F64" s="16">
        <v>614.80523850558211</v>
      </c>
      <c r="G64" s="16">
        <v>7938.8757609999902</v>
      </c>
      <c r="H64" s="16">
        <v>6749.8671685639802</v>
      </c>
      <c r="I64" s="5">
        <f t="shared" si="0"/>
        <v>0.51828400690430354</v>
      </c>
      <c r="J64" s="5">
        <f t="shared" si="1"/>
        <v>6.6925134693515922</v>
      </c>
      <c r="K64" s="5">
        <f t="shared" si="2"/>
        <v>5.690173054963946</v>
      </c>
    </row>
    <row r="65" spans="1:12" x14ac:dyDescent="0.3">
      <c r="A65" s="18">
        <v>64</v>
      </c>
      <c r="B65" s="16">
        <v>1217.8460936622821</v>
      </c>
      <c r="C65" s="16">
        <v>3573</v>
      </c>
      <c r="D65" s="16">
        <v>18.181520147890424</v>
      </c>
      <c r="E65" s="16">
        <v>16.024290706082599</v>
      </c>
      <c r="F65" s="16">
        <v>460.70133632887018</v>
      </c>
      <c r="G65" s="16">
        <v>6130.2674789999701</v>
      </c>
      <c r="H65" s="16">
        <v>5381.1991193689801</v>
      </c>
      <c r="I65" s="22">
        <f t="shared" si="0"/>
        <v>0.37829191941935658</v>
      </c>
      <c r="J65" s="22">
        <f t="shared" si="1"/>
        <v>5.033696384873358</v>
      </c>
      <c r="K65" s="22">
        <f t="shared" si="2"/>
        <v>4.4186200106671505</v>
      </c>
      <c r="L65" s="3" t="s">
        <v>93</v>
      </c>
    </row>
    <row r="66" spans="1:12" x14ac:dyDescent="0.3">
      <c r="A66" s="18">
        <v>65</v>
      </c>
      <c r="B66" s="16">
        <v>1214.9364087716929</v>
      </c>
      <c r="C66" s="16">
        <v>3573</v>
      </c>
      <c r="D66" s="16">
        <v>18.181520147890424</v>
      </c>
      <c r="E66" s="16">
        <v>15.7783949191129</v>
      </c>
      <c r="F66" s="16">
        <v>462.33450006427063</v>
      </c>
      <c r="G66" s="16">
        <v>6142.7473469999604</v>
      </c>
      <c r="H66" s="16">
        <v>5387.6159437789793</v>
      </c>
      <c r="I66" s="5">
        <f t="shared" si="0"/>
        <v>0.38054213926446839</v>
      </c>
      <c r="J66" s="5">
        <f t="shared" si="1"/>
        <v>5.0560237578280418</v>
      </c>
      <c r="K66" s="5">
        <f t="shared" si="2"/>
        <v>4.4344838996354445</v>
      </c>
    </row>
    <row r="67" spans="1:12" x14ac:dyDescent="0.3">
      <c r="A67" s="18">
        <v>66</v>
      </c>
      <c r="B67" s="16">
        <v>1184.441841845646</v>
      </c>
      <c r="C67" s="16">
        <v>3741</v>
      </c>
      <c r="D67" s="16">
        <v>81.096931664782929</v>
      </c>
      <c r="E67" s="16">
        <v>6.6541676508182404</v>
      </c>
      <c r="F67" s="16">
        <v>615.30025755418205</v>
      </c>
      <c r="G67" s="16">
        <v>7962.7195439999796</v>
      </c>
      <c r="H67" s="16">
        <v>6774.9512310679893</v>
      </c>
      <c r="I67" s="5">
        <f t="shared" ref="I67:I82" si="3">F67/B67</f>
        <v>0.51948541145371552</v>
      </c>
      <c r="J67" s="5">
        <f t="shared" ref="J67:J82" si="4">G67/B67</f>
        <v>6.7227611037382324</v>
      </c>
      <c r="K67" s="5">
        <f t="shared" ref="K67:K82" si="5">H67/B67</f>
        <v>5.7199526322972361</v>
      </c>
    </row>
    <row r="68" spans="1:12" x14ac:dyDescent="0.3">
      <c r="A68" s="18">
        <v>67</v>
      </c>
      <c r="B68" s="16">
        <v>1188.0460049390022</v>
      </c>
      <c r="C68" s="16">
        <v>3724</v>
      </c>
      <c r="D68" s="16">
        <v>80.680562482230371</v>
      </c>
      <c r="E68" s="16">
        <v>6.7502613916988796</v>
      </c>
      <c r="F68" s="16">
        <v>610.63439239119498</v>
      </c>
      <c r="G68" s="16">
        <v>7903.5820879999692</v>
      </c>
      <c r="H68" s="16">
        <v>6724.9106594219793</v>
      </c>
      <c r="I68" s="5">
        <f t="shared" si="3"/>
        <v>0.51398210999627647</v>
      </c>
      <c r="J68" s="5">
        <f t="shared" si="4"/>
        <v>6.6525892559234379</v>
      </c>
      <c r="K68" s="5">
        <f t="shared" si="5"/>
        <v>5.6604800078994044</v>
      </c>
    </row>
    <row r="69" spans="1:12" x14ac:dyDescent="0.3">
      <c r="A69" s="18">
        <v>68</v>
      </c>
      <c r="B69" s="16">
        <v>1217.381130352014</v>
      </c>
      <c r="C69" s="16">
        <v>3573</v>
      </c>
      <c r="D69" s="16">
        <v>18.181520147890424</v>
      </c>
      <c r="E69" s="16">
        <v>15.810144550026099</v>
      </c>
      <c r="F69" s="16">
        <v>460.7167065570415</v>
      </c>
      <c r="G69" s="16">
        <v>6138.8730269999605</v>
      </c>
      <c r="H69" s="16">
        <v>5381.2096223269891</v>
      </c>
      <c r="I69" s="5">
        <f t="shared" si="3"/>
        <v>0.37844902887875564</v>
      </c>
      <c r="J69" s="5">
        <f t="shared" si="4"/>
        <v>5.0426878435555054</v>
      </c>
      <c r="K69" s="5">
        <f t="shared" si="5"/>
        <v>4.4203162741408484</v>
      </c>
    </row>
    <row r="70" spans="1:12" x14ac:dyDescent="0.3">
      <c r="A70" s="18">
        <v>69</v>
      </c>
      <c r="B70" s="16">
        <v>1212.1105821997089</v>
      </c>
      <c r="C70" s="16">
        <v>3573</v>
      </c>
      <c r="D70" s="16">
        <v>18.181520147890424</v>
      </c>
      <c r="E70" s="16">
        <v>15.741695872723499</v>
      </c>
      <c r="F70" s="16">
        <v>461.19742102809352</v>
      </c>
      <c r="G70" s="16">
        <v>6138.2051669999601</v>
      </c>
      <c r="H70" s="16">
        <v>5379.3939939229804</v>
      </c>
      <c r="I70" s="5">
        <f t="shared" si="3"/>
        <v>0.3804912091363179</v>
      </c>
      <c r="J70" s="5">
        <f t="shared" si="4"/>
        <v>5.0640636730194153</v>
      </c>
      <c r="K70" s="5">
        <f t="shared" si="5"/>
        <v>4.4380389651912671</v>
      </c>
    </row>
    <row r="71" spans="1:12" x14ac:dyDescent="0.3">
      <c r="A71" s="18">
        <v>70</v>
      </c>
      <c r="B71" s="16">
        <v>1213.8832677562011</v>
      </c>
      <c r="C71" s="16">
        <v>3573</v>
      </c>
      <c r="D71" s="16">
        <v>18.181520147890424</v>
      </c>
      <c r="E71" s="16">
        <v>15.764717763067498</v>
      </c>
      <c r="F71" s="16">
        <v>461.35915869896189</v>
      </c>
      <c r="G71" s="16">
        <v>6136.1527339999702</v>
      </c>
      <c r="H71" s="16">
        <v>5382.0936810989806</v>
      </c>
      <c r="I71" s="5">
        <f t="shared" si="3"/>
        <v>0.38006880146866168</v>
      </c>
      <c r="J71" s="5">
        <f t="shared" si="4"/>
        <v>5.054977605336239</v>
      </c>
      <c r="K71" s="5">
        <f t="shared" si="5"/>
        <v>4.4337819163184413</v>
      </c>
    </row>
    <row r="72" spans="1:12" x14ac:dyDescent="0.3">
      <c r="A72" s="18">
        <v>71</v>
      </c>
      <c r="B72" s="16">
        <v>1213.0157868611541</v>
      </c>
      <c r="C72" s="16">
        <v>3587</v>
      </c>
      <c r="D72" s="16">
        <v>12.255819471088509</v>
      </c>
      <c r="E72" s="16">
        <v>12.1301578686115</v>
      </c>
      <c r="F72" s="16">
        <v>501.49514342973998</v>
      </c>
      <c r="G72" s="16">
        <v>6703.165598999979</v>
      </c>
      <c r="H72" s="16">
        <v>5790.6947516609989</v>
      </c>
      <c r="I72" s="5">
        <f t="shared" si="3"/>
        <v>0.41342837320149639</v>
      </c>
      <c r="J72" s="5">
        <f t="shared" si="4"/>
        <v>5.5260332731079664</v>
      </c>
      <c r="K72" s="5">
        <f t="shared" si="5"/>
        <v>4.7737999903902502</v>
      </c>
    </row>
    <row r="73" spans="1:12" x14ac:dyDescent="0.3">
      <c r="A73" s="18">
        <v>72</v>
      </c>
      <c r="B73" s="16">
        <v>1212.935718526048</v>
      </c>
      <c r="C73" s="16">
        <v>3573</v>
      </c>
      <c r="D73" s="16">
        <v>18.181520147890424</v>
      </c>
      <c r="E73" s="16">
        <v>15.752411928909698</v>
      </c>
      <c r="F73" s="16">
        <v>460.57936615037977</v>
      </c>
      <c r="G73" s="16">
        <v>6136.8221079999703</v>
      </c>
      <c r="H73" s="16">
        <v>5380.0429722749905</v>
      </c>
      <c r="I73" s="5">
        <f t="shared" si="3"/>
        <v>0.37972281557515097</v>
      </c>
      <c r="J73" s="5">
        <f t="shared" si="4"/>
        <v>5.0594784325894846</v>
      </c>
      <c r="K73" s="5">
        <f t="shared" si="5"/>
        <v>4.4355549021285192</v>
      </c>
    </row>
    <row r="74" spans="1:12" x14ac:dyDescent="0.3">
      <c r="A74" s="18">
        <v>73</v>
      </c>
      <c r="B74" s="16">
        <v>1212.6618158062699</v>
      </c>
      <c r="C74" s="16">
        <v>3587</v>
      </c>
      <c r="D74" s="16">
        <v>12.255819471088509</v>
      </c>
      <c r="E74" s="16">
        <v>12.126618158062699</v>
      </c>
      <c r="F74" s="16">
        <v>503.29561359630054</v>
      </c>
      <c r="G74" s="16">
        <v>6696.2972859999791</v>
      </c>
      <c r="H74" s="16">
        <v>5780.4999610399991</v>
      </c>
      <c r="I74" s="5">
        <f t="shared" si="3"/>
        <v>0.41503377696581573</v>
      </c>
      <c r="J74" s="5">
        <f t="shared" si="4"/>
        <v>5.5219824675915685</v>
      </c>
      <c r="K74" s="5">
        <f t="shared" si="5"/>
        <v>4.7667864904253481</v>
      </c>
    </row>
    <row r="75" spans="1:12" x14ac:dyDescent="0.3">
      <c r="A75" s="18">
        <v>74</v>
      </c>
      <c r="B75" s="16">
        <v>1211.316206208691</v>
      </c>
      <c r="C75" s="16">
        <v>3587</v>
      </c>
      <c r="D75" s="16">
        <v>12.255819471088509</v>
      </c>
      <c r="E75" s="16">
        <v>12.2355172344312</v>
      </c>
      <c r="F75" s="16">
        <v>502.75757298253257</v>
      </c>
      <c r="G75" s="16">
        <v>6680.0436559999789</v>
      </c>
      <c r="H75" s="16">
        <v>5772.6489434469986</v>
      </c>
      <c r="I75" s="5">
        <f t="shared" si="3"/>
        <v>0.41505064524490909</v>
      </c>
      <c r="J75" s="5">
        <f t="shared" si="4"/>
        <v>5.5146984922359001</v>
      </c>
      <c r="K75" s="5">
        <f t="shared" si="5"/>
        <v>4.7656003559259412</v>
      </c>
    </row>
    <row r="76" spans="1:12" x14ac:dyDescent="0.3">
      <c r="A76" s="18">
        <v>75</v>
      </c>
      <c r="B76" s="16">
        <v>1213.3314356919161</v>
      </c>
      <c r="C76" s="16">
        <v>3573</v>
      </c>
      <c r="D76" s="16">
        <v>18.181520147890424</v>
      </c>
      <c r="E76" s="16">
        <v>15.757551112882</v>
      </c>
      <c r="F76" s="16">
        <v>461.54643566754498</v>
      </c>
      <c r="G76" s="16">
        <v>6142.2286259999591</v>
      </c>
      <c r="H76" s="16">
        <v>5387.35951663998</v>
      </c>
      <c r="I76" s="5">
        <f t="shared" si="3"/>
        <v>0.38039600894733505</v>
      </c>
      <c r="J76" s="5">
        <f t="shared" si="4"/>
        <v>5.0622842574727187</v>
      </c>
      <c r="K76" s="5">
        <f t="shared" si="5"/>
        <v>4.4401384140910984</v>
      </c>
    </row>
    <row r="77" spans="1:12" x14ac:dyDescent="0.3">
      <c r="A77" s="18">
        <v>76</v>
      </c>
      <c r="B77" s="16">
        <v>1212.9299147745458</v>
      </c>
      <c r="C77" s="16">
        <v>3587</v>
      </c>
      <c r="D77" s="16">
        <v>12.255819471088509</v>
      </c>
      <c r="E77" s="16">
        <v>12.376835865046401</v>
      </c>
      <c r="F77" s="16">
        <v>501.6329481452737</v>
      </c>
      <c r="G77" s="16">
        <v>6669.7386539999789</v>
      </c>
      <c r="H77" s="16">
        <v>5763.6133534779992</v>
      </c>
      <c r="I77" s="5">
        <f t="shared" si="3"/>
        <v>0.41357125587797472</v>
      </c>
      <c r="J77" s="5">
        <f t="shared" si="4"/>
        <v>5.4988656580703772</v>
      </c>
      <c r="K77" s="5">
        <f t="shared" si="5"/>
        <v>4.7518107050309784</v>
      </c>
    </row>
    <row r="78" spans="1:12" x14ac:dyDescent="0.3">
      <c r="A78" s="18">
        <v>77</v>
      </c>
      <c r="B78" s="16">
        <v>1211.813741319866</v>
      </c>
      <c r="C78" s="16">
        <v>3587</v>
      </c>
      <c r="D78" s="16">
        <v>12.255819471088509</v>
      </c>
      <c r="E78" s="16">
        <v>12.118137413198697</v>
      </c>
      <c r="F78" s="16">
        <v>502.64957770132798</v>
      </c>
      <c r="G78" s="16">
        <v>6696.6857839999793</v>
      </c>
      <c r="H78" s="16">
        <v>5784.5143821419988</v>
      </c>
      <c r="I78" s="5">
        <f t="shared" si="3"/>
        <v>0.41479111893372267</v>
      </c>
      <c r="J78" s="5">
        <f t="shared" si="4"/>
        <v>5.5261675583131931</v>
      </c>
      <c r="K78" s="5">
        <f t="shared" si="5"/>
        <v>4.7734352111255181</v>
      </c>
    </row>
    <row r="79" spans="1:12" x14ac:dyDescent="0.3">
      <c r="A79" s="18">
        <v>78</v>
      </c>
      <c r="B79" s="16">
        <v>1214.4572514638269</v>
      </c>
      <c r="C79" s="16">
        <v>3587</v>
      </c>
      <c r="D79" s="16">
        <v>12.255819471088509</v>
      </c>
      <c r="E79" s="16">
        <v>12.267244964281103</v>
      </c>
      <c r="F79" s="16">
        <v>502.8257658705748</v>
      </c>
      <c r="G79" s="16">
        <v>6676.4055829999779</v>
      </c>
      <c r="H79" s="16">
        <v>5770.0466980119982</v>
      </c>
      <c r="I79" s="5">
        <f t="shared" si="3"/>
        <v>0.4140333183934648</v>
      </c>
      <c r="J79" s="5">
        <f t="shared" si="4"/>
        <v>5.4974397616323492</v>
      </c>
      <c r="K79" s="5">
        <f t="shared" si="5"/>
        <v>4.7511319900780071</v>
      </c>
    </row>
    <row r="80" spans="1:12" x14ac:dyDescent="0.3">
      <c r="A80" s="18">
        <v>79</v>
      </c>
      <c r="B80" s="16">
        <v>1213.2259220158339</v>
      </c>
      <c r="C80" s="16">
        <v>3587</v>
      </c>
      <c r="D80" s="16">
        <v>12.255819471088509</v>
      </c>
      <c r="E80" s="16">
        <v>12.132259220158302</v>
      </c>
      <c r="F80" s="16">
        <v>502.72980938235395</v>
      </c>
      <c r="G80" s="16">
        <v>6704.7306489999792</v>
      </c>
      <c r="H80" s="16">
        <v>5793.7899566159995</v>
      </c>
      <c r="I80" s="5">
        <f t="shared" si="3"/>
        <v>0.41437443781867428</v>
      </c>
      <c r="J80" s="5">
        <f t="shared" si="4"/>
        <v>5.5263661345611066</v>
      </c>
      <c r="K80" s="5">
        <f t="shared" si="5"/>
        <v>4.7755243697639891</v>
      </c>
    </row>
    <row r="81" spans="1:11" x14ac:dyDescent="0.3">
      <c r="A81" s="18">
        <v>80</v>
      </c>
      <c r="B81" s="16">
        <v>1213.9971612273052</v>
      </c>
      <c r="C81" s="16">
        <v>3587</v>
      </c>
      <c r="D81" s="16">
        <v>12.255819471088509</v>
      </c>
      <c r="E81" s="16">
        <v>12.515434651827901</v>
      </c>
      <c r="F81" s="16">
        <v>501.1310173597526</v>
      </c>
      <c r="G81" s="16">
        <v>6639.0256439999794</v>
      </c>
      <c r="H81" s="16">
        <v>5737.2660679039991</v>
      </c>
      <c r="I81" s="5">
        <f t="shared" si="3"/>
        <v>0.4127942250319005</v>
      </c>
      <c r="J81" s="5">
        <f t="shared" si="4"/>
        <v>5.4687324287382806</v>
      </c>
      <c r="K81" s="5">
        <f t="shared" si="5"/>
        <v>4.7259303819984551</v>
      </c>
    </row>
    <row r="82" spans="1:11" x14ac:dyDescent="0.3">
      <c r="A82" s="18">
        <v>81</v>
      </c>
      <c r="B82" s="16">
        <v>1208.1952178851761</v>
      </c>
      <c r="C82" s="16">
        <v>3587</v>
      </c>
      <c r="D82" s="16">
        <v>12.255819471088509</v>
      </c>
      <c r="E82" s="16">
        <v>12.328522631481404</v>
      </c>
      <c r="F82" s="16">
        <v>501.62806786747024</v>
      </c>
      <c r="G82" s="16">
        <v>6661.2180939999789</v>
      </c>
      <c r="H82" s="16">
        <v>5757.4305709769997</v>
      </c>
      <c r="I82" s="5">
        <f t="shared" si="3"/>
        <v>0.41518792695233436</v>
      </c>
      <c r="J82" s="5">
        <f t="shared" si="4"/>
        <v>5.5133624064989837</v>
      </c>
      <c r="K82" s="5">
        <f t="shared" si="5"/>
        <v>4.7653148148151097</v>
      </c>
    </row>
    <row r="83" spans="1:11" x14ac:dyDescent="0.3">
      <c r="B83" s="1"/>
      <c r="C83" s="1"/>
      <c r="D83" s="1"/>
      <c r="E83" s="1"/>
      <c r="F83" s="1"/>
      <c r="G83" s="1"/>
      <c r="H83" s="1"/>
    </row>
    <row r="84" spans="1:11" x14ac:dyDescent="0.3">
      <c r="B84" s="1"/>
      <c r="C84" s="1"/>
      <c r="D84" s="1"/>
      <c r="E84" s="1"/>
      <c r="F84" s="1"/>
      <c r="G84" s="1"/>
      <c r="H84" s="1"/>
    </row>
    <row r="85" spans="1:11" x14ac:dyDescent="0.3">
      <c r="A85" s="3" t="s">
        <v>39</v>
      </c>
      <c r="B85" s="4">
        <f>AVERAGE(B2:B82)</f>
        <v>1204.1987564138265</v>
      </c>
      <c r="C85" s="4">
        <f>AVERAGE(C2:C82)</f>
        <v>3630.9382716049381</v>
      </c>
      <c r="D85" s="4">
        <f>AVERAGE(D2:D82)</f>
        <v>37.137328864661477</v>
      </c>
      <c r="E85" s="4">
        <f>AVERAGE(E2:E82)</f>
        <v>10.317462315631451</v>
      </c>
      <c r="F85" s="4">
        <f t="shared" ref="F85:H85" si="6">AVERAGE(F2:F82)</f>
        <v>533.23477075954406</v>
      </c>
      <c r="G85" s="4">
        <f t="shared" si="6"/>
        <v>7098.323384802442</v>
      </c>
      <c r="H85" s="4">
        <f t="shared" si="6"/>
        <v>6168.6412128592701</v>
      </c>
      <c r="I85" s="4">
        <f t="shared" ref="I85:K85" si="7">AVERAGE(I2:I82)</f>
        <v>0.44341253868804398</v>
      </c>
      <c r="J85" s="4">
        <f t="shared" si="7"/>
        <v>5.9017242488452037</v>
      </c>
      <c r="K85" s="4">
        <f t="shared" si="7"/>
        <v>5.1281709731751679</v>
      </c>
    </row>
    <row r="86" spans="1:11" x14ac:dyDescent="0.3">
      <c r="A86" s="3" t="s">
        <v>74</v>
      </c>
      <c r="B86" s="4">
        <f>_xlfn.STDEV.S(B2:B82)</f>
        <v>12.683985008389437</v>
      </c>
      <c r="C86" s="4">
        <f>_xlfn.STDEV.S(C2:C82)</f>
        <v>73.106146403536528</v>
      </c>
      <c r="D86" s="4">
        <f>_xlfn.STDEV.S(D2:D82)</f>
        <v>31.286125602244979</v>
      </c>
      <c r="E86" s="4">
        <f>_xlfn.STDEV.S(E2:E82)</f>
        <v>3.319850073087018</v>
      </c>
      <c r="F86" s="4">
        <f t="shared" ref="F86:H86" si="8">_xlfn.STDEV.S(F2:F82)</f>
        <v>65.540516339192095</v>
      </c>
      <c r="G86" s="4">
        <f t="shared" si="8"/>
        <v>779.17511980067047</v>
      </c>
      <c r="H86" s="4">
        <f t="shared" si="8"/>
        <v>612.00816871029838</v>
      </c>
      <c r="I86" s="4">
        <f t="shared" ref="I86:K86" si="9">_xlfn.STDEV.S(I2:I82)</f>
        <v>5.9323280514306721E-2</v>
      </c>
      <c r="J86" s="4">
        <f t="shared" si="9"/>
        <v>0.71052569882832384</v>
      </c>
      <c r="K86" s="4">
        <f t="shared" si="9"/>
        <v>0.56261572395360704</v>
      </c>
    </row>
    <row r="87" spans="1:11" x14ac:dyDescent="0.3">
      <c r="A87" s="3" t="s">
        <v>75</v>
      </c>
      <c r="B87" s="4">
        <f>MIN(B2:B82)</f>
        <v>1183.210256472551</v>
      </c>
      <c r="C87" s="4">
        <f>MIN(C2:C82)</f>
        <v>3570</v>
      </c>
      <c r="D87" s="4">
        <f>MIN(D2:D82)</f>
        <v>12.255819471088509</v>
      </c>
      <c r="E87" s="4">
        <f>MIN(E2:E82)</f>
        <v>5.7532156040272699</v>
      </c>
      <c r="F87" s="4">
        <f t="shared" ref="F87:H87" si="10">MIN(F2:F82)</f>
        <v>460.46040661794308</v>
      </c>
      <c r="G87" s="4">
        <f t="shared" si="10"/>
        <v>6128.4811339999596</v>
      </c>
      <c r="H87" s="4">
        <f t="shared" si="10"/>
        <v>5374.0510696339807</v>
      </c>
      <c r="I87" s="4">
        <f t="shared" ref="I87:K87" si="11">MIN(I2:I82)</f>
        <v>0.37829191941935658</v>
      </c>
      <c r="J87" s="4">
        <f t="shared" si="11"/>
        <v>5.033696384873358</v>
      </c>
      <c r="K87" s="4">
        <f t="shared" si="11"/>
        <v>4.4186200106671505</v>
      </c>
    </row>
    <row r="88" spans="1:11" x14ac:dyDescent="0.3">
      <c r="A88" s="3" t="s">
        <v>76</v>
      </c>
      <c r="B88" s="4">
        <f>MAX(B2:B82)</f>
        <v>1219.6311315515741</v>
      </c>
      <c r="C88" s="4">
        <f>MAX(C2:C82)</f>
        <v>3751</v>
      </c>
      <c r="D88" s="4">
        <f>MAX(D2:D82)</f>
        <v>81.590325932806678</v>
      </c>
      <c r="E88" s="4">
        <f>MAX(E2:E82)</f>
        <v>16.024290706082599</v>
      </c>
      <c r="F88" s="4">
        <f t="shared" ref="F88:H88" si="12">MAX(F2:F82)</f>
        <v>631.35909985582498</v>
      </c>
      <c r="G88" s="4">
        <f t="shared" si="12"/>
        <v>8358.5183129999805</v>
      </c>
      <c r="H88" s="4">
        <f t="shared" si="12"/>
        <v>7207.9892814949699</v>
      </c>
      <c r="I88" s="4">
        <f t="shared" ref="I88:K88" si="13">MAX(I2:I82)</f>
        <v>0.53307650368114268</v>
      </c>
      <c r="J88" s="4">
        <f t="shared" si="13"/>
        <v>7.0526353276421601</v>
      </c>
      <c r="K88" s="4">
        <f t="shared" si="13"/>
        <v>6.0818578059311568</v>
      </c>
    </row>
    <row r="89" spans="1:11" x14ac:dyDescent="0.3">
      <c r="A89" s="3" t="s">
        <v>78</v>
      </c>
      <c r="B89" s="4">
        <f>_xlfn.QUARTILE.EXC(B2:B82,1)</f>
        <v>1187.3661876652959</v>
      </c>
      <c r="C89" s="4">
        <f t="shared" ref="C89:H89" si="14">_xlfn.QUARTILE.EXC(C2:C82,1)</f>
        <v>3573</v>
      </c>
      <c r="D89" s="4">
        <f t="shared" si="14"/>
        <v>12.255819471088509</v>
      </c>
      <c r="E89" s="4">
        <f t="shared" si="14"/>
        <v>6.663649851838235</v>
      </c>
      <c r="F89" s="4">
        <f t="shared" si="14"/>
        <v>478.53321797693047</v>
      </c>
      <c r="G89" s="4">
        <f t="shared" si="14"/>
        <v>6548.94952499996</v>
      </c>
      <c r="H89" s="4">
        <f t="shared" si="14"/>
        <v>5760.5219622274999</v>
      </c>
      <c r="I89" s="4">
        <f t="shared" ref="I89:K89" si="15">_xlfn.QUARTILE.EXC(I2:I82,1)</f>
        <v>0.39445190377353412</v>
      </c>
      <c r="J89" s="4">
        <f t="shared" si="15"/>
        <v>5.3955776396419228</v>
      </c>
      <c r="K89" s="4">
        <f t="shared" si="15"/>
        <v>4.7514713475544923</v>
      </c>
    </row>
    <row r="90" spans="1:11" x14ac:dyDescent="0.3">
      <c r="A90" s="3" t="s">
        <v>79</v>
      </c>
      <c r="B90" s="4">
        <f>_xlfn.QUARTILE.EXC(B2:B82,2)</f>
        <v>1211.4174857979799</v>
      </c>
      <c r="C90" s="4">
        <f t="shared" ref="C90:H90" si="16">_xlfn.QUARTILE.EXC(C2:C82,2)</f>
        <v>3587</v>
      </c>
      <c r="D90" s="4">
        <f t="shared" si="16"/>
        <v>18.181520147890424</v>
      </c>
      <c r="E90" s="4">
        <f t="shared" si="16"/>
        <v>10.918517062874701</v>
      </c>
      <c r="F90" s="4">
        <f t="shared" si="16"/>
        <v>509.2362618284115</v>
      </c>
      <c r="G90" s="4">
        <f t="shared" si="16"/>
        <v>6875.7112769999694</v>
      </c>
      <c r="H90" s="4">
        <f t="shared" si="16"/>
        <v>5945.5044056519901</v>
      </c>
      <c r="I90" s="4">
        <f t="shared" ref="I90:K90" si="17">_xlfn.QUARTILE.EXC(I2:I82,2)</f>
        <v>0.42024694756069153</v>
      </c>
      <c r="J90" s="4">
        <f t="shared" si="17"/>
        <v>5.675220782408787</v>
      </c>
      <c r="K90" s="4">
        <f t="shared" si="17"/>
        <v>4.9057122359360772</v>
      </c>
    </row>
    <row r="91" spans="1:11" x14ac:dyDescent="0.3">
      <c r="A91" s="3" t="s">
        <v>77</v>
      </c>
      <c r="B91" s="4">
        <f t="shared" ref="B91:H91" si="18">_xlfn.QUARTILE.EXC(B2:B82,3)</f>
        <v>1213.4146119288762</v>
      </c>
      <c r="C91" s="4">
        <f t="shared" si="18"/>
        <v>3725.5</v>
      </c>
      <c r="D91" s="4">
        <f t="shared" si="18"/>
        <v>80.745123867735515</v>
      </c>
      <c r="E91" s="4">
        <f t="shared" si="18"/>
        <v>12.352679248263902</v>
      </c>
      <c r="F91" s="4">
        <f t="shared" si="18"/>
        <v>615.30428232195902</v>
      </c>
      <c r="G91" s="4">
        <f t="shared" si="18"/>
        <v>7954.7076199999801</v>
      </c>
      <c r="H91" s="4">
        <f t="shared" si="18"/>
        <v>6767.9192883444848</v>
      </c>
      <c r="I91" s="4">
        <f t="shared" ref="I91:K91" si="19">_xlfn.QUARTILE.EXC(I2:I82,3)</f>
        <v>0.51852660288879382</v>
      </c>
      <c r="J91" s="4">
        <f t="shared" si="19"/>
        <v>6.6974269109265574</v>
      </c>
      <c r="K91" s="4">
        <f t="shared" si="19"/>
        <v>5.6971736363344672</v>
      </c>
    </row>
    <row r="92" spans="1:11" x14ac:dyDescent="0.3">
      <c r="A92" s="3"/>
      <c r="B92" s="4"/>
      <c r="C92" s="4"/>
      <c r="D92" s="4"/>
      <c r="E92" s="4"/>
      <c r="F92" s="4"/>
      <c r="G92" s="4"/>
      <c r="H92" s="4"/>
    </row>
    <row r="95" spans="1:11" x14ac:dyDescent="0.3">
      <c r="B95" s="1"/>
      <c r="C95" s="1"/>
      <c r="D95" s="1"/>
      <c r="E95" s="1"/>
      <c r="F95" s="1"/>
      <c r="G95" s="1"/>
      <c r="H95" s="1"/>
    </row>
    <row r="96" spans="1:11" x14ac:dyDescent="0.3">
      <c r="B96" s="1"/>
      <c r="C96" s="1"/>
      <c r="D96" s="1"/>
      <c r="E96" s="1"/>
      <c r="F96" s="1"/>
      <c r="G96" s="1"/>
      <c r="H96" s="1"/>
    </row>
    <row r="97" spans="2:8" x14ac:dyDescent="0.3">
      <c r="B97" s="1"/>
      <c r="C97" s="1"/>
      <c r="D97" s="1"/>
      <c r="E97" s="1"/>
      <c r="F97" s="1"/>
      <c r="G97" s="1"/>
      <c r="H97" s="1"/>
    </row>
    <row r="98" spans="2:8" x14ac:dyDescent="0.3">
      <c r="B98" s="1"/>
      <c r="C98" s="1"/>
      <c r="D98" s="1"/>
      <c r="E98" s="1"/>
      <c r="F98" s="1"/>
      <c r="G98" s="1"/>
      <c r="H98" s="1"/>
    </row>
    <row r="99" spans="2:8" x14ac:dyDescent="0.3">
      <c r="B99" s="1"/>
      <c r="C99" s="1"/>
      <c r="D99" s="1"/>
      <c r="E99" s="1"/>
      <c r="F99" s="1"/>
      <c r="G99" s="1"/>
      <c r="H99" s="1"/>
    </row>
    <row r="100" spans="2:8" x14ac:dyDescent="0.3">
      <c r="B100" s="1"/>
      <c r="C100" s="1"/>
      <c r="D100" s="1"/>
      <c r="E100" s="1"/>
      <c r="F100" s="1"/>
      <c r="G100" s="1"/>
      <c r="H100" s="1"/>
    </row>
    <row r="101" spans="2:8" x14ac:dyDescent="0.3">
      <c r="B101" s="1"/>
      <c r="C101" s="1"/>
      <c r="D101" s="1"/>
      <c r="E101" s="1"/>
      <c r="F101" s="1"/>
      <c r="G101" s="1"/>
      <c r="H101" s="1"/>
    </row>
    <row r="102" spans="2:8" x14ac:dyDescent="0.3">
      <c r="B102" s="1"/>
      <c r="C102" s="1"/>
      <c r="D102" s="1"/>
      <c r="E102" s="1"/>
      <c r="F102" s="1"/>
      <c r="G102" s="1"/>
      <c r="H102" s="1"/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>
      <pane ySplit="1" topLeftCell="A2" activePane="bottomLeft" state="frozen"/>
      <selection pane="bottomLeft" activeCell="M17" sqref="M17"/>
    </sheetView>
  </sheetViews>
  <sheetFormatPr defaultRowHeight="14.4" x14ac:dyDescent="0.3"/>
  <cols>
    <col min="1" max="1" width="12.5546875" bestFit="1" customWidth="1"/>
    <col min="2" max="2" width="14.33203125" bestFit="1" customWidth="1"/>
    <col min="3" max="3" width="16.77734375" bestFit="1" customWidth="1"/>
    <col min="4" max="4" width="20.33203125" bestFit="1" customWidth="1"/>
    <col min="5" max="5" width="10.109375" bestFit="1" customWidth="1"/>
    <col min="6" max="6" width="14.77734375" bestFit="1" customWidth="1"/>
    <col min="7" max="7" width="13.77734375" bestFit="1" customWidth="1"/>
    <col min="8" max="8" width="17" bestFit="1" customWidth="1"/>
    <col min="12" max="12" width="16.77734375" style="3" bestFit="1" customWidth="1"/>
  </cols>
  <sheetData>
    <row r="1" spans="1:12" x14ac:dyDescent="0.3">
      <c r="A1" s="17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s="21" t="s">
        <v>89</v>
      </c>
      <c r="J1" s="21" t="s">
        <v>90</v>
      </c>
      <c r="K1" s="21" t="s">
        <v>91</v>
      </c>
    </row>
    <row r="2" spans="1:12" x14ac:dyDescent="0.3">
      <c r="A2" s="18">
        <v>1</v>
      </c>
      <c r="B2" s="16">
        <v>356.0020806586723</v>
      </c>
      <c r="C2" s="16">
        <v>328</v>
      </c>
      <c r="D2" s="16">
        <v>7.3552557446423519</v>
      </c>
      <c r="E2" s="16">
        <v>12.714360023524</v>
      </c>
      <c r="F2" s="16">
        <v>76.587499723137597</v>
      </c>
      <c r="G2" s="16">
        <v>938.96842999999797</v>
      </c>
      <c r="H2" s="16">
        <v>861.16031011999701</v>
      </c>
      <c r="I2" s="23">
        <f>F2/B2</f>
        <v>0.21513216883855285</v>
      </c>
      <c r="J2" s="5">
        <f>G2/B2</f>
        <v>2.6375363544581703</v>
      </c>
      <c r="K2" s="5">
        <f>H2/B2</f>
        <v>2.4189754973529505</v>
      </c>
    </row>
    <row r="3" spans="1:12" x14ac:dyDescent="0.3">
      <c r="A3" s="18">
        <v>2</v>
      </c>
      <c r="B3" s="16">
        <v>374.2019426219565</v>
      </c>
      <c r="C3" s="16">
        <v>345</v>
      </c>
      <c r="D3" s="16">
        <v>7.6285023219814221</v>
      </c>
      <c r="E3" s="16">
        <v>12.903515262826</v>
      </c>
      <c r="F3" s="16">
        <v>80.412279440956993</v>
      </c>
      <c r="G3" s="16">
        <v>993.44038499999692</v>
      </c>
      <c r="H3" s="16">
        <v>916.46823533299607</v>
      </c>
      <c r="I3" s="5">
        <f t="shared" ref="I3:I66" si="0">F3/B3</f>
        <v>0.21489006411224001</v>
      </c>
      <c r="J3" s="5">
        <f t="shared" ref="J3:J66" si="1">G3/B3</f>
        <v>2.6548242321757156</v>
      </c>
      <c r="K3" s="5">
        <f t="shared" ref="K3:K66" si="2">H3/B3</f>
        <v>2.4491274120906228</v>
      </c>
    </row>
    <row r="4" spans="1:12" x14ac:dyDescent="0.3">
      <c r="A4" s="18">
        <v>3</v>
      </c>
      <c r="B4" s="16">
        <v>764.66757936160184</v>
      </c>
      <c r="C4" s="16">
        <v>626</v>
      </c>
      <c r="D4" s="16">
        <v>6.9929309191808553</v>
      </c>
      <c r="E4" s="16">
        <v>13.415220690554403</v>
      </c>
      <c r="F4" s="16">
        <v>155.17087064406121</v>
      </c>
      <c r="G4" s="16">
        <v>2078.8278009999972</v>
      </c>
      <c r="H4" s="16">
        <v>1937.0772461169938</v>
      </c>
      <c r="I4" s="5">
        <f t="shared" si="0"/>
        <v>0.2029259181795163</v>
      </c>
      <c r="J4" s="5">
        <f t="shared" si="1"/>
        <v>2.7186032952195367</v>
      </c>
      <c r="K4" s="5">
        <f t="shared" si="2"/>
        <v>2.5332278998073932</v>
      </c>
    </row>
    <row r="5" spans="1:12" x14ac:dyDescent="0.3">
      <c r="A5" s="18">
        <v>4</v>
      </c>
      <c r="B5" s="16">
        <v>749.87468380704945</v>
      </c>
      <c r="C5" s="16">
        <v>624</v>
      </c>
      <c r="D5" s="16">
        <v>7.1661890558724402</v>
      </c>
      <c r="E5" s="16">
        <v>13.155696207141201</v>
      </c>
      <c r="F5" s="16">
        <v>155.05685302357102</v>
      </c>
      <c r="G5" s="16">
        <v>2069.5379239999993</v>
      </c>
      <c r="H5" s="16">
        <v>1928.2435920849919</v>
      </c>
      <c r="I5" s="5">
        <f t="shared" si="0"/>
        <v>0.2067770207101281</v>
      </c>
      <c r="J5" s="23">
        <f t="shared" si="1"/>
        <v>2.75984503636412</v>
      </c>
      <c r="K5" s="23">
        <f t="shared" si="2"/>
        <v>2.5714211103853573</v>
      </c>
      <c r="L5" s="3" t="s">
        <v>92</v>
      </c>
    </row>
    <row r="6" spans="1:12" x14ac:dyDescent="0.3">
      <c r="A6" s="18">
        <v>5</v>
      </c>
      <c r="B6" s="16">
        <v>758.64990039033921</v>
      </c>
      <c r="C6" s="16">
        <v>626</v>
      </c>
      <c r="D6" s="16">
        <v>7.0061758890976913</v>
      </c>
      <c r="E6" s="16">
        <v>13.309647375269098</v>
      </c>
      <c r="F6" s="16">
        <v>155.1418687283217</v>
      </c>
      <c r="G6" s="16">
        <v>2085.198466999997</v>
      </c>
      <c r="H6" s="16">
        <v>1939.9854833299939</v>
      </c>
      <c r="I6" s="5">
        <f t="shared" si="0"/>
        <v>0.20449731641498717</v>
      </c>
      <c r="J6" s="5">
        <f t="shared" si="1"/>
        <v>2.7485648728446734</v>
      </c>
      <c r="K6" s="5">
        <f t="shared" si="2"/>
        <v>2.5571551282506411</v>
      </c>
    </row>
    <row r="7" spans="1:12" x14ac:dyDescent="0.3">
      <c r="A7" s="18">
        <v>6</v>
      </c>
      <c r="B7" s="16">
        <v>744.43950652226874</v>
      </c>
      <c r="C7" s="16">
        <v>620</v>
      </c>
      <c r="D7" s="16">
        <v>7.0233903651229115</v>
      </c>
      <c r="E7" s="16">
        <v>13.060342219688902</v>
      </c>
      <c r="F7" s="16">
        <v>153.76758003229941</v>
      </c>
      <c r="G7" s="16">
        <v>2037.2923269999978</v>
      </c>
      <c r="H7" s="16">
        <v>1896.9588014009919</v>
      </c>
      <c r="I7" s="5">
        <f t="shared" si="0"/>
        <v>0.20655483579940781</v>
      </c>
      <c r="J7" s="5">
        <f t="shared" si="1"/>
        <v>2.7366794872526765</v>
      </c>
      <c r="K7" s="5">
        <f t="shared" si="2"/>
        <v>2.5481705159131653</v>
      </c>
    </row>
    <row r="8" spans="1:12" x14ac:dyDescent="0.3">
      <c r="A8" s="18">
        <v>7</v>
      </c>
      <c r="B8" s="16">
        <v>761.36285968897005</v>
      </c>
      <c r="C8" s="16">
        <v>628</v>
      </c>
      <c r="D8" s="16">
        <v>6.9917476932846556</v>
      </c>
      <c r="E8" s="16">
        <v>13.3572431524381</v>
      </c>
      <c r="F8" s="16">
        <v>154.74723911154589</v>
      </c>
      <c r="G8" s="16">
        <v>2084.3685429999987</v>
      </c>
      <c r="H8" s="16">
        <v>1943.5490382279918</v>
      </c>
      <c r="I8" s="5">
        <f t="shared" si="0"/>
        <v>0.20325031243941008</v>
      </c>
      <c r="J8" s="5">
        <f t="shared" si="1"/>
        <v>2.7376808790640239</v>
      </c>
      <c r="K8" s="5">
        <f t="shared" si="2"/>
        <v>2.5527237288957925</v>
      </c>
    </row>
    <row r="9" spans="1:12" x14ac:dyDescent="0.3">
      <c r="A9" s="18">
        <v>8</v>
      </c>
      <c r="B9" s="16">
        <v>745.31553191560954</v>
      </c>
      <c r="C9" s="16">
        <v>619</v>
      </c>
      <c r="D9" s="16">
        <v>7.0137704120630904</v>
      </c>
      <c r="E9" s="16">
        <v>13.0757110862387</v>
      </c>
      <c r="F9" s="16">
        <v>153.9525256434062</v>
      </c>
      <c r="G9" s="16">
        <v>2059.8548089999967</v>
      </c>
      <c r="H9" s="16">
        <v>1915.5277937109927</v>
      </c>
      <c r="I9" s="5">
        <f t="shared" si="0"/>
        <v>0.20656020041299489</v>
      </c>
      <c r="J9" s="5">
        <f t="shared" si="1"/>
        <v>2.7637352514387552</v>
      </c>
      <c r="K9" s="5">
        <f t="shared" si="2"/>
        <v>2.5700897293629508</v>
      </c>
    </row>
    <row r="10" spans="1:12" x14ac:dyDescent="0.3">
      <c r="A10" s="18">
        <v>9</v>
      </c>
      <c r="B10" s="16">
        <v>373.95883851513798</v>
      </c>
      <c r="C10" s="16">
        <v>345</v>
      </c>
      <c r="D10" s="16">
        <v>7.6753773219814221</v>
      </c>
      <c r="E10" s="16">
        <v>12.895132362590999</v>
      </c>
      <c r="F10" s="16">
        <v>80.229681678140707</v>
      </c>
      <c r="G10" s="16">
        <v>995.14338299999895</v>
      </c>
      <c r="H10" s="16">
        <v>918.19856824499595</v>
      </c>
      <c r="I10" s="5">
        <f t="shared" si="0"/>
        <v>0.21454147733666409</v>
      </c>
      <c r="J10" s="5">
        <f t="shared" si="1"/>
        <v>2.6611040588086414</v>
      </c>
      <c r="K10" s="5">
        <f t="shared" si="2"/>
        <v>2.4553466148596645</v>
      </c>
    </row>
    <row r="11" spans="1:12" x14ac:dyDescent="0.3">
      <c r="A11" s="18">
        <v>10</v>
      </c>
      <c r="B11" s="16">
        <v>355.68900162596509</v>
      </c>
      <c r="C11" s="16">
        <v>328</v>
      </c>
      <c r="D11" s="16">
        <v>7.3552557446423519</v>
      </c>
      <c r="E11" s="16">
        <v>12.7031786294987</v>
      </c>
      <c r="F11" s="16">
        <v>76.905362145097399</v>
      </c>
      <c r="G11" s="16">
        <v>938.96842999999797</v>
      </c>
      <c r="H11" s="16">
        <v>861.16031011999701</v>
      </c>
      <c r="I11" s="5">
        <f t="shared" si="0"/>
        <v>0.21621518178391533</v>
      </c>
      <c r="J11" s="5">
        <f t="shared" si="1"/>
        <v>2.639857925625142</v>
      </c>
      <c r="K11" s="5">
        <f t="shared" si="2"/>
        <v>2.4211046902866418</v>
      </c>
    </row>
    <row r="12" spans="1:12" x14ac:dyDescent="0.3">
      <c r="A12" s="18">
        <v>11</v>
      </c>
      <c r="B12" s="16">
        <v>760.06983845288141</v>
      </c>
      <c r="C12" s="16">
        <v>628</v>
      </c>
      <c r="D12" s="16">
        <v>7.0606063920023736</v>
      </c>
      <c r="E12" s="16">
        <v>13.3345585693488</v>
      </c>
      <c r="F12" s="16">
        <v>155.44553204718221</v>
      </c>
      <c r="G12" s="16">
        <v>2076.1206949999987</v>
      </c>
      <c r="H12" s="16">
        <v>1937.371266029993</v>
      </c>
      <c r="I12" s="5">
        <f t="shared" si="0"/>
        <v>0.20451480138139788</v>
      </c>
      <c r="J12" s="5">
        <f t="shared" si="1"/>
        <v>2.7314867528830411</v>
      </c>
      <c r="K12" s="5">
        <f t="shared" si="2"/>
        <v>2.5489384896176159</v>
      </c>
    </row>
    <row r="13" spans="1:12" x14ac:dyDescent="0.3">
      <c r="A13" s="18">
        <v>12</v>
      </c>
      <c r="B13" s="16">
        <v>374.23753017908996</v>
      </c>
      <c r="C13" s="16">
        <v>348</v>
      </c>
      <c r="D13" s="16">
        <v>7.7313514200897222</v>
      </c>
      <c r="E13" s="16">
        <v>12.904742419968599</v>
      </c>
      <c r="F13" s="16">
        <v>80.607201580873095</v>
      </c>
      <c r="G13" s="16">
        <v>999.70133299999702</v>
      </c>
      <c r="H13" s="16">
        <v>922.046873197997</v>
      </c>
      <c r="I13" s="5">
        <f t="shared" si="0"/>
        <v>0.21539048085930565</v>
      </c>
      <c r="J13" s="5">
        <f t="shared" si="1"/>
        <v>2.6713016530479821</v>
      </c>
      <c r="K13" s="5">
        <f t="shared" si="2"/>
        <v>2.4638011926723515</v>
      </c>
    </row>
    <row r="14" spans="1:12" x14ac:dyDescent="0.3">
      <c r="A14" s="18">
        <v>13</v>
      </c>
      <c r="B14" s="16">
        <v>374.17623766805877</v>
      </c>
      <c r="C14" s="16">
        <v>345</v>
      </c>
      <c r="D14" s="16">
        <v>7.6580298591788454</v>
      </c>
      <c r="E14" s="16">
        <v>12.9026288851055</v>
      </c>
      <c r="F14" s="16">
        <v>80.492915272181108</v>
      </c>
      <c r="G14" s="16">
        <v>996.34640599999693</v>
      </c>
      <c r="H14" s="16">
        <v>918.50820679799608</v>
      </c>
      <c r="I14" s="5">
        <f t="shared" si="0"/>
        <v>0.21512032878899279</v>
      </c>
      <c r="J14" s="5">
        <f t="shared" si="1"/>
        <v>2.6627730617246761</v>
      </c>
      <c r="K14" s="5">
        <f t="shared" si="2"/>
        <v>2.4547475609951159</v>
      </c>
    </row>
    <row r="15" spans="1:12" x14ac:dyDescent="0.3">
      <c r="A15" s="18">
        <v>14</v>
      </c>
      <c r="B15" s="16">
        <v>371.54132350374476</v>
      </c>
      <c r="C15" s="16">
        <v>345</v>
      </c>
      <c r="D15" s="16">
        <v>7.6285023219814221</v>
      </c>
      <c r="E15" s="16">
        <v>12.8117697759912</v>
      </c>
      <c r="F15" s="16">
        <v>80.528748142221389</v>
      </c>
      <c r="G15" s="16">
        <v>993.44038499999692</v>
      </c>
      <c r="H15" s="16">
        <v>916.46823533299607</v>
      </c>
      <c r="I15" s="5">
        <f t="shared" si="0"/>
        <v>0.21674237304968241</v>
      </c>
      <c r="J15" s="5">
        <f t="shared" si="1"/>
        <v>2.6738355121082082</v>
      </c>
      <c r="K15" s="5">
        <f t="shared" si="2"/>
        <v>2.4666656906166695</v>
      </c>
    </row>
    <row r="16" spans="1:12" x14ac:dyDescent="0.3">
      <c r="A16" s="18">
        <v>15</v>
      </c>
      <c r="B16" s="16">
        <v>371.93553936443504</v>
      </c>
      <c r="C16" s="16">
        <v>345</v>
      </c>
      <c r="D16" s="16">
        <v>7.6285023219814221</v>
      </c>
      <c r="E16" s="16">
        <v>12.8253634263598</v>
      </c>
      <c r="F16" s="16">
        <v>80.425429123488897</v>
      </c>
      <c r="G16" s="16">
        <v>993.44038499999692</v>
      </c>
      <c r="H16" s="16">
        <v>916.46823533299607</v>
      </c>
      <c r="I16" s="5">
        <f t="shared" si="0"/>
        <v>0.21623485956980662</v>
      </c>
      <c r="J16" s="5">
        <f t="shared" si="1"/>
        <v>2.6710015039100372</v>
      </c>
      <c r="K16" s="5">
        <f t="shared" si="2"/>
        <v>2.4640512624823665</v>
      </c>
    </row>
    <row r="17" spans="1:11" x14ac:dyDescent="0.3">
      <c r="A17" s="18">
        <v>16</v>
      </c>
      <c r="B17" s="16">
        <v>372.74050639380761</v>
      </c>
      <c r="C17" s="16">
        <v>345</v>
      </c>
      <c r="D17" s="16">
        <v>7.6486412108703101</v>
      </c>
      <c r="E17" s="16">
        <v>12.853120910131301</v>
      </c>
      <c r="F17" s="16">
        <v>80.147476757077101</v>
      </c>
      <c r="G17" s="16">
        <v>993.90654599999698</v>
      </c>
      <c r="H17" s="16">
        <v>917.51001190099601</v>
      </c>
      <c r="I17" s="5">
        <f t="shared" si="0"/>
        <v>0.21502218133598749</v>
      </c>
      <c r="J17" s="5">
        <f t="shared" si="1"/>
        <v>2.6664838646484945</v>
      </c>
      <c r="K17" s="5">
        <f t="shared" si="2"/>
        <v>2.4615248307132704</v>
      </c>
    </row>
    <row r="18" spans="1:11" x14ac:dyDescent="0.3">
      <c r="A18" s="18">
        <v>17</v>
      </c>
      <c r="B18" s="16">
        <v>757.05328376335024</v>
      </c>
      <c r="C18" s="16">
        <v>625</v>
      </c>
      <c r="D18" s="16">
        <v>6.9917718131136422</v>
      </c>
      <c r="E18" s="16">
        <v>13.2816365572517</v>
      </c>
      <c r="F18" s="16">
        <v>155.3290108604173</v>
      </c>
      <c r="G18" s="16">
        <v>2080.2417439999967</v>
      </c>
      <c r="H18" s="16">
        <v>1939.151125165994</v>
      </c>
      <c r="I18" s="5">
        <f t="shared" si="0"/>
        <v>0.20517579699049573</v>
      </c>
      <c r="J18" s="5">
        <f t="shared" si="1"/>
        <v>2.7478141745307672</v>
      </c>
      <c r="K18" s="5">
        <f t="shared" si="2"/>
        <v>2.5614460260001457</v>
      </c>
    </row>
    <row r="19" spans="1:11" x14ac:dyDescent="0.3">
      <c r="A19" s="18">
        <v>18</v>
      </c>
      <c r="B19" s="16">
        <v>760.29998715291708</v>
      </c>
      <c r="C19" s="16">
        <v>627</v>
      </c>
      <c r="D19" s="16">
        <v>6.9898174936465889</v>
      </c>
      <c r="E19" s="16">
        <v>13.338596265840604</v>
      </c>
      <c r="F19" s="16">
        <v>155.1901304063519</v>
      </c>
      <c r="G19" s="16">
        <v>2076.4734179999991</v>
      </c>
      <c r="H19" s="16">
        <v>1937.9750690879919</v>
      </c>
      <c r="I19" s="5">
        <f t="shared" si="0"/>
        <v>0.20411697097022169</v>
      </c>
      <c r="J19" s="5">
        <f t="shared" si="1"/>
        <v>2.7311238367578241</v>
      </c>
      <c r="K19" s="5">
        <f t="shared" si="2"/>
        <v>2.5489610704126084</v>
      </c>
    </row>
    <row r="20" spans="1:11" x14ac:dyDescent="0.3">
      <c r="A20" s="18">
        <v>19</v>
      </c>
      <c r="B20" s="16">
        <v>1164.6851520169639</v>
      </c>
      <c r="C20" s="16">
        <v>885</v>
      </c>
      <c r="D20" s="16">
        <v>6.4187156850531109</v>
      </c>
      <c r="E20" s="16">
        <v>13.542850604848402</v>
      </c>
      <c r="F20" s="16">
        <v>224.91847810147962</v>
      </c>
      <c r="G20" s="16">
        <v>2848.8476619999969</v>
      </c>
      <c r="H20" s="16">
        <v>2649.4090972359877</v>
      </c>
      <c r="I20" s="5">
        <f t="shared" si="0"/>
        <v>0.19311526184735256</v>
      </c>
      <c r="J20" s="5">
        <f t="shared" si="1"/>
        <v>2.4460238520826465</v>
      </c>
      <c r="K20" s="5">
        <f t="shared" si="2"/>
        <v>2.2747856728900744</v>
      </c>
    </row>
    <row r="21" spans="1:11" x14ac:dyDescent="0.3">
      <c r="A21" s="18">
        <v>20</v>
      </c>
      <c r="B21" s="16">
        <v>1148.4134206803967</v>
      </c>
      <c r="C21" s="16">
        <v>875</v>
      </c>
      <c r="D21" s="16">
        <v>6.4391658338915034</v>
      </c>
      <c r="E21" s="16">
        <v>13.510746125651705</v>
      </c>
      <c r="F21" s="16">
        <v>222.39554121050818</v>
      </c>
      <c r="G21" s="16">
        <v>2818.302081999997</v>
      </c>
      <c r="H21" s="16">
        <v>2618.7958432649889</v>
      </c>
      <c r="I21" s="5">
        <f t="shared" si="0"/>
        <v>0.19365459964648116</v>
      </c>
      <c r="J21" s="5">
        <f t="shared" si="1"/>
        <v>2.4540831996984558</v>
      </c>
      <c r="K21" s="5">
        <f t="shared" si="2"/>
        <v>2.2803598391539515</v>
      </c>
    </row>
    <row r="22" spans="1:11" x14ac:dyDescent="0.3">
      <c r="A22" s="18">
        <v>21</v>
      </c>
      <c r="B22" s="16">
        <v>1163.8161449005352</v>
      </c>
      <c r="C22" s="16">
        <v>883</v>
      </c>
      <c r="D22" s="16">
        <v>6.4093601725347327</v>
      </c>
      <c r="E22" s="16">
        <v>13.532745870936397</v>
      </c>
      <c r="F22" s="16">
        <v>225.07635898429169</v>
      </c>
      <c r="G22" s="16">
        <v>2858.3646509999967</v>
      </c>
      <c r="H22" s="16">
        <v>2656.6541566119904</v>
      </c>
      <c r="I22" s="5">
        <f t="shared" si="0"/>
        <v>0.19339511654869482</v>
      </c>
      <c r="J22" s="5">
        <f t="shared" si="1"/>
        <v>2.4560276668479153</v>
      </c>
      <c r="K22" s="5">
        <f t="shared" si="2"/>
        <v>2.2827094883092895</v>
      </c>
    </row>
    <row r="23" spans="1:11" x14ac:dyDescent="0.3">
      <c r="A23" s="18">
        <v>22</v>
      </c>
      <c r="B23" s="16">
        <v>1159.1875152255363</v>
      </c>
      <c r="C23" s="16">
        <v>882</v>
      </c>
      <c r="D23" s="16">
        <v>6.4105043516822553</v>
      </c>
      <c r="E23" s="16">
        <v>13.478924595645699</v>
      </c>
      <c r="F23" s="16">
        <v>223.98275031431069</v>
      </c>
      <c r="G23" s="16">
        <v>2841.909743999996</v>
      </c>
      <c r="H23" s="16">
        <v>2638.52309083099</v>
      </c>
      <c r="I23" s="5">
        <f t="shared" si="0"/>
        <v>0.19322391534792513</v>
      </c>
      <c r="J23" s="5">
        <f t="shared" si="1"/>
        <v>2.4516393652213053</v>
      </c>
      <c r="K23" s="5">
        <f t="shared" si="2"/>
        <v>2.2761831508490911</v>
      </c>
    </row>
    <row r="24" spans="1:11" x14ac:dyDescent="0.3">
      <c r="A24" s="18">
        <v>23</v>
      </c>
      <c r="B24" s="16">
        <v>1150.5973193304792</v>
      </c>
      <c r="C24" s="16">
        <v>874</v>
      </c>
      <c r="D24" s="16">
        <v>6.4061746027800117</v>
      </c>
      <c r="E24" s="16">
        <v>13.536439050946798</v>
      </c>
      <c r="F24" s="16">
        <v>222.86862611932793</v>
      </c>
      <c r="G24" s="16">
        <v>2815.0078019999964</v>
      </c>
      <c r="H24" s="16">
        <v>2616.6462317929891</v>
      </c>
      <c r="I24" s="5">
        <f t="shared" si="0"/>
        <v>0.19369819690611909</v>
      </c>
      <c r="J24" s="5">
        <f t="shared" si="1"/>
        <v>2.446562107095835</v>
      </c>
      <c r="K24" s="5">
        <f t="shared" si="2"/>
        <v>2.2741633305000124</v>
      </c>
    </row>
    <row r="25" spans="1:11" x14ac:dyDescent="0.3">
      <c r="A25" s="18">
        <v>24</v>
      </c>
      <c r="B25" s="16">
        <v>1163.9780878531453</v>
      </c>
      <c r="C25" s="16">
        <v>885</v>
      </c>
      <c r="D25" s="16">
        <v>6.4354297030769638</v>
      </c>
      <c r="E25" s="16">
        <v>13.534628928524901</v>
      </c>
      <c r="F25" s="16">
        <v>225.53019691572146</v>
      </c>
      <c r="G25" s="16">
        <v>2861.9944919999962</v>
      </c>
      <c r="H25" s="16">
        <v>2662.3170306789884</v>
      </c>
      <c r="I25" s="5">
        <f t="shared" si="0"/>
        <v>0.19375811217519737</v>
      </c>
      <c r="J25" s="5">
        <f t="shared" si="1"/>
        <v>2.4588044413092791</v>
      </c>
      <c r="K25" s="5">
        <f t="shared" si="2"/>
        <v>2.2872570011944098</v>
      </c>
    </row>
    <row r="26" spans="1:11" x14ac:dyDescent="0.3">
      <c r="A26" s="18">
        <v>25</v>
      </c>
      <c r="B26" s="16">
        <v>1148.1323115541113</v>
      </c>
      <c r="C26" s="16">
        <v>875</v>
      </c>
      <c r="D26" s="16">
        <v>6.3947838513055606</v>
      </c>
      <c r="E26" s="16">
        <v>13.507438959460101</v>
      </c>
      <c r="F26" s="16">
        <v>222.54430975792781</v>
      </c>
      <c r="G26" s="16">
        <v>2819.3304789999956</v>
      </c>
      <c r="H26" s="16">
        <v>2621.6566205469899</v>
      </c>
      <c r="I26" s="5">
        <f t="shared" si="0"/>
        <v>0.19383158850106041</v>
      </c>
      <c r="J26" s="5">
        <f t="shared" si="1"/>
        <v>2.4555797712754477</v>
      </c>
      <c r="K26" s="5">
        <f t="shared" si="2"/>
        <v>2.2834098423711433</v>
      </c>
    </row>
    <row r="27" spans="1:11" x14ac:dyDescent="0.3">
      <c r="A27" s="18">
        <v>26</v>
      </c>
      <c r="B27" s="16">
        <v>443.23689925046898</v>
      </c>
      <c r="C27" s="16">
        <v>404</v>
      </c>
      <c r="D27" s="16">
        <v>9.7588278540866025</v>
      </c>
      <c r="E27" s="16">
        <v>16.416181453721101</v>
      </c>
      <c r="F27" s="16">
        <v>83.290803746095605</v>
      </c>
      <c r="G27" s="16">
        <v>1034.3322209999981</v>
      </c>
      <c r="H27" s="16">
        <v>961.72488793499599</v>
      </c>
      <c r="I27" s="5">
        <f t="shared" si="0"/>
        <v>0.18791486874613469</v>
      </c>
      <c r="J27" s="5">
        <f t="shared" si="1"/>
        <v>2.3335878009008151</v>
      </c>
      <c r="K27" s="5">
        <f t="shared" si="2"/>
        <v>2.1697762292835066</v>
      </c>
    </row>
    <row r="28" spans="1:11" x14ac:dyDescent="0.3">
      <c r="A28" s="18">
        <v>27</v>
      </c>
      <c r="B28" s="16">
        <v>1158.008812741188</v>
      </c>
      <c r="C28" s="16">
        <v>881</v>
      </c>
      <c r="D28" s="16">
        <v>6.4187236032789912</v>
      </c>
      <c r="E28" s="16">
        <v>13.465218752804502</v>
      </c>
      <c r="F28" s="16">
        <v>224.42144740525509</v>
      </c>
      <c r="G28" s="16">
        <v>2847.6622159999979</v>
      </c>
      <c r="H28" s="16">
        <v>2643.2351008659894</v>
      </c>
      <c r="I28" s="5">
        <f t="shared" si="0"/>
        <v>0.19379942962093219</v>
      </c>
      <c r="J28" s="5">
        <f t="shared" si="1"/>
        <v>2.4591023700926216</v>
      </c>
      <c r="K28" s="5">
        <f t="shared" si="2"/>
        <v>2.2825690718268703</v>
      </c>
    </row>
    <row r="29" spans="1:11" x14ac:dyDescent="0.3">
      <c r="A29" s="18">
        <v>28</v>
      </c>
      <c r="B29" s="16">
        <v>441.56934359752017</v>
      </c>
      <c r="C29" s="16">
        <v>404</v>
      </c>
      <c r="D29" s="16">
        <v>9.8879185140039141</v>
      </c>
      <c r="E29" s="16">
        <v>16.354420133241501</v>
      </c>
      <c r="F29" s="16">
        <v>83.612336790613597</v>
      </c>
      <c r="G29" s="16">
        <v>1033.883641999998</v>
      </c>
      <c r="H29" s="16">
        <v>961.80008438599612</v>
      </c>
      <c r="I29" s="5">
        <f t="shared" si="0"/>
        <v>0.18935267586606788</v>
      </c>
      <c r="J29" s="5">
        <f t="shared" si="1"/>
        <v>2.3413845571271317</v>
      </c>
      <c r="K29" s="5">
        <f t="shared" si="2"/>
        <v>2.1781405306584274</v>
      </c>
    </row>
    <row r="30" spans="1:11" x14ac:dyDescent="0.3">
      <c r="A30" s="18">
        <v>29</v>
      </c>
      <c r="B30" s="16">
        <v>441.17023189142105</v>
      </c>
      <c r="C30" s="16">
        <v>412</v>
      </c>
      <c r="D30" s="16">
        <v>9.9022105492736454</v>
      </c>
      <c r="E30" s="16">
        <v>16.3396382182008</v>
      </c>
      <c r="F30" s="16">
        <v>84.290837786157809</v>
      </c>
      <c r="G30" s="16">
        <v>1045.719869999999</v>
      </c>
      <c r="H30" s="16">
        <v>973.25680968799588</v>
      </c>
      <c r="I30" s="5">
        <f t="shared" si="0"/>
        <v>0.19106193413091188</v>
      </c>
      <c r="J30" s="5">
        <f t="shared" si="1"/>
        <v>2.3703318909725692</v>
      </c>
      <c r="K30" s="5">
        <f t="shared" si="2"/>
        <v>2.2060799649046352</v>
      </c>
    </row>
    <row r="31" spans="1:11" x14ac:dyDescent="0.3">
      <c r="A31" s="18">
        <v>30</v>
      </c>
      <c r="B31" s="16">
        <v>440.1487666137993</v>
      </c>
      <c r="C31" s="16">
        <v>404</v>
      </c>
      <c r="D31" s="16">
        <v>9.8518646820430202</v>
      </c>
      <c r="E31" s="16">
        <v>16.301806170881498</v>
      </c>
      <c r="F31" s="16">
        <v>83.256400536427606</v>
      </c>
      <c r="G31" s="16">
        <v>1036.2476749999989</v>
      </c>
      <c r="H31" s="16">
        <v>964.13300181299599</v>
      </c>
      <c r="I31" s="5">
        <f t="shared" si="0"/>
        <v>0.18915513765253705</v>
      </c>
      <c r="J31" s="5">
        <f t="shared" si="1"/>
        <v>2.3543123452831027</v>
      </c>
      <c r="K31" s="5">
        <f t="shared" si="2"/>
        <v>2.1904707565816204</v>
      </c>
    </row>
    <row r="32" spans="1:11" x14ac:dyDescent="0.3">
      <c r="A32" s="18">
        <v>31</v>
      </c>
      <c r="B32" s="16">
        <v>442.2409527208568</v>
      </c>
      <c r="C32" s="16">
        <v>404</v>
      </c>
      <c r="D32" s="16">
        <v>9.7693676136884271</v>
      </c>
      <c r="E32" s="16">
        <v>16.379294545216901</v>
      </c>
      <c r="F32" s="16">
        <v>83.257015659294808</v>
      </c>
      <c r="G32" s="16">
        <v>1032.560447999999</v>
      </c>
      <c r="H32" s="16">
        <v>959.88625992499601</v>
      </c>
      <c r="I32" s="5">
        <f t="shared" si="0"/>
        <v>0.18826165950272536</v>
      </c>
      <c r="J32" s="5">
        <f t="shared" si="1"/>
        <v>2.3348367934883516</v>
      </c>
      <c r="K32" s="5">
        <f t="shared" si="2"/>
        <v>2.1705051375711868</v>
      </c>
    </row>
    <row r="33" spans="1:11" x14ac:dyDescent="0.3">
      <c r="A33" s="18">
        <v>32</v>
      </c>
      <c r="B33" s="16">
        <v>1159.9187661710039</v>
      </c>
      <c r="C33" s="16">
        <v>884</v>
      </c>
      <c r="D33" s="16">
        <v>6.425174363426307</v>
      </c>
      <c r="E33" s="16">
        <v>13.487427513616298</v>
      </c>
      <c r="F33" s="16">
        <v>225.65799091140858</v>
      </c>
      <c r="G33" s="16">
        <v>2845.3558659999976</v>
      </c>
      <c r="H33" s="16">
        <v>2643.1008096369878</v>
      </c>
      <c r="I33" s="5">
        <f t="shared" si="0"/>
        <v>0.19454637470546829</v>
      </c>
      <c r="J33" s="5">
        <f t="shared" si="1"/>
        <v>2.4530647740037632</v>
      </c>
      <c r="K33" s="5">
        <f t="shared" si="2"/>
        <v>2.2786947558078583</v>
      </c>
    </row>
    <row r="34" spans="1:11" x14ac:dyDescent="0.3">
      <c r="A34" s="18">
        <v>33</v>
      </c>
      <c r="B34" s="16">
        <v>442.46195190343292</v>
      </c>
      <c r="C34" s="16">
        <v>403</v>
      </c>
      <c r="D34" s="16">
        <v>9.8310192151433871</v>
      </c>
      <c r="E34" s="16">
        <v>16.387479700127201</v>
      </c>
      <c r="F34" s="16">
        <v>83.093570619372912</v>
      </c>
      <c r="G34" s="16">
        <v>1036.2066699999991</v>
      </c>
      <c r="H34" s="16">
        <v>963.39028668799597</v>
      </c>
      <c r="I34" s="5">
        <f t="shared" si="0"/>
        <v>0.18779822821354827</v>
      </c>
      <c r="J34" s="5">
        <f t="shared" si="1"/>
        <v>2.3419113565411172</v>
      </c>
      <c r="K34" s="5">
        <f t="shared" si="2"/>
        <v>2.1773404075617679</v>
      </c>
    </row>
    <row r="35" spans="1:11" x14ac:dyDescent="0.3">
      <c r="A35" s="18">
        <v>34</v>
      </c>
      <c r="B35" s="16">
        <v>440.03557857782522</v>
      </c>
      <c r="C35" s="16">
        <v>404</v>
      </c>
      <c r="D35" s="16">
        <v>9.8518646820430202</v>
      </c>
      <c r="E35" s="16">
        <v>16.297614021400999</v>
      </c>
      <c r="F35" s="16">
        <v>83.400870602198211</v>
      </c>
      <c r="G35" s="16">
        <v>1036.2476749999989</v>
      </c>
      <c r="H35" s="16">
        <v>964.13300181299599</v>
      </c>
      <c r="I35" s="5">
        <f t="shared" si="0"/>
        <v>0.18953210754399905</v>
      </c>
      <c r="J35" s="5">
        <f t="shared" si="1"/>
        <v>2.3549179326569543</v>
      </c>
      <c r="K35" s="5">
        <f t="shared" si="2"/>
        <v>2.1910341998459071</v>
      </c>
    </row>
    <row r="36" spans="1:11" x14ac:dyDescent="0.3">
      <c r="A36" s="18">
        <v>35</v>
      </c>
      <c r="B36" s="16">
        <v>441.40556127943535</v>
      </c>
      <c r="C36" s="16">
        <v>403</v>
      </c>
      <c r="D36" s="16">
        <v>9.8369234014767457</v>
      </c>
      <c r="E36" s="16">
        <v>16.348354121460499</v>
      </c>
      <c r="F36" s="16">
        <v>82.79271021761221</v>
      </c>
      <c r="G36" s="16">
        <v>1030.8003989999988</v>
      </c>
      <c r="H36" s="16">
        <v>959.13491873499606</v>
      </c>
      <c r="I36" s="5">
        <f t="shared" si="0"/>
        <v>0.18756607863669306</v>
      </c>
      <c r="J36" s="5">
        <f t="shared" si="1"/>
        <v>2.3352682644327682</v>
      </c>
      <c r="K36" s="5">
        <f t="shared" si="2"/>
        <v>2.1729108168798263</v>
      </c>
    </row>
    <row r="37" spans="1:11" x14ac:dyDescent="0.3">
      <c r="A37" s="18">
        <v>36</v>
      </c>
      <c r="B37" s="16">
        <v>895.4357046337783</v>
      </c>
      <c r="C37" s="16">
        <v>728</v>
      </c>
      <c r="D37" s="16">
        <v>9.8177413127226689</v>
      </c>
      <c r="E37" s="16">
        <v>17.2199173968034</v>
      </c>
      <c r="F37" s="16">
        <v>157.49385105989489</v>
      </c>
      <c r="G37" s="16">
        <v>2099.3755029999993</v>
      </c>
      <c r="H37" s="16">
        <v>1971.171441634993</v>
      </c>
      <c r="I37" s="5">
        <f t="shared" si="0"/>
        <v>0.17588515874996055</v>
      </c>
      <c r="J37" s="5">
        <f t="shared" si="1"/>
        <v>2.3445295872567611</v>
      </c>
      <c r="K37" s="5">
        <f t="shared" si="2"/>
        <v>2.2013545265555128</v>
      </c>
    </row>
    <row r="38" spans="1:11" x14ac:dyDescent="0.3">
      <c r="A38" s="18">
        <v>37</v>
      </c>
      <c r="B38" s="16">
        <v>914.07609349788413</v>
      </c>
      <c r="C38" s="16">
        <v>736</v>
      </c>
      <c r="D38" s="16">
        <v>9.7304771040451374</v>
      </c>
      <c r="E38" s="16">
        <v>17.246718745243101</v>
      </c>
      <c r="F38" s="16">
        <v>160.43126921819098</v>
      </c>
      <c r="G38" s="16">
        <v>2133.7105259999989</v>
      </c>
      <c r="H38" s="16">
        <v>2002.7683035759931</v>
      </c>
      <c r="I38" s="5">
        <f t="shared" si="0"/>
        <v>0.17551194081038762</v>
      </c>
      <c r="J38" s="5">
        <f t="shared" si="1"/>
        <v>2.3342810748227252</v>
      </c>
      <c r="K38" s="5">
        <f t="shared" si="2"/>
        <v>2.1910301755207526</v>
      </c>
    </row>
    <row r="39" spans="1:11" x14ac:dyDescent="0.3">
      <c r="A39" s="18">
        <v>38</v>
      </c>
      <c r="B39" s="16">
        <v>895.56056072722345</v>
      </c>
      <c r="C39" s="16">
        <v>727</v>
      </c>
      <c r="D39" s="16">
        <v>9.7756765010014792</v>
      </c>
      <c r="E39" s="16">
        <v>16.897369070324999</v>
      </c>
      <c r="F39" s="16">
        <v>157.97838095604271</v>
      </c>
      <c r="G39" s="16">
        <v>2115.9388449999988</v>
      </c>
      <c r="H39" s="16">
        <v>1982.5651805029934</v>
      </c>
      <c r="I39" s="5">
        <f t="shared" si="0"/>
        <v>0.17640167274422991</v>
      </c>
      <c r="J39" s="5">
        <f t="shared" si="1"/>
        <v>2.3626976642224951</v>
      </c>
      <c r="K39" s="5">
        <f t="shared" si="2"/>
        <v>2.213770087076063</v>
      </c>
    </row>
    <row r="40" spans="1:11" x14ac:dyDescent="0.3">
      <c r="A40" s="18">
        <v>39</v>
      </c>
      <c r="B40" s="16">
        <v>937.19742019983664</v>
      </c>
      <c r="C40" s="16">
        <v>746</v>
      </c>
      <c r="D40" s="16">
        <v>9.6945051131183462</v>
      </c>
      <c r="E40" s="16">
        <v>17.355507781478504</v>
      </c>
      <c r="F40" s="16">
        <v>162.56794402423009</v>
      </c>
      <c r="G40" s="16">
        <v>2167.505024999999</v>
      </c>
      <c r="H40" s="16">
        <v>2035.1859484749941</v>
      </c>
      <c r="I40" s="5">
        <f t="shared" si="0"/>
        <v>0.17346179206251555</v>
      </c>
      <c r="J40" s="5">
        <f t="shared" si="1"/>
        <v>2.3127518047775104</v>
      </c>
      <c r="K40" s="5">
        <f t="shared" si="2"/>
        <v>2.1715658884774092</v>
      </c>
    </row>
    <row r="41" spans="1:11" x14ac:dyDescent="0.3">
      <c r="A41" s="18">
        <v>40</v>
      </c>
      <c r="B41" s="16">
        <v>895.9019852632307</v>
      </c>
      <c r="C41" s="16">
        <v>728</v>
      </c>
      <c r="D41" s="16">
        <v>9.7948702881185579</v>
      </c>
      <c r="E41" s="16">
        <v>17.228884331985199</v>
      </c>
      <c r="F41" s="16">
        <v>157.3206706754541</v>
      </c>
      <c r="G41" s="16">
        <v>2101.3005239999993</v>
      </c>
      <c r="H41" s="16">
        <v>1973.893280409992</v>
      </c>
      <c r="I41" s="5">
        <f t="shared" si="0"/>
        <v>0.17560031483715341</v>
      </c>
      <c r="J41" s="5">
        <f t="shared" si="1"/>
        <v>2.3454580507292913</v>
      </c>
      <c r="K41" s="5">
        <f t="shared" si="2"/>
        <v>2.2032469096829046</v>
      </c>
    </row>
    <row r="42" spans="1:11" x14ac:dyDescent="0.3">
      <c r="A42" s="18">
        <v>41</v>
      </c>
      <c r="B42" s="16">
        <v>894.22970713218035</v>
      </c>
      <c r="C42" s="16">
        <v>728</v>
      </c>
      <c r="D42" s="16">
        <v>9.811270009523815</v>
      </c>
      <c r="E42" s="16">
        <v>17.196725137157301</v>
      </c>
      <c r="F42" s="16">
        <v>158.07820548674349</v>
      </c>
      <c r="G42" s="16">
        <v>2109.8264609999992</v>
      </c>
      <c r="H42" s="16">
        <v>1982.4174182719919</v>
      </c>
      <c r="I42" s="5">
        <f t="shared" si="0"/>
        <v>0.17677583760184473</v>
      </c>
      <c r="J42" s="5">
        <f t="shared" si="1"/>
        <v>2.3593786296434631</v>
      </c>
      <c r="K42" s="5">
        <f t="shared" si="2"/>
        <v>2.2168995309154513</v>
      </c>
    </row>
    <row r="43" spans="1:11" x14ac:dyDescent="0.3">
      <c r="A43" s="18">
        <v>42</v>
      </c>
      <c r="B43" s="16">
        <v>895.23703965810103</v>
      </c>
      <c r="C43" s="16">
        <v>726</v>
      </c>
      <c r="D43" s="16">
        <v>9.7911050706027591</v>
      </c>
      <c r="E43" s="16">
        <v>17.216096916502</v>
      </c>
      <c r="F43" s="16">
        <v>156.87376021160759</v>
      </c>
      <c r="G43" s="16">
        <v>2098.0437009999987</v>
      </c>
      <c r="H43" s="16">
        <v>1971.1697131909928</v>
      </c>
      <c r="I43" s="5">
        <f t="shared" si="0"/>
        <v>0.17523153451237794</v>
      </c>
      <c r="J43" s="5">
        <f t="shared" si="1"/>
        <v>2.3435622165513394</v>
      </c>
      <c r="K43" s="5">
        <f t="shared" si="2"/>
        <v>2.201841105618016</v>
      </c>
    </row>
    <row r="44" spans="1:11" x14ac:dyDescent="0.3">
      <c r="A44" s="18">
        <v>43</v>
      </c>
      <c r="B44" s="16">
        <v>914.09003201103064</v>
      </c>
      <c r="C44" s="16">
        <v>737</v>
      </c>
      <c r="D44" s="16">
        <v>9.7482240097482578</v>
      </c>
      <c r="E44" s="16">
        <v>17.246981736057197</v>
      </c>
      <c r="F44" s="16">
        <v>159.67687507759729</v>
      </c>
      <c r="G44" s="16">
        <v>2134.3617269999977</v>
      </c>
      <c r="H44" s="16">
        <v>2005.4518046589922</v>
      </c>
      <c r="I44" s="5">
        <f t="shared" si="0"/>
        <v>0.17468396928725113</v>
      </c>
      <c r="J44" s="5">
        <f t="shared" si="1"/>
        <v>2.3349578840766108</v>
      </c>
      <c r="K44" s="5">
        <f t="shared" si="2"/>
        <v>2.1939324732017114</v>
      </c>
    </row>
    <row r="45" spans="1:11" x14ac:dyDescent="0.3">
      <c r="A45" s="18">
        <v>44</v>
      </c>
      <c r="B45" s="16">
        <v>431.26030411095417</v>
      </c>
      <c r="C45" s="16">
        <v>395</v>
      </c>
      <c r="D45" s="16">
        <v>10.600193999019208</v>
      </c>
      <c r="E45" s="16">
        <v>15.9726038559612</v>
      </c>
      <c r="F45" s="16">
        <v>82.677985195793212</v>
      </c>
      <c r="G45" s="16">
        <v>1041.943020999998</v>
      </c>
      <c r="H45" s="16">
        <v>971.26933904599605</v>
      </c>
      <c r="I45" s="5">
        <f t="shared" si="0"/>
        <v>0.19171248642101293</v>
      </c>
      <c r="J45" s="5">
        <f t="shared" si="1"/>
        <v>2.4160420309213717</v>
      </c>
      <c r="K45" s="5">
        <f t="shared" si="2"/>
        <v>2.2521649449009082</v>
      </c>
    </row>
    <row r="46" spans="1:11" x14ac:dyDescent="0.3">
      <c r="A46" s="18">
        <v>45</v>
      </c>
      <c r="B46" s="16">
        <v>1456.8956820371711</v>
      </c>
      <c r="C46" s="16">
        <v>1058</v>
      </c>
      <c r="D46" s="16">
        <v>8.18536886926492</v>
      </c>
      <c r="E46" s="16">
        <v>17.767020512648401</v>
      </c>
      <c r="F46" s="16">
        <v>235.60054325020829</v>
      </c>
      <c r="G46" s="16">
        <v>3007.1076369999973</v>
      </c>
      <c r="H46" s="16">
        <v>2807.9981138919902</v>
      </c>
      <c r="I46" s="5">
        <f t="shared" si="0"/>
        <v>0.16171407888365008</v>
      </c>
      <c r="J46" s="5">
        <f t="shared" si="1"/>
        <v>2.0640514445036802</v>
      </c>
      <c r="K46" s="5">
        <f t="shared" si="2"/>
        <v>1.9273844713202652</v>
      </c>
    </row>
    <row r="47" spans="1:11" x14ac:dyDescent="0.3">
      <c r="A47" s="18">
        <v>46</v>
      </c>
      <c r="B47" s="16">
        <v>1458.3799676391068</v>
      </c>
      <c r="C47" s="16">
        <v>1058</v>
      </c>
      <c r="D47" s="16">
        <v>8.2026502889151285</v>
      </c>
      <c r="E47" s="16">
        <v>17.785121556574499</v>
      </c>
      <c r="F47" s="16">
        <v>237.23333942995922</v>
      </c>
      <c r="G47" s="16">
        <v>3020.9391229999983</v>
      </c>
      <c r="H47" s="16">
        <v>2821.7493786499917</v>
      </c>
      <c r="I47" s="5">
        <f t="shared" si="0"/>
        <v>0.16266908809369041</v>
      </c>
      <c r="J47" s="5">
        <f t="shared" si="1"/>
        <v>2.0714348729641663</v>
      </c>
      <c r="K47" s="5">
        <f t="shared" si="2"/>
        <v>1.9348519873171124</v>
      </c>
    </row>
    <row r="48" spans="1:11" x14ac:dyDescent="0.3">
      <c r="A48" s="18">
        <v>47</v>
      </c>
      <c r="B48" s="16">
        <v>916.66992066516957</v>
      </c>
      <c r="C48" s="16">
        <v>738</v>
      </c>
      <c r="D48" s="16">
        <v>9.8127873099284884</v>
      </c>
      <c r="E48" s="16">
        <v>17.2956588804749</v>
      </c>
      <c r="F48" s="16">
        <v>160.01399406639479</v>
      </c>
      <c r="G48" s="16">
        <v>2135.810856999999</v>
      </c>
      <c r="H48" s="16">
        <v>2006.1713568919936</v>
      </c>
      <c r="I48" s="5">
        <f t="shared" si="0"/>
        <v>0.17456010114336765</v>
      </c>
      <c r="J48" s="5">
        <f t="shared" si="1"/>
        <v>2.3299672094074775</v>
      </c>
      <c r="K48" s="5">
        <f t="shared" si="2"/>
        <v>2.1885428022294455</v>
      </c>
    </row>
    <row r="49" spans="1:11" x14ac:dyDescent="0.3">
      <c r="A49" s="18">
        <v>48</v>
      </c>
      <c r="B49" s="16">
        <v>1460.53534884039</v>
      </c>
      <c r="C49" s="16">
        <v>1059</v>
      </c>
      <c r="D49" s="16">
        <v>8.1525159721713312</v>
      </c>
      <c r="E49" s="16">
        <v>17.811406693175503</v>
      </c>
      <c r="F49" s="16">
        <v>236.89587443928789</v>
      </c>
      <c r="G49" s="16">
        <v>2992.8418309999965</v>
      </c>
      <c r="H49" s="16">
        <v>2789.3642979859887</v>
      </c>
      <c r="I49" s="5">
        <f t="shared" si="0"/>
        <v>0.16219797393289678</v>
      </c>
      <c r="J49" s="5">
        <f t="shared" si="1"/>
        <v>2.0491402918636648</v>
      </c>
      <c r="K49" s="5">
        <f t="shared" si="2"/>
        <v>1.9098232029787152</v>
      </c>
    </row>
    <row r="50" spans="1:11" x14ac:dyDescent="0.3">
      <c r="A50" s="18">
        <v>49</v>
      </c>
      <c r="B50" s="16">
        <v>1464.0415684850188</v>
      </c>
      <c r="C50" s="16">
        <v>1060</v>
      </c>
      <c r="D50" s="16">
        <v>8.1112442557481597</v>
      </c>
      <c r="E50" s="16">
        <v>17.6390550419882</v>
      </c>
      <c r="F50" s="16">
        <v>237.53378092482313</v>
      </c>
      <c r="G50" s="16">
        <v>3023.1484779999937</v>
      </c>
      <c r="H50" s="16">
        <v>2819.273846764992</v>
      </c>
      <c r="I50" s="5">
        <f t="shared" si="0"/>
        <v>0.16224524360371928</v>
      </c>
      <c r="J50" s="5">
        <f t="shared" si="1"/>
        <v>2.0649334985264995</v>
      </c>
      <c r="K50" s="5">
        <f t="shared" si="2"/>
        <v>1.9256788245994676</v>
      </c>
    </row>
    <row r="51" spans="1:11" x14ac:dyDescent="0.3">
      <c r="A51" s="18">
        <v>50</v>
      </c>
      <c r="B51" s="16">
        <v>1457.0607254760348</v>
      </c>
      <c r="C51" s="16">
        <v>1057</v>
      </c>
      <c r="D51" s="16">
        <v>8.1727327398646317</v>
      </c>
      <c r="E51" s="16">
        <v>17.769033237512701</v>
      </c>
      <c r="F51" s="16">
        <v>236.60586219870149</v>
      </c>
      <c r="G51" s="16">
        <v>2987.0625929999978</v>
      </c>
      <c r="H51" s="16">
        <v>2783.7827814299908</v>
      </c>
      <c r="I51" s="5">
        <f t="shared" si="0"/>
        <v>0.1623857249473252</v>
      </c>
      <c r="J51" s="5">
        <f t="shared" si="1"/>
        <v>2.050060468155229</v>
      </c>
      <c r="K51" s="5">
        <f t="shared" si="2"/>
        <v>1.9105468514502058</v>
      </c>
    </row>
    <row r="52" spans="1:11" x14ac:dyDescent="0.3">
      <c r="A52" s="18">
        <v>51</v>
      </c>
      <c r="B52" s="16">
        <v>1452.5068131665157</v>
      </c>
      <c r="C52" s="16">
        <v>1054</v>
      </c>
      <c r="D52" s="16">
        <v>8.154756623588467</v>
      </c>
      <c r="E52" s="16">
        <v>17.932182878599004</v>
      </c>
      <c r="F52" s="16">
        <v>234.5056336540508</v>
      </c>
      <c r="G52" s="16">
        <v>2943.9707059999982</v>
      </c>
      <c r="H52" s="16">
        <v>2747.5659551349922</v>
      </c>
      <c r="I52" s="5">
        <f t="shared" si="0"/>
        <v>0.16144890442394574</v>
      </c>
      <c r="J52" s="5">
        <f t="shared" si="1"/>
        <v>2.0268205830870003</v>
      </c>
      <c r="K52" s="5">
        <f t="shared" si="2"/>
        <v>1.8916028002272858</v>
      </c>
    </row>
    <row r="53" spans="1:11" x14ac:dyDescent="0.3">
      <c r="A53" s="18">
        <v>52</v>
      </c>
      <c r="B53" s="16">
        <v>493.06431183649499</v>
      </c>
      <c r="C53" s="16">
        <v>470</v>
      </c>
      <c r="D53" s="16">
        <v>13.123052294160924</v>
      </c>
      <c r="E53" s="16">
        <v>19.722572473459799</v>
      </c>
      <c r="F53" s="16">
        <v>86.853083580858709</v>
      </c>
      <c r="G53" s="16">
        <v>1098.802398</v>
      </c>
      <c r="H53" s="16">
        <v>1031.4659670829969</v>
      </c>
      <c r="I53" s="5">
        <f t="shared" si="0"/>
        <v>0.17614960461721685</v>
      </c>
      <c r="J53" s="5">
        <f t="shared" si="1"/>
        <v>2.2285173994997507</v>
      </c>
      <c r="K53" s="5">
        <f t="shared" si="2"/>
        <v>2.0919501621221395</v>
      </c>
    </row>
    <row r="54" spans="1:11" x14ac:dyDescent="0.3">
      <c r="A54" s="18">
        <v>53</v>
      </c>
      <c r="B54" s="16">
        <v>1454.3649764078789</v>
      </c>
      <c r="C54" s="16">
        <v>1059</v>
      </c>
      <c r="D54" s="16">
        <v>8.1579919989618048</v>
      </c>
      <c r="E54" s="16">
        <v>17.736158248876595</v>
      </c>
      <c r="F54" s="16">
        <v>236.62621892347508</v>
      </c>
      <c r="G54" s="16">
        <v>3007.3568909999972</v>
      </c>
      <c r="H54" s="16">
        <v>2804.7465082179924</v>
      </c>
      <c r="I54" s="5">
        <f t="shared" si="0"/>
        <v>0.162700713206059</v>
      </c>
      <c r="J54" s="5">
        <f t="shared" si="1"/>
        <v>2.0678144343298457</v>
      </c>
      <c r="K54" s="5">
        <f t="shared" si="2"/>
        <v>1.9285025105220885</v>
      </c>
    </row>
    <row r="55" spans="1:11" x14ac:dyDescent="0.3">
      <c r="A55" s="18">
        <v>54</v>
      </c>
      <c r="B55" s="16">
        <v>496.78301357833504</v>
      </c>
      <c r="C55" s="16">
        <v>458</v>
      </c>
      <c r="D55" s="16">
        <v>11.854075945139424</v>
      </c>
      <c r="E55" s="16">
        <v>19.1070389837822</v>
      </c>
      <c r="F55" s="16">
        <v>87.147199509188397</v>
      </c>
      <c r="G55" s="16">
        <v>1099.573363</v>
      </c>
      <c r="H55" s="16">
        <v>1022.6628515609971</v>
      </c>
      <c r="I55" s="5">
        <f t="shared" si="0"/>
        <v>0.17542306626280535</v>
      </c>
      <c r="J55" s="5">
        <f t="shared" si="1"/>
        <v>2.2133876017212377</v>
      </c>
      <c r="K55" s="5">
        <f t="shared" si="2"/>
        <v>2.0585704897491204</v>
      </c>
    </row>
    <row r="56" spans="1:11" x14ac:dyDescent="0.3">
      <c r="A56" s="18">
        <v>55</v>
      </c>
      <c r="B56" s="16">
        <v>1457.3793896558032</v>
      </c>
      <c r="C56" s="16">
        <v>1060</v>
      </c>
      <c r="D56" s="16">
        <v>8.1498084488896136</v>
      </c>
      <c r="E56" s="16">
        <v>17.7729193860464</v>
      </c>
      <c r="F56" s="16">
        <v>236.68923070621793</v>
      </c>
      <c r="G56" s="16">
        <v>3000.561519999997</v>
      </c>
      <c r="H56" s="16">
        <v>2795.4218888629907</v>
      </c>
      <c r="I56" s="5">
        <f t="shared" si="0"/>
        <v>0.16240742279340045</v>
      </c>
      <c r="J56" s="5">
        <f t="shared" si="1"/>
        <v>2.0588746769011568</v>
      </c>
      <c r="K56" s="5">
        <f t="shared" si="2"/>
        <v>1.9181154260203996</v>
      </c>
    </row>
    <row r="57" spans="1:11" x14ac:dyDescent="0.3">
      <c r="A57" s="18">
        <v>56</v>
      </c>
      <c r="B57" s="16">
        <v>495.19845398577598</v>
      </c>
      <c r="C57" s="16">
        <v>459</v>
      </c>
      <c r="D57" s="16">
        <v>11.967954483023499</v>
      </c>
      <c r="E57" s="16">
        <v>19.046094384068301</v>
      </c>
      <c r="F57" s="16">
        <v>87.150872199767107</v>
      </c>
      <c r="G57" s="16">
        <v>1087.140351033999</v>
      </c>
      <c r="H57" s="16">
        <v>1009.177652048439</v>
      </c>
      <c r="I57" s="5">
        <f t="shared" si="0"/>
        <v>0.17599180994670557</v>
      </c>
      <c r="J57" s="5">
        <f t="shared" si="1"/>
        <v>2.1953629747503731</v>
      </c>
      <c r="K57" s="5">
        <f t="shared" si="2"/>
        <v>2.037925692064916</v>
      </c>
    </row>
    <row r="58" spans="1:11" x14ac:dyDescent="0.3">
      <c r="A58" s="18">
        <v>57</v>
      </c>
      <c r="B58" s="16">
        <v>497.16628476197195</v>
      </c>
      <c r="C58" s="16">
        <v>458</v>
      </c>
      <c r="D58" s="16">
        <v>11.863619683437426</v>
      </c>
      <c r="E58" s="16">
        <v>19.121780183152801</v>
      </c>
      <c r="F58" s="16">
        <v>87.520222371286209</v>
      </c>
      <c r="G58" s="16">
        <v>1100.7193109999998</v>
      </c>
      <c r="H58" s="16">
        <v>1021.326590830997</v>
      </c>
      <c r="I58" s="5">
        <f t="shared" si="0"/>
        <v>0.17603812859753395</v>
      </c>
      <c r="J58" s="5">
        <f t="shared" si="1"/>
        <v>2.2139862350621597</v>
      </c>
      <c r="K58" s="5">
        <f t="shared" si="2"/>
        <v>2.0542957600593876</v>
      </c>
    </row>
    <row r="59" spans="1:11" x14ac:dyDescent="0.3">
      <c r="A59" s="18">
        <v>58</v>
      </c>
      <c r="B59" s="16">
        <v>485.10753013499499</v>
      </c>
      <c r="C59" s="16">
        <v>448</v>
      </c>
      <c r="D59" s="16">
        <v>12.050830018480376</v>
      </c>
      <c r="E59" s="16">
        <v>20.212813755624801</v>
      </c>
      <c r="F59" s="16">
        <v>83.179560482184698</v>
      </c>
      <c r="G59" s="16">
        <v>1040.6500064106001</v>
      </c>
      <c r="H59" s="16">
        <v>976.61749861093995</v>
      </c>
      <c r="I59" s="5">
        <f t="shared" si="0"/>
        <v>0.17146623236097286</v>
      </c>
      <c r="J59" s="5">
        <f t="shared" si="1"/>
        <v>2.1451945017654324</v>
      </c>
      <c r="K59" s="5">
        <f t="shared" si="2"/>
        <v>2.0131979776507865</v>
      </c>
    </row>
    <row r="60" spans="1:11" x14ac:dyDescent="0.3">
      <c r="A60" s="18">
        <v>59</v>
      </c>
      <c r="B60" s="16">
        <v>513.31188109544496</v>
      </c>
      <c r="C60" s="16">
        <v>487</v>
      </c>
      <c r="D60" s="16">
        <v>13.263497516422399</v>
      </c>
      <c r="E60" s="16">
        <v>20.5324752438178</v>
      </c>
      <c r="F60" s="16">
        <v>88.620292064109108</v>
      </c>
      <c r="G60" s="16">
        <v>1108.0218866148311</v>
      </c>
      <c r="H60" s="16">
        <v>1040.8564201870981</v>
      </c>
      <c r="I60" s="5">
        <f t="shared" si="0"/>
        <v>0.17264414740408296</v>
      </c>
      <c r="J60" s="5">
        <f t="shared" si="1"/>
        <v>2.1585744016877841</v>
      </c>
      <c r="K60" s="5">
        <f t="shared" si="2"/>
        <v>2.0277271158536885</v>
      </c>
    </row>
    <row r="61" spans="1:11" x14ac:dyDescent="0.3">
      <c r="A61" s="18">
        <v>60</v>
      </c>
      <c r="B61" s="16">
        <v>496.60408430430402</v>
      </c>
      <c r="C61" s="16">
        <v>458</v>
      </c>
      <c r="D61" s="16">
        <v>11.870411031163124</v>
      </c>
      <c r="E61" s="16">
        <v>19.1001570886271</v>
      </c>
      <c r="F61" s="16">
        <v>87.438300585671499</v>
      </c>
      <c r="G61" s="16">
        <v>1096.880297985583</v>
      </c>
      <c r="H61" s="16">
        <v>1018.2727444140839</v>
      </c>
      <c r="I61" s="5">
        <f t="shared" si="0"/>
        <v>0.17607245560246326</v>
      </c>
      <c r="J61" s="5">
        <f t="shared" si="1"/>
        <v>2.2087621359824494</v>
      </c>
      <c r="K61" s="5">
        <f t="shared" si="2"/>
        <v>2.0504719485756726</v>
      </c>
    </row>
    <row r="62" spans="1:11" x14ac:dyDescent="0.3">
      <c r="A62" s="18">
        <v>61</v>
      </c>
      <c r="B62" s="16">
        <v>1455.8223660670631</v>
      </c>
      <c r="C62" s="16">
        <v>1057</v>
      </c>
      <c r="D62" s="16">
        <v>8.118024782598031</v>
      </c>
      <c r="E62" s="16">
        <v>17.753931293500795</v>
      </c>
      <c r="F62" s="16">
        <v>235.76078795181022</v>
      </c>
      <c r="G62" s="16">
        <v>2983.7217593405321</v>
      </c>
      <c r="H62" s="16">
        <v>2783.1837302382328</v>
      </c>
      <c r="I62" s="5">
        <f t="shared" si="0"/>
        <v>0.16194337540556084</v>
      </c>
      <c r="J62" s="5">
        <f t="shared" si="1"/>
        <v>2.0495094929755227</v>
      </c>
      <c r="K62" s="5">
        <f t="shared" si="2"/>
        <v>1.9117605245735207</v>
      </c>
    </row>
    <row r="63" spans="1:11" x14ac:dyDescent="0.3">
      <c r="A63" s="18">
        <v>62</v>
      </c>
      <c r="B63" s="16">
        <v>469.68023488833001</v>
      </c>
      <c r="C63" s="16">
        <v>444</v>
      </c>
      <c r="D63" s="16">
        <v>11.91450349695295</v>
      </c>
      <c r="E63" s="16">
        <v>19.570009787013799</v>
      </c>
      <c r="F63" s="16">
        <v>82.429954527382307</v>
      </c>
      <c r="G63" s="16">
        <v>1001.6062676442821</v>
      </c>
      <c r="H63" s="16">
        <v>931.91884329821107</v>
      </c>
      <c r="I63" s="5">
        <f t="shared" si="0"/>
        <v>0.17550228518128008</v>
      </c>
      <c r="J63" s="5">
        <f t="shared" si="1"/>
        <v>2.1325280334234664</v>
      </c>
      <c r="K63" s="5">
        <f t="shared" si="2"/>
        <v>1.9841559726688984</v>
      </c>
    </row>
    <row r="64" spans="1:11" x14ac:dyDescent="0.3">
      <c r="A64" s="18">
        <v>63</v>
      </c>
      <c r="B64" s="16">
        <v>492.166775146681</v>
      </c>
      <c r="C64" s="16">
        <v>455</v>
      </c>
      <c r="D64" s="16">
        <v>12.006354978030224</v>
      </c>
      <c r="E64" s="16">
        <v>19.6866710058673</v>
      </c>
      <c r="F64" s="16">
        <v>85.108644192397506</v>
      </c>
      <c r="G64" s="16">
        <v>1048.3534071234531</v>
      </c>
      <c r="H64" s="16">
        <v>974.390353309288</v>
      </c>
      <c r="I64" s="5">
        <f t="shared" si="0"/>
        <v>0.17292643162885687</v>
      </c>
      <c r="J64" s="5">
        <f t="shared" si="1"/>
        <v>2.130077567326667</v>
      </c>
      <c r="K64" s="5">
        <f t="shared" si="2"/>
        <v>1.9797970982882569</v>
      </c>
    </row>
    <row r="65" spans="1:12" x14ac:dyDescent="0.3">
      <c r="A65" s="18">
        <v>64</v>
      </c>
      <c r="B65" s="16">
        <v>1014.4945479504651</v>
      </c>
      <c r="C65" s="16">
        <v>796</v>
      </c>
      <c r="D65" s="16">
        <v>10.739354715776495</v>
      </c>
      <c r="E65" s="16">
        <v>21.135303082301402</v>
      </c>
      <c r="F65" s="16">
        <v>157.17842814782318</v>
      </c>
      <c r="G65" s="16">
        <v>2097.5256860948602</v>
      </c>
      <c r="H65" s="16">
        <v>1981.5055419196137</v>
      </c>
      <c r="I65" s="5">
        <f t="shared" si="0"/>
        <v>0.1549327480027993</v>
      </c>
      <c r="J65" s="5">
        <f t="shared" si="1"/>
        <v>2.0675573765599737</v>
      </c>
      <c r="K65" s="5">
        <f t="shared" si="2"/>
        <v>1.9531948652880933</v>
      </c>
    </row>
    <row r="66" spans="1:12" x14ac:dyDescent="0.3">
      <c r="A66" s="18">
        <v>65</v>
      </c>
      <c r="B66" s="16">
        <v>1086.934832432645</v>
      </c>
      <c r="C66" s="16">
        <v>842</v>
      </c>
      <c r="D66" s="16">
        <v>11.010900627901396</v>
      </c>
      <c r="E66" s="16">
        <v>22.182343519033598</v>
      </c>
      <c r="F66" s="16">
        <v>163.90174279172328</v>
      </c>
      <c r="G66" s="16">
        <v>2204.2056898382029</v>
      </c>
      <c r="H66" s="16">
        <v>2086.4109562488411</v>
      </c>
      <c r="I66" s="5">
        <f t="shared" si="0"/>
        <v>0.15079261230859481</v>
      </c>
      <c r="J66" s="5">
        <f t="shared" si="1"/>
        <v>2.0279096998897521</v>
      </c>
      <c r="K66" s="5">
        <f t="shared" si="2"/>
        <v>1.9195363824888108</v>
      </c>
    </row>
    <row r="67" spans="1:12" x14ac:dyDescent="0.3">
      <c r="A67" s="18">
        <v>66</v>
      </c>
      <c r="B67" s="16">
        <v>1021.5366365343569</v>
      </c>
      <c r="C67" s="16">
        <v>796</v>
      </c>
      <c r="D67" s="16">
        <v>10.794873039362225</v>
      </c>
      <c r="E67" s="16">
        <v>22.207318185529601</v>
      </c>
      <c r="F67" s="16">
        <v>155.10642818001241</v>
      </c>
      <c r="G67" s="16">
        <v>2094.5423941170029</v>
      </c>
      <c r="H67" s="16">
        <v>1988.1035324755931</v>
      </c>
      <c r="I67" s="5">
        <f t="shared" ref="I67:I82" si="3">F67/B67</f>
        <v>0.15183638318271495</v>
      </c>
      <c r="J67" s="5">
        <f t="shared" ref="J67:J82" si="4">G67/B67</f>
        <v>2.0503840187493441</v>
      </c>
      <c r="K67" s="5">
        <f t="shared" ref="K67:K82" si="5">H67/B67</f>
        <v>1.9461891638271438</v>
      </c>
    </row>
    <row r="68" spans="1:12" x14ac:dyDescent="0.3">
      <c r="A68" s="18">
        <v>67</v>
      </c>
      <c r="B68" s="16">
        <v>1059.8078753823861</v>
      </c>
      <c r="C68" s="16">
        <v>828</v>
      </c>
      <c r="D68" s="16">
        <v>11.131568206075146</v>
      </c>
      <c r="E68" s="16">
        <v>22.5491037315402</v>
      </c>
      <c r="F68" s="16">
        <v>160.23143565740889</v>
      </c>
      <c r="G68" s="16">
        <v>2159.9769577423122</v>
      </c>
      <c r="H68" s="16">
        <v>2054.4896438977348</v>
      </c>
      <c r="I68" s="5">
        <f t="shared" si="3"/>
        <v>0.15118913472840184</v>
      </c>
      <c r="J68" s="5">
        <f t="shared" si="4"/>
        <v>2.038083512979159</v>
      </c>
      <c r="K68" s="5">
        <f t="shared" si="5"/>
        <v>1.9385491385940687</v>
      </c>
    </row>
    <row r="69" spans="1:12" x14ac:dyDescent="0.3">
      <c r="A69" s="18">
        <v>68</v>
      </c>
      <c r="B69" s="16">
        <v>1062.205548484392</v>
      </c>
      <c r="C69" s="16">
        <v>805</v>
      </c>
      <c r="D69" s="16">
        <v>10.375905126628879</v>
      </c>
      <c r="E69" s="16">
        <v>22.600118052859401</v>
      </c>
      <c r="F69" s="16">
        <v>158.08856221489512</v>
      </c>
      <c r="G69" s="16">
        <v>2113.0760218246069</v>
      </c>
      <c r="H69" s="16">
        <v>2005.315936379096</v>
      </c>
      <c r="I69" s="5">
        <f t="shared" si="3"/>
        <v>0.14883048054160872</v>
      </c>
      <c r="J69" s="5">
        <f t="shared" si="4"/>
        <v>1.9893287366457928</v>
      </c>
      <c r="K69" s="5">
        <f t="shared" si="5"/>
        <v>1.8878793650065009</v>
      </c>
    </row>
    <row r="70" spans="1:12" x14ac:dyDescent="0.3">
      <c r="A70" s="18">
        <v>69</v>
      </c>
      <c r="B70" s="16">
        <v>1084.4988830235841</v>
      </c>
      <c r="C70" s="16">
        <v>840</v>
      </c>
      <c r="D70" s="16">
        <v>10.993121779760395</v>
      </c>
      <c r="E70" s="16">
        <v>22.132630265787501</v>
      </c>
      <c r="F70" s="16">
        <v>164.19854586209789</v>
      </c>
      <c r="G70" s="16">
        <v>2165.2970844923129</v>
      </c>
      <c r="H70" s="16">
        <v>2050.903457907511</v>
      </c>
      <c r="I70" s="5">
        <f t="shared" si="3"/>
        <v>0.15140499306399668</v>
      </c>
      <c r="J70" s="5">
        <f t="shared" si="4"/>
        <v>1.9965876575690538</v>
      </c>
      <c r="K70" s="5">
        <f t="shared" si="5"/>
        <v>1.8911070264909724</v>
      </c>
    </row>
    <row r="71" spans="1:12" x14ac:dyDescent="0.3">
      <c r="A71" s="18">
        <v>70</v>
      </c>
      <c r="B71" s="16">
        <v>1063.4271077245826</v>
      </c>
      <c r="C71" s="16">
        <v>821</v>
      </c>
      <c r="D71" s="16">
        <v>10.896820005762336</v>
      </c>
      <c r="E71" s="16">
        <v>21.702594035195599</v>
      </c>
      <c r="F71" s="16">
        <v>163.15656897168591</v>
      </c>
      <c r="G71" s="16">
        <v>2172.715661706538</v>
      </c>
      <c r="H71" s="16">
        <v>2057.5258714664101</v>
      </c>
      <c r="I71" s="5">
        <f t="shared" si="3"/>
        <v>0.15342524916521302</v>
      </c>
      <c r="J71" s="5">
        <f t="shared" si="4"/>
        <v>2.043126083512675</v>
      </c>
      <c r="K71" s="5">
        <f t="shared" si="5"/>
        <v>1.9348066797628498</v>
      </c>
    </row>
    <row r="72" spans="1:12" x14ac:dyDescent="0.3">
      <c r="A72" s="18">
        <v>71</v>
      </c>
      <c r="B72" s="16">
        <v>1470.407689197943</v>
      </c>
      <c r="C72" s="16">
        <v>1085</v>
      </c>
      <c r="D72" s="16">
        <v>9.8872304029607267</v>
      </c>
      <c r="E72" s="16">
        <v>22.2789043817871</v>
      </c>
      <c r="F72" s="16">
        <v>213.30830516206473</v>
      </c>
      <c r="G72" s="16">
        <v>2658.1934470968713</v>
      </c>
      <c r="H72" s="16">
        <v>2506.5942567497573</v>
      </c>
      <c r="I72" s="5">
        <f t="shared" si="3"/>
        <v>0.1450674576371517</v>
      </c>
      <c r="J72" s="5">
        <f t="shared" si="4"/>
        <v>1.8077934892647527</v>
      </c>
      <c r="K72" s="5">
        <f t="shared" si="5"/>
        <v>1.7046933820898464</v>
      </c>
    </row>
    <row r="73" spans="1:12" x14ac:dyDescent="0.3">
      <c r="A73" s="18">
        <v>72</v>
      </c>
      <c r="B73" s="16">
        <v>1023.140147191306</v>
      </c>
      <c r="C73" s="16">
        <v>798</v>
      </c>
      <c r="D73" s="16">
        <v>10.788027621246149</v>
      </c>
      <c r="E73" s="16">
        <v>22.242177112854502</v>
      </c>
      <c r="F73" s="16">
        <v>155.63301883238361</v>
      </c>
      <c r="G73" s="16">
        <v>2086.4979491175523</v>
      </c>
      <c r="H73" s="16">
        <v>1981.0617723903561</v>
      </c>
      <c r="I73" s="5">
        <f t="shared" si="3"/>
        <v>0.1521130993242937</v>
      </c>
      <c r="J73" s="5">
        <f t="shared" si="4"/>
        <v>2.0393080604307676</v>
      </c>
      <c r="K73" s="5">
        <f t="shared" si="5"/>
        <v>1.9362565117092785</v>
      </c>
    </row>
    <row r="74" spans="1:12" x14ac:dyDescent="0.3">
      <c r="A74" s="18">
        <v>73</v>
      </c>
      <c r="B74" s="16">
        <v>1474.3689455917638</v>
      </c>
      <c r="C74" s="16">
        <v>1086</v>
      </c>
      <c r="D74" s="16">
        <v>9.880451133702655</v>
      </c>
      <c r="E74" s="16">
        <v>22.338923418057103</v>
      </c>
      <c r="F74" s="16">
        <v>213.01095612071759</v>
      </c>
      <c r="G74" s="16">
        <v>2666.172876222075</v>
      </c>
      <c r="H74" s="16">
        <v>2510.1147148541395</v>
      </c>
      <c r="I74" s="5">
        <f t="shared" si="3"/>
        <v>0.14447601922002087</v>
      </c>
      <c r="J74" s="5">
        <f t="shared" si="4"/>
        <v>1.8083485034012026</v>
      </c>
      <c r="K74" s="5">
        <f t="shared" si="5"/>
        <v>1.7025010750254652</v>
      </c>
    </row>
    <row r="75" spans="1:12" x14ac:dyDescent="0.3">
      <c r="A75" s="18">
        <v>74</v>
      </c>
      <c r="B75" s="16">
        <v>1457.3893061565907</v>
      </c>
      <c r="C75" s="16">
        <v>1078</v>
      </c>
      <c r="D75" s="16">
        <v>9.794191391686665</v>
      </c>
      <c r="E75" s="16">
        <v>22.081656153887796</v>
      </c>
      <c r="F75" s="16">
        <v>212.28091665465843</v>
      </c>
      <c r="G75" s="16">
        <v>2641.7021783482301</v>
      </c>
      <c r="H75" s="16">
        <v>2484.9316617327304</v>
      </c>
      <c r="I75" s="5">
        <f t="shared" si="3"/>
        <v>0.14565834657760943</v>
      </c>
      <c r="J75" s="5">
        <f t="shared" si="4"/>
        <v>1.8126262949704872</v>
      </c>
      <c r="K75" s="5">
        <f t="shared" si="5"/>
        <v>1.7050568789241098</v>
      </c>
    </row>
    <row r="76" spans="1:12" x14ac:dyDescent="0.3">
      <c r="A76" s="18">
        <v>75</v>
      </c>
      <c r="B76" s="16">
        <v>1447.1010934682422</v>
      </c>
      <c r="C76" s="16">
        <v>1066</v>
      </c>
      <c r="D76" s="16">
        <v>9.6602249028435665</v>
      </c>
      <c r="E76" s="16">
        <v>22.263093745665298</v>
      </c>
      <c r="F76" s="16">
        <v>210.50388446347438</v>
      </c>
      <c r="G76" s="16">
        <v>2616.8837099864973</v>
      </c>
      <c r="H76" s="16">
        <v>2463.7731759536432</v>
      </c>
      <c r="I76" s="5">
        <f t="shared" si="3"/>
        <v>0.14546591486498248</v>
      </c>
      <c r="J76" s="5">
        <f t="shared" si="4"/>
        <v>1.8083627479782061</v>
      </c>
      <c r="K76" s="5">
        <f t="shared" si="5"/>
        <v>1.7025577460167352</v>
      </c>
    </row>
    <row r="77" spans="1:12" x14ac:dyDescent="0.3">
      <c r="A77" s="18">
        <v>76</v>
      </c>
      <c r="B77" s="16">
        <v>1455.3700383354631</v>
      </c>
      <c r="C77" s="16">
        <v>1078</v>
      </c>
      <c r="D77" s="16">
        <v>9.7971029175675657</v>
      </c>
      <c r="E77" s="16">
        <v>22.390308282084103</v>
      </c>
      <c r="F77" s="16">
        <v>210.73984956145699</v>
      </c>
      <c r="G77" s="16">
        <v>2605.8197178639643</v>
      </c>
      <c r="H77" s="16">
        <v>2453.6615669023749</v>
      </c>
      <c r="I77" s="22">
        <f t="shared" si="3"/>
        <v>0.14480155837376213</v>
      </c>
      <c r="J77" s="22">
        <f t="shared" si="4"/>
        <v>1.7904860270754883</v>
      </c>
      <c r="K77" s="22">
        <f t="shared" si="5"/>
        <v>1.6859365675197482</v>
      </c>
      <c r="L77" s="3" t="s">
        <v>93</v>
      </c>
    </row>
    <row r="78" spans="1:12" x14ac:dyDescent="0.3">
      <c r="A78" s="18">
        <v>77</v>
      </c>
      <c r="B78" s="16">
        <v>1035.4152973469361</v>
      </c>
      <c r="C78" s="16">
        <v>793</v>
      </c>
      <c r="D78" s="16">
        <v>10.466093804596019</v>
      </c>
      <c r="E78" s="16">
        <v>22.509028203194301</v>
      </c>
      <c r="F78" s="16">
        <v>155.05707443589091</v>
      </c>
      <c r="G78" s="16">
        <v>2087.959697378652</v>
      </c>
      <c r="H78" s="16">
        <v>1981.3862657515419</v>
      </c>
      <c r="I78" s="5">
        <f t="shared" si="3"/>
        <v>0.14975350937270923</v>
      </c>
      <c r="J78" s="5">
        <f t="shared" si="4"/>
        <v>2.0165432196420801</v>
      </c>
      <c r="K78" s="5">
        <f t="shared" si="5"/>
        <v>1.9136150207829505</v>
      </c>
    </row>
    <row r="79" spans="1:12" x14ac:dyDescent="0.3">
      <c r="A79" s="18">
        <v>78</v>
      </c>
      <c r="B79" s="16">
        <v>1434.3841083879249</v>
      </c>
      <c r="C79" s="16">
        <v>1061</v>
      </c>
      <c r="D79" s="16">
        <v>9.5419562310425778</v>
      </c>
      <c r="E79" s="16">
        <v>22.067447821352697</v>
      </c>
      <c r="F79" s="16">
        <v>209.4292584958269</v>
      </c>
      <c r="G79" s="16">
        <v>2592.7413239644829</v>
      </c>
      <c r="H79" s="16">
        <v>2440.2079045633081</v>
      </c>
      <c r="I79" s="5">
        <f t="shared" si="3"/>
        <v>0.14600639903296209</v>
      </c>
      <c r="J79" s="5">
        <f t="shared" si="4"/>
        <v>1.8075641725272682</v>
      </c>
      <c r="K79" s="5">
        <f t="shared" si="5"/>
        <v>1.7012234660810681</v>
      </c>
    </row>
    <row r="80" spans="1:12" x14ac:dyDescent="0.3">
      <c r="A80" s="18">
        <v>79</v>
      </c>
      <c r="B80" s="16">
        <v>1446.803041383956</v>
      </c>
      <c r="C80" s="16">
        <v>1070</v>
      </c>
      <c r="D80" s="16">
        <v>9.665343171381382</v>
      </c>
      <c r="E80" s="16">
        <v>21.9212582027873</v>
      </c>
      <c r="F80" s="16">
        <v>212.51110578873471</v>
      </c>
      <c r="G80" s="16">
        <v>2621.1081812208354</v>
      </c>
      <c r="H80" s="16">
        <v>2464.4229756919876</v>
      </c>
      <c r="I80" s="5">
        <f t="shared" si="3"/>
        <v>0.1468832313107766</v>
      </c>
      <c r="J80" s="5">
        <f t="shared" si="4"/>
        <v>1.8116551501810394</v>
      </c>
      <c r="K80" s="5">
        <f t="shared" si="5"/>
        <v>1.7033576134417132</v>
      </c>
    </row>
    <row r="81" spans="1:11" x14ac:dyDescent="0.3">
      <c r="A81" s="18">
        <v>80</v>
      </c>
      <c r="B81" s="16">
        <v>1468.4131689599651</v>
      </c>
      <c r="C81" s="16">
        <v>1086</v>
      </c>
      <c r="D81" s="16">
        <v>9.8706796066663589</v>
      </c>
      <c r="E81" s="16">
        <v>22.248684378181306</v>
      </c>
      <c r="F81" s="16">
        <v>213.41797415498098</v>
      </c>
      <c r="G81" s="16">
        <v>2661.9759712680934</v>
      </c>
      <c r="H81" s="16">
        <v>2505.6712292449483</v>
      </c>
      <c r="I81" s="5">
        <f t="shared" si="3"/>
        <v>0.14533918563679105</v>
      </c>
      <c r="J81" s="5">
        <f t="shared" si="4"/>
        <v>1.8128249102761007</v>
      </c>
      <c r="K81" s="5">
        <f t="shared" si="5"/>
        <v>1.7063802492452742</v>
      </c>
    </row>
    <row r="82" spans="1:11" x14ac:dyDescent="0.3">
      <c r="A82" s="18">
        <v>81</v>
      </c>
      <c r="B82" s="16">
        <v>1479.9524660267909</v>
      </c>
      <c r="C82" s="16">
        <v>1092</v>
      </c>
      <c r="D82" s="16">
        <v>9.965816028294741</v>
      </c>
      <c r="E82" s="16">
        <v>22.423522212527192</v>
      </c>
      <c r="F82" s="16">
        <v>214.47929908162223</v>
      </c>
      <c r="G82" s="16">
        <v>2677.5243009435408</v>
      </c>
      <c r="H82" s="16">
        <v>2526.2484275254774</v>
      </c>
      <c r="I82" s="5">
        <f t="shared" si="3"/>
        <v>0.14492309990025018</v>
      </c>
      <c r="J82" s="5">
        <f t="shared" si="4"/>
        <v>1.8091961481248484</v>
      </c>
      <c r="K82" s="5">
        <f t="shared" si="5"/>
        <v>1.7069794371894007</v>
      </c>
    </row>
    <row r="83" spans="1:11" x14ac:dyDescent="0.3">
      <c r="B83" s="1"/>
      <c r="C83" s="1"/>
      <c r="D83" s="1"/>
      <c r="E83" s="1"/>
      <c r="F83" s="1"/>
      <c r="G83" s="1"/>
      <c r="H83" s="1"/>
    </row>
    <row r="84" spans="1:11" x14ac:dyDescent="0.3">
      <c r="B84" s="1"/>
      <c r="C84" s="1"/>
      <c r="D84" s="1"/>
      <c r="E84" s="1"/>
      <c r="F84" s="1"/>
      <c r="G84" s="1"/>
      <c r="H84" s="1"/>
    </row>
    <row r="85" spans="1:11" x14ac:dyDescent="0.3">
      <c r="A85" s="3" t="s">
        <v>39</v>
      </c>
      <c r="B85" s="4">
        <f>AVERAGE(B2:B82)</f>
        <v>898.846936998518</v>
      </c>
      <c r="C85" s="4">
        <f>AVERAGE(C2:C82)</f>
        <v>710.22222222222217</v>
      </c>
      <c r="D85" s="4">
        <f>AVERAGE(D2:D82)</f>
        <v>9.0759228621903461</v>
      </c>
      <c r="E85" s="4">
        <f>AVERAGE(E2:E82)</f>
        <v>17.203469049103735</v>
      </c>
      <c r="F85" s="4">
        <f t="shared" ref="F85:K85" si="6">AVERAGE(F2:F82)</f>
        <v>154.97252026640891</v>
      </c>
      <c r="G85" s="4">
        <f t="shared" si="6"/>
        <v>1988.2004675478991</v>
      </c>
      <c r="H85" s="4">
        <f t="shared" si="6"/>
        <v>1859.3307868496302</v>
      </c>
      <c r="I85" s="4">
        <f t="shared" si="6"/>
        <v>0.1791602282947217</v>
      </c>
      <c r="J85" s="4">
        <f t="shared" si="6"/>
        <v>2.2915065780074779</v>
      </c>
      <c r="K85" s="4">
        <f t="shared" si="6"/>
        <v>2.1389431663778891</v>
      </c>
    </row>
    <row r="86" spans="1:11" x14ac:dyDescent="0.3">
      <c r="A86" s="3" t="s">
        <v>74</v>
      </c>
      <c r="B86" s="4">
        <f>_xlfn.STDEV.S(B2:B82)</f>
        <v>395.8503299780516</v>
      </c>
      <c r="C86" s="4">
        <f>_xlfn.STDEV.S(C2:C82)</f>
        <v>259.15632348063593</v>
      </c>
      <c r="D86" s="4">
        <f>_xlfn.STDEV.S(D2:D82)</f>
        <v>1.8146824290516617</v>
      </c>
      <c r="E86" s="4">
        <f>_xlfn.STDEV.S(E2:E82)</f>
        <v>3.4384030283031883</v>
      </c>
      <c r="F86" s="4">
        <f t="shared" ref="F86:K86" si="7">_xlfn.STDEV.S(F2:F82)</f>
        <v>58.38711749709644</v>
      </c>
      <c r="G86" s="4">
        <f t="shared" si="7"/>
        <v>747.31417779237745</v>
      </c>
      <c r="H86" s="4">
        <f t="shared" si="7"/>
        <v>701.29458617430089</v>
      </c>
      <c r="I86" s="4">
        <f t="shared" si="7"/>
        <v>2.2568714580738867E-2</v>
      </c>
      <c r="J86" s="4">
        <f t="shared" si="7"/>
        <v>0.28942252509215199</v>
      </c>
      <c r="K86" s="4">
        <f t="shared" si="7"/>
        <v>0.25894304452533629</v>
      </c>
    </row>
    <row r="87" spans="1:11" x14ac:dyDescent="0.3">
      <c r="A87" s="3" t="s">
        <v>75</v>
      </c>
      <c r="B87" s="4">
        <f>MIN(B2:B82)</f>
        <v>355.68900162596509</v>
      </c>
      <c r="C87" s="4">
        <f>MIN(C2:C82)</f>
        <v>328</v>
      </c>
      <c r="D87" s="4">
        <f>MIN(D2:D82)</f>
        <v>6.3947838513055606</v>
      </c>
      <c r="E87" s="4">
        <f>MIN(E2:E82)</f>
        <v>12.7031786294987</v>
      </c>
      <c r="F87" s="4">
        <f t="shared" ref="F87:K87" si="8">MIN(F2:F82)</f>
        <v>76.587499723137597</v>
      </c>
      <c r="G87" s="4">
        <f t="shared" si="8"/>
        <v>938.96842999999797</v>
      </c>
      <c r="H87" s="4">
        <f t="shared" si="8"/>
        <v>861.16031011999701</v>
      </c>
      <c r="I87" s="4">
        <f t="shared" si="8"/>
        <v>0.14447601922002087</v>
      </c>
      <c r="J87" s="4">
        <f t="shared" si="8"/>
        <v>1.7904860270754883</v>
      </c>
      <c r="K87" s="4">
        <f t="shared" si="8"/>
        <v>1.6859365675197482</v>
      </c>
    </row>
    <row r="88" spans="1:11" x14ac:dyDescent="0.3">
      <c r="A88" s="3" t="s">
        <v>76</v>
      </c>
      <c r="B88" s="4">
        <f>MAX(B2:B82)</f>
        <v>1479.9524660267909</v>
      </c>
      <c r="C88" s="4">
        <f>MAX(C2:C82)</f>
        <v>1092</v>
      </c>
      <c r="D88" s="4">
        <f>MAX(D2:D82)</f>
        <v>13.263497516422399</v>
      </c>
      <c r="E88" s="4">
        <f>MAX(E2:E82)</f>
        <v>22.600118052859401</v>
      </c>
      <c r="F88" s="4">
        <f t="shared" ref="F88:K88" si="9">MAX(F2:F82)</f>
        <v>237.53378092482313</v>
      </c>
      <c r="G88" s="4">
        <f t="shared" si="9"/>
        <v>3023.1484779999937</v>
      </c>
      <c r="H88" s="4">
        <f t="shared" si="9"/>
        <v>2821.7493786499917</v>
      </c>
      <c r="I88" s="4">
        <f t="shared" si="9"/>
        <v>0.21674237304968241</v>
      </c>
      <c r="J88" s="4">
        <f>MAX(J2:J82)</f>
        <v>2.7637352514387552</v>
      </c>
      <c r="K88" s="4">
        <f t="shared" si="9"/>
        <v>2.5714211103853573</v>
      </c>
    </row>
    <row r="89" spans="1:11" x14ac:dyDescent="0.3">
      <c r="A89" s="3" t="s">
        <v>78</v>
      </c>
      <c r="B89" s="4">
        <f>_xlfn.QUARTILE.EXC(B2:B82,1)</f>
        <v>488.637152640838</v>
      </c>
      <c r="C89" s="4">
        <f t="shared" ref="C89:K89" si="10">_xlfn.QUARTILE.EXC(C2:C82,1)</f>
        <v>451.5</v>
      </c>
      <c r="D89" s="4">
        <f t="shared" si="10"/>
        <v>7.4918790333118874</v>
      </c>
      <c r="E89" s="4">
        <f t="shared" si="10"/>
        <v>13.483176054630999</v>
      </c>
      <c r="F89" s="4">
        <f t="shared" si="10"/>
        <v>84.699740989277657</v>
      </c>
      <c r="G89" s="4">
        <f t="shared" si="10"/>
        <v>1047.036638561726</v>
      </c>
      <c r="H89" s="4">
        <f t="shared" si="10"/>
        <v>975.50392596011397</v>
      </c>
      <c r="I89" s="4">
        <f t="shared" si="10"/>
        <v>0.16182872714460544</v>
      </c>
      <c r="J89" s="4">
        <f t="shared" si="10"/>
        <v>2.0502222434522865</v>
      </c>
      <c r="K89" s="4">
        <f t="shared" si="10"/>
        <v>1.927943490921177</v>
      </c>
    </row>
    <row r="90" spans="1:11" x14ac:dyDescent="0.3">
      <c r="A90" s="3" t="s">
        <v>79</v>
      </c>
      <c r="B90" s="4">
        <f>_xlfn.QUARTILE.EXC(B2:B82,2)</f>
        <v>895.9019852632307</v>
      </c>
      <c r="C90" s="4">
        <f t="shared" ref="C90:K90" si="11">_xlfn.QUARTILE.EXC(C2:C82,2)</f>
        <v>728</v>
      </c>
      <c r="D90" s="4">
        <f t="shared" si="11"/>
        <v>9.7304771040451374</v>
      </c>
      <c r="E90" s="4">
        <f t="shared" si="11"/>
        <v>17.228884331985199</v>
      </c>
      <c r="F90" s="4">
        <f t="shared" si="11"/>
        <v>157.17842814782318</v>
      </c>
      <c r="G90" s="4">
        <f t="shared" si="11"/>
        <v>2098.0437009999987</v>
      </c>
      <c r="H90" s="4">
        <f t="shared" si="11"/>
        <v>1981.3862657515419</v>
      </c>
      <c r="I90" s="4">
        <f t="shared" si="11"/>
        <v>0.17603812859753395</v>
      </c>
      <c r="J90" s="4">
        <f t="shared" si="11"/>
        <v>2.3348367934883516</v>
      </c>
      <c r="K90" s="4">
        <f t="shared" si="11"/>
        <v>2.1773404075617679</v>
      </c>
    </row>
    <row r="91" spans="1:11" x14ac:dyDescent="0.3">
      <c r="A91" s="3" t="s">
        <v>77</v>
      </c>
      <c r="B91" s="4">
        <f t="shared" ref="B91:K91" si="12">_xlfn.QUARTILE.EXC(B2:B82,3)</f>
        <v>1163.8971163768401</v>
      </c>
      <c r="C91" s="4">
        <f t="shared" si="12"/>
        <v>884.5</v>
      </c>
      <c r="D91" s="4">
        <f t="shared" si="12"/>
        <v>9.9340132887841932</v>
      </c>
      <c r="E91" s="4">
        <f t="shared" si="12"/>
        <v>19.9676931145423</v>
      </c>
      <c r="F91" s="4">
        <f t="shared" si="12"/>
        <v>213.36313965852287</v>
      </c>
      <c r="G91" s="4">
        <f t="shared" si="12"/>
        <v>2664.0744237450845</v>
      </c>
      <c r="H91" s="4">
        <f t="shared" si="12"/>
        <v>2508.3544858019486</v>
      </c>
      <c r="I91" s="4">
        <f t="shared" si="12"/>
        <v>0.19381550906099632</v>
      </c>
      <c r="J91" s="4">
        <f t="shared" si="12"/>
        <v>2.457416054078597</v>
      </c>
      <c r="K91" s="4">
        <f t="shared" si="12"/>
        <v>2.2830596653402164</v>
      </c>
    </row>
    <row r="93" spans="1:11" x14ac:dyDescent="0.3">
      <c r="A93" s="3" t="s">
        <v>94</v>
      </c>
      <c r="F93" s="20"/>
      <c r="G93" s="20"/>
      <c r="H93" s="20"/>
      <c r="I93" s="24">
        <f>(I85-'CS - Pivot Tables'!I85)/'CS - Pivot Tables'!I85</f>
        <v>-0.5959513710983102</v>
      </c>
      <c r="J93" s="24">
        <f>(J85-'CS - Pivot Tables'!J85)/'CS - Pivot Tables'!J85</f>
        <v>-0.61172252694526363</v>
      </c>
      <c r="K93" s="24">
        <f>(K85-'CS - Pivot Tables'!K85)/'CS - Pivot Tables'!K85</f>
        <v>-0.58290330459603668</v>
      </c>
    </row>
    <row r="99" spans="5:5" x14ac:dyDescent="0.3">
      <c r="E99" s="19"/>
    </row>
    <row r="100" spans="5:5" x14ac:dyDescent="0.3">
      <c r="E100" s="19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 vs SS - Cluster details</vt:lpstr>
      <vt:lpstr>CS vs SS - Truck details</vt:lpstr>
      <vt:lpstr>Testing</vt:lpstr>
      <vt:lpstr>Param Variation Exp - CS</vt:lpstr>
      <vt:lpstr>Param Variation Exp - SS</vt:lpstr>
      <vt:lpstr>CS - Pivot Tables</vt:lpstr>
      <vt:lpstr>SS - Pivot Tables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Monzambe</dc:creator>
  <cp:lastModifiedBy>Giovani Monzambe</cp:lastModifiedBy>
  <dcterms:created xsi:type="dcterms:W3CDTF">2025-09-02T22:15:01Z</dcterms:created>
  <dcterms:modified xsi:type="dcterms:W3CDTF">2025-09-30T13:52:07Z</dcterms:modified>
</cp:coreProperties>
</file>